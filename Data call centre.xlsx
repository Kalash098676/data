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4F8A0404F492C68A/Documents/"/>
    </mc:Choice>
  </mc:AlternateContent>
  <xr:revisionPtr revIDLastSave="1812" documentId="8_{6F340B57-4206-4572-AA69-DB45B104D0B6}" xr6:coauthVersionLast="47" xr6:coauthVersionMax="47" xr10:uidLastSave="{1D7F06AD-C808-4F54-AE89-0243EF2956D8}"/>
  <bookViews>
    <workbookView xWindow="-110" yWindow="-110" windowWidth="19420" windowHeight="10300" xr2:uid="{C43C6AA9-CB90-4B41-8832-7FE7BF3C7DD9}"/>
  </bookViews>
  <sheets>
    <sheet name="s9" sheetId="10" r:id="rId1"/>
    <sheet name="Sheet9" sheetId="14" r:id="rId2"/>
    <sheet name="Sheet10" sheetId="15" r:id="rId3"/>
    <sheet name="Sheet11" sheetId="16" r:id="rId4"/>
    <sheet name="Sheet1" sheetId="17" r:id="rId5"/>
    <sheet name="pivots" sheetId="13" r:id="rId6"/>
    <sheet name="Sheet2" sheetId="19" r:id="rId7"/>
    <sheet name="Data" sheetId="1" r:id="rId8"/>
    <sheet name="coustmer centre report" sheetId="11" r:id="rId9"/>
    <sheet name="s1&amp;2" sheetId="3" r:id="rId10"/>
    <sheet name="s3" sheetId="4" r:id="rId11"/>
    <sheet name="Sheet5" sheetId="5" r:id="rId12"/>
    <sheet name="Sheet6" sheetId="7" r:id="rId13"/>
    <sheet name="s7" sheetId="8" r:id="rId14"/>
    <sheet name="s8" sheetId="9" r:id="rId15"/>
  </sheets>
  <definedNames>
    <definedName name="_xlcn.WorksheetConnection_Datacallcentre.xlsxcalls1" hidden="1">calls[]</definedName>
    <definedName name="_xlcn.WorksheetConnection_Datacallcentre.xlsxcustomer1" hidden="1">customer[]</definedName>
    <definedName name="ExternalData_1" localSheetId="4" hidden="1">Sheet1!$A$3:$T$12</definedName>
    <definedName name="ExternalData_1" localSheetId="2" hidden="1">Sheet10!$A$3:$T$189</definedName>
    <definedName name="ExternalData_1" localSheetId="3" hidden="1">Sheet11!$A$3:$T$203</definedName>
    <definedName name="ExternalData_1" localSheetId="1" hidden="1">Sheet9!$A$3:$T$210</definedName>
    <definedName name="Slicer_Representative">#N/A</definedName>
    <definedName name="Slicer_Representative1">#N/A</definedName>
    <definedName name="Slicer_Representative2">#N/A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s>
  <extLst>
    <ext xmlns:x14="http://schemas.microsoft.com/office/spreadsheetml/2009/9/main" uri="{876F7934-8845-4945-9796-88D515C7AA90}">
      <x14:pivotCaches>
        <pivotCache cacheId="10"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Data call centre.xlsx!customer"/>
          <x15:modelTable id="calls" name="calls" connection="WorksheetConnection_Data call centre.xlsx!calls"/>
        </x15:modelTables>
        <x15:modelRelationships>
          <x15:modelRelationship fromTable="calls" fromColumn="Customer ID" toTable="customer"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0" i="13" l="1"/>
  <c r="G170" i="13"/>
  <c r="G174" i="13" s="1"/>
  <c r="G179" i="13" s="1"/>
  <c r="G169" i="13"/>
  <c r="G173" i="13" s="1"/>
  <c r="G178" i="13" s="1"/>
  <c r="G168" i="13"/>
  <c r="G177" i="13" s="1"/>
  <c r="K37" i="11" s="1"/>
  <c r="L20" i="11" a="1"/>
  <c r="L20" i="11" s="1"/>
  <c r="K59" i="13"/>
  <c r="J65" i="13"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Q2" i="1"/>
  <c r="Q3" i="1"/>
  <c r="Q4" i="1"/>
  <c r="P4" i="1" s="1"/>
  <c r="Q5" i="1"/>
  <c r="Q6" i="1"/>
  <c r="Q7" i="1"/>
  <c r="Q8" i="1"/>
  <c r="P8" i="1" s="1"/>
  <c r="Q9" i="1"/>
  <c r="P9" i="1" s="1"/>
  <c r="Q10" i="1"/>
  <c r="Q11" i="1"/>
  <c r="R11" i="1" s="1"/>
  <c r="Q12" i="1"/>
  <c r="Q13" i="1"/>
  <c r="Q14" i="1"/>
  <c r="Q15" i="1"/>
  <c r="P15" i="1" s="1"/>
  <c r="Q16" i="1"/>
  <c r="Q17" i="1"/>
  <c r="P17" i="1" s="1"/>
  <c r="Q18" i="1"/>
  <c r="P18" i="1" s="1"/>
  <c r="Q19" i="1"/>
  <c r="P19" i="1" s="1"/>
  <c r="Q20" i="1"/>
  <c r="Q21" i="1"/>
  <c r="Q22" i="1"/>
  <c r="Q23" i="1"/>
  <c r="P23" i="1" s="1"/>
  <c r="Q24" i="1"/>
  <c r="Q25" i="1"/>
  <c r="R25" i="1" s="1"/>
  <c r="Q26" i="1"/>
  <c r="Q27" i="1"/>
  <c r="Q28" i="1"/>
  <c r="Q29" i="1"/>
  <c r="Q30" i="1"/>
  <c r="Q31" i="1"/>
  <c r="P31" i="1" s="1"/>
  <c r="Q32" i="1"/>
  <c r="P32" i="1" s="1"/>
  <c r="Q33" i="1"/>
  <c r="Q34" i="1"/>
  <c r="Q35" i="1"/>
  <c r="R35" i="1" s="1"/>
  <c r="Q36" i="1"/>
  <c r="Q37" i="1"/>
  <c r="Q38" i="1"/>
  <c r="Q39" i="1"/>
  <c r="P39" i="1" s="1"/>
  <c r="Q40" i="1"/>
  <c r="P40" i="1" s="1"/>
  <c r="Q41" i="1"/>
  <c r="Q42" i="1"/>
  <c r="P42" i="1" s="1"/>
  <c r="Q43" i="1"/>
  <c r="P43" i="1" s="1"/>
  <c r="Q44" i="1"/>
  <c r="Q45" i="1"/>
  <c r="R45" i="1" s="1"/>
  <c r="Q46" i="1"/>
  <c r="Q47" i="1"/>
  <c r="Q48" i="1"/>
  <c r="R48" i="1" s="1"/>
  <c r="Q49" i="1"/>
  <c r="Q50" i="1"/>
  <c r="Q51" i="1"/>
  <c r="P51" i="1" s="1"/>
  <c r="Q52" i="1"/>
  <c r="Q53" i="1"/>
  <c r="P53" i="1" s="1"/>
  <c r="Q54" i="1"/>
  <c r="P54" i="1" s="1"/>
  <c r="Q55" i="1"/>
  <c r="R55" i="1" s="1"/>
  <c r="Q56" i="1"/>
  <c r="Q57" i="1"/>
  <c r="R57" i="1" s="1"/>
  <c r="Q58" i="1"/>
  <c r="Q59" i="1"/>
  <c r="Q60" i="1"/>
  <c r="Q61" i="1"/>
  <c r="P61" i="1" s="1"/>
  <c r="Q62" i="1"/>
  <c r="P62" i="1" s="1"/>
  <c r="Q63" i="1"/>
  <c r="P63" i="1" s="1"/>
  <c r="Q64" i="1"/>
  <c r="Q65" i="1"/>
  <c r="P65" i="1" s="1"/>
  <c r="Q66" i="1"/>
  <c r="Q67" i="1"/>
  <c r="Q68" i="1"/>
  <c r="Q69" i="1"/>
  <c r="Q70" i="1"/>
  <c r="Q71" i="1"/>
  <c r="Q72" i="1"/>
  <c r="Q73" i="1"/>
  <c r="Q74" i="1"/>
  <c r="Q75" i="1"/>
  <c r="P75" i="1" s="1"/>
  <c r="Q76" i="1"/>
  <c r="P76" i="1" s="1"/>
  <c r="Q77" i="1"/>
  <c r="Q78" i="1"/>
  <c r="Q79" i="1"/>
  <c r="Q80" i="1"/>
  <c r="Q81" i="1"/>
  <c r="R81" i="1" s="1"/>
  <c r="Q82" i="1"/>
  <c r="Q83" i="1"/>
  <c r="R83" i="1" s="1"/>
  <c r="Q84" i="1"/>
  <c r="P84" i="1" s="1"/>
  <c r="Q85" i="1"/>
  <c r="Q86" i="1"/>
  <c r="P86" i="1" s="1"/>
  <c r="Q87" i="1"/>
  <c r="P87" i="1" s="1"/>
  <c r="Q88" i="1"/>
  <c r="Q89" i="1"/>
  <c r="Q90" i="1"/>
  <c r="Q91" i="1"/>
  <c r="Q92" i="1"/>
  <c r="Q93" i="1"/>
  <c r="Q94" i="1"/>
  <c r="R94" i="1" s="1"/>
  <c r="Q95" i="1"/>
  <c r="Q96" i="1"/>
  <c r="Q97" i="1"/>
  <c r="R97" i="1" s="1"/>
  <c r="Q98" i="1"/>
  <c r="P98" i="1" s="1"/>
  <c r="Q99" i="1"/>
  <c r="Q100" i="1"/>
  <c r="Q101" i="1"/>
  <c r="Q102" i="1"/>
  <c r="Q103" i="1"/>
  <c r="P103" i="1" s="1"/>
  <c r="Q104" i="1"/>
  <c r="P104" i="1" s="1"/>
  <c r="Q105" i="1"/>
  <c r="Q106" i="1"/>
  <c r="Q107" i="1"/>
  <c r="P107" i="1" s="1"/>
  <c r="Q108" i="1"/>
  <c r="Q109" i="1"/>
  <c r="P109" i="1" s="1"/>
  <c r="Q110" i="1"/>
  <c r="Q111" i="1"/>
  <c r="Q112" i="1"/>
  <c r="Q113" i="1"/>
  <c r="Q114" i="1"/>
  <c r="Q115" i="1"/>
  <c r="Q116" i="1"/>
  <c r="P116" i="1" s="1"/>
  <c r="Q117" i="1"/>
  <c r="Q118" i="1"/>
  <c r="Q119" i="1"/>
  <c r="P119" i="1" s="1"/>
  <c r="Q120" i="1"/>
  <c r="Q121" i="1"/>
  <c r="Q122" i="1"/>
  <c r="Q123" i="1"/>
  <c r="P123" i="1" s="1"/>
  <c r="Q124" i="1"/>
  <c r="Q125" i="1"/>
  <c r="P125" i="1" s="1"/>
  <c r="Q126" i="1"/>
  <c r="P126" i="1" s="1"/>
  <c r="Q127" i="1"/>
  <c r="Q128" i="1"/>
  <c r="P128" i="1" s="1"/>
  <c r="Q129" i="1"/>
  <c r="R129" i="1" s="1"/>
  <c r="Q130" i="1"/>
  <c r="Q131" i="1"/>
  <c r="Q132" i="1"/>
  <c r="Q133" i="1"/>
  <c r="Q134" i="1"/>
  <c r="Q135" i="1"/>
  <c r="P135" i="1" s="1"/>
  <c r="Q136" i="1"/>
  <c r="Q137" i="1"/>
  <c r="P137" i="1" s="1"/>
  <c r="Q138" i="1"/>
  <c r="Q139" i="1"/>
  <c r="Q140" i="1"/>
  <c r="Q141" i="1"/>
  <c r="Q142" i="1"/>
  <c r="Q143" i="1"/>
  <c r="R143" i="1" s="1"/>
  <c r="Q144" i="1"/>
  <c r="P144" i="1" s="1"/>
  <c r="Q145" i="1"/>
  <c r="P145" i="1" s="1"/>
  <c r="Q146" i="1"/>
  <c r="P146" i="1" s="1"/>
  <c r="Q147" i="1"/>
  <c r="P147" i="1" s="1"/>
  <c r="Q148" i="1"/>
  <c r="R148" i="1" s="1"/>
  <c r="Q149" i="1"/>
  <c r="Q150" i="1"/>
  <c r="Q151" i="1"/>
  <c r="Q152" i="1"/>
  <c r="Q153" i="1"/>
  <c r="R153" i="1" s="1"/>
  <c r="Q154" i="1"/>
  <c r="Q155" i="1"/>
  <c r="Q156" i="1"/>
  <c r="P156" i="1" s="1"/>
  <c r="Q157" i="1"/>
  <c r="Q158" i="1"/>
  <c r="P158" i="1" s="1"/>
  <c r="Q159" i="1"/>
  <c r="Q160" i="1"/>
  <c r="Q161" i="1"/>
  <c r="P161" i="1" s="1"/>
  <c r="Q162" i="1"/>
  <c r="P162" i="1" s="1"/>
  <c r="Q163" i="1"/>
  <c r="P163" i="1" s="1"/>
  <c r="Q164" i="1"/>
  <c r="Q165" i="1"/>
  <c r="Q166" i="1"/>
  <c r="Q167" i="1"/>
  <c r="P167" i="1" s="1"/>
  <c r="Q168" i="1"/>
  <c r="Q169" i="1"/>
  <c r="Q170" i="1"/>
  <c r="Q171" i="1"/>
  <c r="Q172" i="1"/>
  <c r="Q173" i="1"/>
  <c r="Q174" i="1"/>
  <c r="P174" i="1" s="1"/>
  <c r="Q175" i="1"/>
  <c r="P175" i="1" s="1"/>
  <c r="Q176" i="1"/>
  <c r="R176" i="1" s="1"/>
  <c r="Q177" i="1"/>
  <c r="Q178" i="1"/>
  <c r="Q179" i="1"/>
  <c r="Q180" i="1"/>
  <c r="Q181" i="1"/>
  <c r="P181" i="1" s="1"/>
  <c r="Q182" i="1"/>
  <c r="Q183" i="1"/>
  <c r="P183" i="1" s="1"/>
  <c r="Q184" i="1"/>
  <c r="P184" i="1" s="1"/>
  <c r="Q185" i="1"/>
  <c r="Q186" i="1"/>
  <c r="P186" i="1" s="1"/>
  <c r="Q187" i="1"/>
  <c r="Q188" i="1"/>
  <c r="Q189" i="1"/>
  <c r="R189" i="1" s="1"/>
  <c r="Q190" i="1"/>
  <c r="Q191" i="1"/>
  <c r="R191" i="1" s="1"/>
  <c r="Q192" i="1"/>
  <c r="R192" i="1" s="1"/>
  <c r="Q193" i="1"/>
  <c r="P193" i="1" s="1"/>
  <c r="Q194" i="1"/>
  <c r="Q195" i="1"/>
  <c r="P195" i="1" s="1"/>
  <c r="Q196" i="1"/>
  <c r="Q197" i="1"/>
  <c r="Q198" i="1"/>
  <c r="Q199" i="1"/>
  <c r="Q200" i="1"/>
  <c r="R200" i="1" s="1"/>
  <c r="Q201" i="1"/>
  <c r="Q202" i="1"/>
  <c r="Q203" i="1"/>
  <c r="P203" i="1" s="1"/>
  <c r="Q204" i="1"/>
  <c r="P204" i="1" s="1"/>
  <c r="Q205" i="1"/>
  <c r="P205" i="1" s="1"/>
  <c r="Q206" i="1"/>
  <c r="Q207" i="1"/>
  <c r="Q208" i="1"/>
  <c r="Q209" i="1"/>
  <c r="Q210" i="1"/>
  <c r="Q211" i="1"/>
  <c r="Q212" i="1"/>
  <c r="P212" i="1" s="1"/>
  <c r="Q213" i="1"/>
  <c r="Q214" i="1"/>
  <c r="Q215" i="1"/>
  <c r="Q216" i="1"/>
  <c r="P216" i="1" s="1"/>
  <c r="Q217" i="1"/>
  <c r="R217" i="1" s="1"/>
  <c r="Q218" i="1"/>
  <c r="Q219" i="1"/>
  <c r="P219" i="1" s="1"/>
  <c r="Q220" i="1"/>
  <c r="P220" i="1" s="1"/>
  <c r="Q221" i="1"/>
  <c r="P221" i="1" s="1"/>
  <c r="Q222" i="1"/>
  <c r="Q223" i="1"/>
  <c r="P223" i="1" s="1"/>
  <c r="Q224" i="1"/>
  <c r="Q225" i="1"/>
  <c r="Q226" i="1"/>
  <c r="Q227" i="1"/>
  <c r="Q228" i="1"/>
  <c r="Q229" i="1"/>
  <c r="Q230" i="1"/>
  <c r="Q231" i="1"/>
  <c r="Q232" i="1"/>
  <c r="P232" i="1" s="1"/>
  <c r="Q233" i="1"/>
  <c r="P233" i="1" s="1"/>
  <c r="Q234" i="1"/>
  <c r="Q235" i="1"/>
  <c r="Q236" i="1"/>
  <c r="R236" i="1" s="1"/>
  <c r="Q237" i="1"/>
  <c r="R237" i="1" s="1"/>
  <c r="Q238" i="1"/>
  <c r="Q239" i="1"/>
  <c r="P239" i="1" s="1"/>
  <c r="Q240" i="1"/>
  <c r="Q241" i="1"/>
  <c r="R241" i="1" s="1"/>
  <c r="Q242" i="1"/>
  <c r="P242" i="1" s="1"/>
  <c r="Q243" i="1"/>
  <c r="Q244" i="1"/>
  <c r="P244" i="1" s="1"/>
  <c r="Q245" i="1"/>
  <c r="Q246" i="1"/>
  <c r="Q247" i="1"/>
  <c r="R247" i="1" s="1"/>
  <c r="Q248" i="1"/>
  <c r="Q249" i="1"/>
  <c r="Q250" i="1"/>
  <c r="Q251" i="1"/>
  <c r="P251" i="1" s="1"/>
  <c r="Q252" i="1"/>
  <c r="Q253" i="1"/>
  <c r="P253" i="1" s="1"/>
  <c r="Q254" i="1"/>
  <c r="Q255" i="1"/>
  <c r="Q256" i="1"/>
  <c r="Q257" i="1"/>
  <c r="Q258" i="1"/>
  <c r="P258" i="1" s="1"/>
  <c r="Q259" i="1"/>
  <c r="P259" i="1" s="1"/>
  <c r="Q260" i="1"/>
  <c r="P260" i="1" s="1"/>
  <c r="Q261" i="1"/>
  <c r="Q262" i="1"/>
  <c r="Q263" i="1"/>
  <c r="P263" i="1" s="1"/>
  <c r="Q264" i="1"/>
  <c r="R264" i="1" s="1"/>
  <c r="Q265" i="1"/>
  <c r="Q266" i="1"/>
  <c r="Q267" i="1"/>
  <c r="Q268" i="1"/>
  <c r="Q269" i="1"/>
  <c r="Q270" i="1"/>
  <c r="P270" i="1" s="1"/>
  <c r="Q271" i="1"/>
  <c r="R271" i="1" s="1"/>
  <c r="Q272" i="1"/>
  <c r="P272" i="1" s="1"/>
  <c r="Q273" i="1"/>
  <c r="Q274" i="1"/>
  <c r="Q275" i="1"/>
  <c r="Q276" i="1"/>
  <c r="Q277" i="1"/>
  <c r="P277" i="1" s="1"/>
  <c r="Q278" i="1"/>
  <c r="P278" i="1" s="1"/>
  <c r="Q279" i="1"/>
  <c r="P279" i="1" s="1"/>
  <c r="Q280" i="1"/>
  <c r="Q281" i="1"/>
  <c r="P281" i="1" s="1"/>
  <c r="Q282" i="1"/>
  <c r="Q283" i="1"/>
  <c r="R283" i="1" s="1"/>
  <c r="Q284" i="1"/>
  <c r="R284" i="1" s="1"/>
  <c r="Q285" i="1"/>
  <c r="Q286" i="1"/>
  <c r="Q287" i="1"/>
  <c r="R287" i="1" s="1"/>
  <c r="Q288" i="1"/>
  <c r="Q289" i="1"/>
  <c r="R289" i="1" s="1"/>
  <c r="Q290" i="1"/>
  <c r="P290" i="1" s="1"/>
  <c r="Q291" i="1"/>
  <c r="P291" i="1" s="1"/>
  <c r="Q292" i="1"/>
  <c r="Q293" i="1"/>
  <c r="Q294" i="1"/>
  <c r="Q295" i="1"/>
  <c r="P295" i="1" s="1"/>
  <c r="Q296" i="1"/>
  <c r="Q297" i="1"/>
  <c r="Q298" i="1"/>
  <c r="Q299" i="1"/>
  <c r="P299" i="1" s="1"/>
  <c r="Q300" i="1"/>
  <c r="P300" i="1" s="1"/>
  <c r="Q301" i="1"/>
  <c r="Q302" i="1"/>
  <c r="P302" i="1" s="1"/>
  <c r="Q303" i="1"/>
  <c r="Q304" i="1"/>
  <c r="Q305" i="1"/>
  <c r="Q306" i="1"/>
  <c r="Q307" i="1"/>
  <c r="P307" i="1" s="1"/>
  <c r="Q308" i="1"/>
  <c r="Q309" i="1"/>
  <c r="Q310" i="1"/>
  <c r="R310" i="1" s="1"/>
  <c r="Q311" i="1"/>
  <c r="P311" i="1" s="1"/>
  <c r="Q312" i="1"/>
  <c r="Q313" i="1"/>
  <c r="R313" i="1" s="1"/>
  <c r="Q314" i="1"/>
  <c r="Q315" i="1"/>
  <c r="Q316" i="1"/>
  <c r="P316" i="1" s="1"/>
  <c r="Q317" i="1"/>
  <c r="P317" i="1" s="1"/>
  <c r="Q318" i="1"/>
  <c r="P318" i="1" s="1"/>
  <c r="Q319" i="1"/>
  <c r="P319" i="1" s="1"/>
  <c r="Q320" i="1"/>
  <c r="Q321" i="1"/>
  <c r="Q322" i="1"/>
  <c r="Q323" i="1"/>
  <c r="Q324" i="1"/>
  <c r="Q325" i="1"/>
  <c r="R325" i="1" s="1"/>
  <c r="Q326" i="1"/>
  <c r="Q327" i="1"/>
  <c r="Q328" i="1"/>
  <c r="P328" i="1" s="1"/>
  <c r="Q329" i="1"/>
  <c r="Q330" i="1"/>
  <c r="P330" i="1" s="1"/>
  <c r="Q331" i="1"/>
  <c r="Q332" i="1"/>
  <c r="Q333" i="1"/>
  <c r="Q334" i="1"/>
  <c r="Q335" i="1"/>
  <c r="R335" i="1" s="1"/>
  <c r="Q336" i="1"/>
  <c r="R336" i="1" s="1"/>
  <c r="Q337" i="1"/>
  <c r="P337" i="1" s="1"/>
  <c r="Q338" i="1"/>
  <c r="Q339" i="1"/>
  <c r="P339" i="1" s="1"/>
  <c r="Q340" i="1"/>
  <c r="Q341" i="1"/>
  <c r="Q342" i="1"/>
  <c r="Q343" i="1"/>
  <c r="Q344" i="1"/>
  <c r="Q345" i="1"/>
  <c r="Q346" i="1"/>
  <c r="Q347" i="1"/>
  <c r="P347" i="1" s="1"/>
  <c r="Q348" i="1"/>
  <c r="P348" i="1" s="1"/>
  <c r="Q349" i="1"/>
  <c r="Q350" i="1"/>
  <c r="Q351" i="1"/>
  <c r="Q352" i="1"/>
  <c r="P352" i="1" s="1"/>
  <c r="Q353" i="1"/>
  <c r="Q354" i="1"/>
  <c r="P354" i="1" s="1"/>
  <c r="Q355" i="1"/>
  <c r="P355" i="1" s="1"/>
  <c r="Q356" i="1"/>
  <c r="Q357" i="1"/>
  <c r="P357" i="1" s="1"/>
  <c r="Q358" i="1"/>
  <c r="Q359" i="1"/>
  <c r="R359" i="1" s="1"/>
  <c r="Q360" i="1"/>
  <c r="R360" i="1" s="1"/>
  <c r="Q361" i="1"/>
  <c r="Q362" i="1"/>
  <c r="P362" i="1" s="1"/>
  <c r="Q363" i="1"/>
  <c r="Q364" i="1"/>
  <c r="P364" i="1" s="1"/>
  <c r="Q365" i="1"/>
  <c r="Q366" i="1"/>
  <c r="Q367" i="1"/>
  <c r="Q368" i="1"/>
  <c r="Q369" i="1"/>
  <c r="P369" i="1" s="1"/>
  <c r="Q370" i="1"/>
  <c r="P370" i="1" s="1"/>
  <c r="Q371" i="1"/>
  <c r="P371" i="1" s="1"/>
  <c r="Q372" i="1"/>
  <c r="R372" i="1" s="1"/>
  <c r="Q373" i="1"/>
  <c r="Q374" i="1"/>
  <c r="Q375" i="1"/>
  <c r="Q376" i="1"/>
  <c r="Q377" i="1"/>
  <c r="Q378" i="1"/>
  <c r="Q379" i="1"/>
  <c r="R379" i="1" s="1"/>
  <c r="Q380" i="1"/>
  <c r="R380" i="1" s="1"/>
  <c r="Q381" i="1"/>
  <c r="P381" i="1" s="1"/>
  <c r="Q382" i="1"/>
  <c r="R382" i="1" s="1"/>
  <c r="Q383" i="1"/>
  <c r="Q384" i="1"/>
  <c r="P384" i="1" s="1"/>
  <c r="Q385" i="1"/>
  <c r="P385" i="1" s="1"/>
  <c r="Q386" i="1"/>
  <c r="P386" i="1" s="1"/>
  <c r="Q387" i="1"/>
  <c r="Q388" i="1"/>
  <c r="P388" i="1" s="1"/>
  <c r="Q389" i="1"/>
  <c r="Q390" i="1"/>
  <c r="Q391" i="1"/>
  <c r="Q392" i="1"/>
  <c r="Q393" i="1"/>
  <c r="Q394" i="1"/>
  <c r="Q395" i="1"/>
  <c r="P395" i="1" s="1"/>
  <c r="Q396" i="1"/>
  <c r="P396" i="1" s="1"/>
  <c r="Q397" i="1"/>
  <c r="Q398" i="1"/>
  <c r="Q399" i="1"/>
  <c r="Q400" i="1"/>
  <c r="P400" i="1" s="1"/>
  <c r="Q401" i="1"/>
  <c r="Q402" i="1"/>
  <c r="P402" i="1" s="1"/>
  <c r="Q403" i="1"/>
  <c r="P403" i="1" s="1"/>
  <c r="Q404" i="1"/>
  <c r="Q405" i="1"/>
  <c r="P405" i="1" s="1"/>
  <c r="Q406" i="1"/>
  <c r="Q407" i="1"/>
  <c r="R407" i="1" s="1"/>
  <c r="Q408" i="1"/>
  <c r="Q409" i="1"/>
  <c r="Q410" i="1"/>
  <c r="P410" i="1" s="1"/>
  <c r="Q411" i="1"/>
  <c r="Q412" i="1"/>
  <c r="P412" i="1" s="1"/>
  <c r="Q413" i="1"/>
  <c r="Q414" i="1"/>
  <c r="Q415" i="1"/>
  <c r="Q416" i="1"/>
  <c r="Q417" i="1"/>
  <c r="P417" i="1" s="1"/>
  <c r="Q418" i="1"/>
  <c r="P418" i="1" s="1"/>
  <c r="Q419" i="1"/>
  <c r="P419" i="1" s="1"/>
  <c r="Q420" i="1"/>
  <c r="P420" i="1" s="1"/>
  <c r="Q421" i="1"/>
  <c r="R421" i="1" s="1"/>
  <c r="Q422" i="1"/>
  <c r="Q423" i="1"/>
  <c r="Q424" i="1"/>
  <c r="Q425" i="1"/>
  <c r="Q426" i="1"/>
  <c r="Q427" i="1"/>
  <c r="P427" i="1" s="1"/>
  <c r="Q428" i="1"/>
  <c r="R428" i="1" s="1"/>
  <c r="Q429" i="1"/>
  <c r="P429" i="1" s="1"/>
  <c r="Q430" i="1"/>
  <c r="Q431" i="1"/>
  <c r="R431" i="1" s="1"/>
  <c r="Q432" i="1"/>
  <c r="P432" i="1" s="1"/>
  <c r="Q433" i="1"/>
  <c r="P433" i="1" s="1"/>
  <c r="Q434" i="1"/>
  <c r="P434" i="1" s="1"/>
  <c r="Q435" i="1"/>
  <c r="Q436" i="1"/>
  <c r="P436" i="1" s="1"/>
  <c r="Q437" i="1"/>
  <c r="Q438" i="1"/>
  <c r="Q439" i="1"/>
  <c r="Q440" i="1"/>
  <c r="Q441" i="1"/>
  <c r="Q442" i="1"/>
  <c r="Q443" i="1"/>
  <c r="P443" i="1" s="1"/>
  <c r="Q444" i="1"/>
  <c r="P444" i="1" s="1"/>
  <c r="Q445" i="1"/>
  <c r="Q446" i="1"/>
  <c r="Q447" i="1"/>
  <c r="Q448" i="1"/>
  <c r="P448" i="1" s="1"/>
  <c r="Q449" i="1"/>
  <c r="Q450" i="1"/>
  <c r="P450" i="1" s="1"/>
  <c r="Q451" i="1"/>
  <c r="P451" i="1" s="1"/>
  <c r="Q452" i="1"/>
  <c r="R452" i="1" s="1"/>
  <c r="Q453" i="1"/>
  <c r="R453" i="1" s="1"/>
  <c r="Q454" i="1"/>
  <c r="Q455" i="1"/>
  <c r="Q456" i="1"/>
  <c r="Q457" i="1"/>
  <c r="Q458" i="1"/>
  <c r="P458" i="1" s="1"/>
  <c r="Q459" i="1"/>
  <c r="Q460" i="1"/>
  <c r="P460" i="1" s="1"/>
  <c r="Q461" i="1"/>
  <c r="Q462" i="1"/>
  <c r="Q463" i="1"/>
  <c r="Q464" i="1"/>
  <c r="Q465" i="1"/>
  <c r="P465" i="1" s="1"/>
  <c r="Q466" i="1"/>
  <c r="P466" i="1" s="1"/>
  <c r="Q467" i="1"/>
  <c r="P467" i="1" s="1"/>
  <c r="Q468" i="1"/>
  <c r="R468" i="1" s="1"/>
  <c r="Q469" i="1"/>
  <c r="R469" i="1" s="1"/>
  <c r="Q470" i="1"/>
  <c r="Q471" i="1"/>
  <c r="Q472" i="1"/>
  <c r="Q473" i="1"/>
  <c r="Q474" i="1"/>
  <c r="Q475" i="1"/>
  <c r="P475" i="1" s="1"/>
  <c r="Q476" i="1"/>
  <c r="Q477" i="1"/>
  <c r="R477" i="1" s="1"/>
  <c r="Q478" i="1"/>
  <c r="Q479" i="1"/>
  <c r="Q480" i="1"/>
  <c r="P480" i="1" s="1"/>
  <c r="Q481" i="1"/>
  <c r="P481" i="1" s="1"/>
  <c r="Q482" i="1"/>
  <c r="P482" i="1" s="1"/>
  <c r="Q483" i="1"/>
  <c r="Q484" i="1"/>
  <c r="P484" i="1" s="1"/>
  <c r="Q485" i="1"/>
  <c r="Q486" i="1"/>
  <c r="Q487" i="1"/>
  <c r="Q488" i="1"/>
  <c r="Q489" i="1"/>
  <c r="Q490" i="1"/>
  <c r="Q491" i="1"/>
  <c r="P491" i="1" s="1"/>
  <c r="Q492" i="1"/>
  <c r="P492" i="1" s="1"/>
  <c r="Q493" i="1"/>
  <c r="Q494" i="1"/>
  <c r="Q495" i="1"/>
  <c r="Q496" i="1"/>
  <c r="P496" i="1" s="1"/>
  <c r="Q497" i="1"/>
  <c r="Q498" i="1"/>
  <c r="P498" i="1" s="1"/>
  <c r="Q499" i="1"/>
  <c r="P499" i="1" s="1"/>
  <c r="Q500" i="1"/>
  <c r="R500" i="1" s="1"/>
  <c r="Q501" i="1"/>
  <c r="P501" i="1" s="1"/>
  <c r="Q502" i="1"/>
  <c r="Q503" i="1"/>
  <c r="Q504" i="1"/>
  <c r="Q505" i="1"/>
  <c r="Q506" i="1"/>
  <c r="P506" i="1" s="1"/>
  <c r="Q507" i="1"/>
  <c r="Q508" i="1"/>
  <c r="P508" i="1" s="1"/>
  <c r="Q509" i="1"/>
  <c r="Q510" i="1"/>
  <c r="Q511" i="1"/>
  <c r="Q512" i="1"/>
  <c r="Q513" i="1"/>
  <c r="P513" i="1" s="1"/>
  <c r="Q514" i="1"/>
  <c r="P514" i="1" s="1"/>
  <c r="Q515" i="1"/>
  <c r="P515" i="1" s="1"/>
  <c r="Q516" i="1"/>
  <c r="P516" i="1" s="1"/>
  <c r="Q517" i="1"/>
  <c r="Q518" i="1"/>
  <c r="Q519" i="1"/>
  <c r="Q520" i="1"/>
  <c r="Q521" i="1"/>
  <c r="Q522" i="1"/>
  <c r="Q523" i="1"/>
  <c r="R523" i="1" s="1"/>
  <c r="Q524" i="1"/>
  <c r="R524" i="1" s="1"/>
  <c r="Q525" i="1"/>
  <c r="P525" i="1" s="1"/>
  <c r="Q526" i="1"/>
  <c r="Q527" i="1"/>
  <c r="Q528" i="1"/>
  <c r="P528" i="1" s="1"/>
  <c r="Q529" i="1"/>
  <c r="P529" i="1" s="1"/>
  <c r="Q530" i="1"/>
  <c r="P530" i="1" s="1"/>
  <c r="Q531" i="1"/>
  <c r="Q532" i="1"/>
  <c r="P532" i="1" s="1"/>
  <c r="Q533" i="1"/>
  <c r="Q534" i="1"/>
  <c r="Q535" i="1"/>
  <c r="Q536" i="1"/>
  <c r="Q537" i="1"/>
  <c r="Q538" i="1"/>
  <c r="Q539" i="1"/>
  <c r="P539" i="1" s="1"/>
  <c r="Q540" i="1"/>
  <c r="P540" i="1" s="1"/>
  <c r="Q541" i="1"/>
  <c r="R541" i="1" s="1"/>
  <c r="Q542" i="1"/>
  <c r="Q543" i="1"/>
  <c r="Q544" i="1"/>
  <c r="R544" i="1" s="1"/>
  <c r="Q545" i="1"/>
  <c r="Q546" i="1"/>
  <c r="P546" i="1" s="1"/>
  <c r="Q547" i="1"/>
  <c r="P547" i="1" s="1"/>
  <c r="Q548" i="1"/>
  <c r="Q549" i="1"/>
  <c r="P549" i="1" s="1"/>
  <c r="Q550" i="1"/>
  <c r="Q551" i="1"/>
  <c r="Q552" i="1"/>
  <c r="Q553" i="1"/>
  <c r="Q554" i="1"/>
  <c r="P554" i="1" s="1"/>
  <c r="Q555" i="1"/>
  <c r="Q556" i="1"/>
  <c r="P556" i="1" s="1"/>
  <c r="Q557" i="1"/>
  <c r="Q558" i="1"/>
  <c r="Q559" i="1"/>
  <c r="Q560" i="1"/>
  <c r="R560" i="1" s="1"/>
  <c r="Q561" i="1"/>
  <c r="R561" i="1" s="1"/>
  <c r="Q562" i="1"/>
  <c r="P562" i="1" s="1"/>
  <c r="Q563" i="1"/>
  <c r="P563" i="1" s="1"/>
  <c r="Q564" i="1"/>
  <c r="P564" i="1" s="1"/>
  <c r="Q565" i="1"/>
  <c r="Q566" i="1"/>
  <c r="Q567" i="1"/>
  <c r="Q568" i="1"/>
  <c r="Q569" i="1"/>
  <c r="Q570" i="1"/>
  <c r="Q571" i="1"/>
  <c r="R571" i="1" s="1"/>
  <c r="Q572" i="1"/>
  <c r="Q573" i="1"/>
  <c r="P573" i="1" s="1"/>
  <c r="Q574" i="1"/>
  <c r="Q575" i="1"/>
  <c r="Q576" i="1"/>
  <c r="P576" i="1" s="1"/>
  <c r="Q577" i="1"/>
  <c r="P577" i="1" s="1"/>
  <c r="Q578" i="1"/>
  <c r="P578" i="1" s="1"/>
  <c r="Q579" i="1"/>
  <c r="Q580" i="1"/>
  <c r="P580" i="1" s="1"/>
  <c r="Q581" i="1"/>
  <c r="Q582" i="1"/>
  <c r="Q583" i="1"/>
  <c r="Q584" i="1"/>
  <c r="Q585" i="1"/>
  <c r="Q586" i="1"/>
  <c r="Q587" i="1"/>
  <c r="P587" i="1" s="1"/>
  <c r="Q588" i="1"/>
  <c r="P588" i="1" s="1"/>
  <c r="Q589" i="1"/>
  <c r="Q590" i="1"/>
  <c r="Q591" i="1"/>
  <c r="Q592" i="1"/>
  <c r="P592" i="1" s="1"/>
  <c r="Q593" i="1"/>
  <c r="Q594" i="1"/>
  <c r="P594" i="1" s="1"/>
  <c r="Q595" i="1"/>
  <c r="P595" i="1" s="1"/>
  <c r="Q596" i="1"/>
  <c r="Q597" i="1"/>
  <c r="P597" i="1" s="1"/>
  <c r="Q598" i="1"/>
  <c r="R598" i="1" s="1"/>
  <c r="Q599" i="1"/>
  <c r="Q600" i="1"/>
  <c r="Q601" i="1"/>
  <c r="R601" i="1" s="1"/>
  <c r="Q602" i="1"/>
  <c r="P602" i="1" s="1"/>
  <c r="Q603" i="1"/>
  <c r="Q604" i="1"/>
  <c r="P604" i="1" s="1"/>
  <c r="Q605" i="1"/>
  <c r="Q606" i="1"/>
  <c r="Q607" i="1"/>
  <c r="Q608" i="1"/>
  <c r="R608" i="1" s="1"/>
  <c r="Q609" i="1"/>
  <c r="R609" i="1" s="1"/>
  <c r="Q610" i="1"/>
  <c r="P610" i="1" s="1"/>
  <c r="Q611" i="1"/>
  <c r="P611" i="1" s="1"/>
  <c r="Q612" i="1"/>
  <c r="P612" i="1" s="1"/>
  <c r="Q613" i="1"/>
  <c r="Q614" i="1"/>
  <c r="Q615" i="1"/>
  <c r="Q616" i="1"/>
  <c r="Q617" i="1"/>
  <c r="Q618" i="1"/>
  <c r="Q619" i="1"/>
  <c r="P619" i="1" s="1"/>
  <c r="Q620" i="1"/>
  <c r="Q621" i="1"/>
  <c r="P621" i="1" s="1"/>
  <c r="Q622" i="1"/>
  <c r="Q623" i="1"/>
  <c r="Q624" i="1"/>
  <c r="P624" i="1" s="1"/>
  <c r="Q625" i="1"/>
  <c r="P625" i="1" s="1"/>
  <c r="Q626" i="1"/>
  <c r="P626" i="1" s="1"/>
  <c r="Q627" i="1"/>
  <c r="Q628" i="1"/>
  <c r="R628" i="1" s="1"/>
  <c r="Q629" i="1"/>
  <c r="Q630" i="1"/>
  <c r="Q631" i="1"/>
  <c r="Q632" i="1"/>
  <c r="Q633" i="1"/>
  <c r="Q634" i="1"/>
  <c r="P634" i="1" s="1"/>
  <c r="Q635" i="1"/>
  <c r="P635" i="1" s="1"/>
  <c r="Q636" i="1"/>
  <c r="Q637" i="1"/>
  <c r="R637" i="1" s="1"/>
  <c r="Q638" i="1"/>
  <c r="P638" i="1" s="1"/>
  <c r="Q639" i="1"/>
  <c r="Q640" i="1"/>
  <c r="P640" i="1" s="1"/>
  <c r="Q641" i="1"/>
  <c r="Q642" i="1"/>
  <c r="P642" i="1" s="1"/>
  <c r="Q643" i="1"/>
  <c r="R643" i="1" s="1"/>
  <c r="Q644" i="1"/>
  <c r="R644" i="1" s="1"/>
  <c r="Q645" i="1"/>
  <c r="Q646" i="1"/>
  <c r="R646" i="1" s="1"/>
  <c r="Q647" i="1"/>
  <c r="Q648" i="1"/>
  <c r="P648" i="1" s="1"/>
  <c r="Q649" i="1"/>
  <c r="P649" i="1" s="1"/>
  <c r="Q650" i="1"/>
  <c r="Q651" i="1"/>
  <c r="Q652" i="1"/>
  <c r="Q653" i="1"/>
  <c r="Q654" i="1"/>
  <c r="P654" i="1" s="1"/>
  <c r="Q655" i="1"/>
  <c r="P655" i="1" s="1"/>
  <c r="Q656" i="1"/>
  <c r="P656" i="1" s="1"/>
  <c r="Q657" i="1"/>
  <c r="P657" i="1" s="1"/>
  <c r="Q658" i="1"/>
  <c r="Q659" i="1"/>
  <c r="Q660" i="1"/>
  <c r="Q661" i="1"/>
  <c r="R661" i="1" s="1"/>
  <c r="Q662" i="1"/>
  <c r="P662" i="1" s="1"/>
  <c r="Q663" i="1"/>
  <c r="Q664" i="1"/>
  <c r="P664" i="1" s="1"/>
  <c r="Q665" i="1"/>
  <c r="Q666" i="1"/>
  <c r="Q667" i="1"/>
  <c r="Q668" i="1"/>
  <c r="P668" i="1" s="1"/>
  <c r="Q669" i="1"/>
  <c r="P669" i="1" s="1"/>
  <c r="Q670" i="1"/>
  <c r="P670" i="1" s="1"/>
  <c r="Q671" i="1"/>
  <c r="P671" i="1" s="1"/>
  <c r="Q672" i="1"/>
  <c r="Q673" i="1"/>
  <c r="R673" i="1" s="1"/>
  <c r="Q674" i="1"/>
  <c r="Q675" i="1"/>
  <c r="Q676" i="1"/>
  <c r="Q677" i="1"/>
  <c r="Q678" i="1"/>
  <c r="P678" i="1" s="1"/>
  <c r="Q679" i="1"/>
  <c r="P679" i="1" s="1"/>
  <c r="Q680" i="1"/>
  <c r="Q681" i="1"/>
  <c r="R681" i="1" s="1"/>
  <c r="Q682" i="1"/>
  <c r="P682" i="1" s="1"/>
  <c r="Q683" i="1"/>
  <c r="P683" i="1" s="1"/>
  <c r="Q684" i="1"/>
  <c r="P684" i="1" s="1"/>
  <c r="Q685" i="1"/>
  <c r="P685" i="1" s="1"/>
  <c r="Q686" i="1"/>
  <c r="Q687" i="1"/>
  <c r="Q688" i="1"/>
  <c r="Q689" i="1"/>
  <c r="Q690" i="1"/>
  <c r="Q691" i="1"/>
  <c r="Q692" i="1"/>
  <c r="P692" i="1" s="1"/>
  <c r="Q693" i="1"/>
  <c r="P693" i="1" s="1"/>
  <c r="Q694" i="1"/>
  <c r="Q695" i="1"/>
  <c r="Q696" i="1"/>
  <c r="P696" i="1" s="1"/>
  <c r="Q697" i="1"/>
  <c r="P697" i="1" s="1"/>
  <c r="Q698" i="1"/>
  <c r="P698" i="1" s="1"/>
  <c r="Q699" i="1"/>
  <c r="Q700" i="1"/>
  <c r="R700" i="1" s="1"/>
  <c r="Q701" i="1"/>
  <c r="Q702" i="1"/>
  <c r="Q703" i="1"/>
  <c r="Q704" i="1"/>
  <c r="Q705" i="1"/>
  <c r="Q706" i="1"/>
  <c r="P706" i="1" s="1"/>
  <c r="Q707" i="1"/>
  <c r="P707" i="1" s="1"/>
  <c r="Q708" i="1"/>
  <c r="Q709" i="1"/>
  <c r="R709" i="1" s="1"/>
  <c r="Q710" i="1"/>
  <c r="P710" i="1" s="1"/>
  <c r="Q711" i="1"/>
  <c r="Q712" i="1"/>
  <c r="P712" i="1" s="1"/>
  <c r="Q713" i="1"/>
  <c r="Q714" i="1"/>
  <c r="P714" i="1" s="1"/>
  <c r="Q715" i="1"/>
  <c r="R715" i="1" s="1"/>
  <c r="Q716" i="1"/>
  <c r="R716" i="1" s="1"/>
  <c r="Q717" i="1"/>
  <c r="Q718" i="1"/>
  <c r="R718" i="1" s="1"/>
  <c r="Q719" i="1"/>
  <c r="Q720" i="1"/>
  <c r="P720" i="1" s="1"/>
  <c r="Q721" i="1"/>
  <c r="P721" i="1" s="1"/>
  <c r="Q722" i="1"/>
  <c r="Q723" i="1"/>
  <c r="Q724" i="1"/>
  <c r="Q725" i="1"/>
  <c r="Q726" i="1"/>
  <c r="P726" i="1" s="1"/>
  <c r="Q727" i="1"/>
  <c r="P727" i="1" s="1"/>
  <c r="Q728" i="1"/>
  <c r="P728" i="1" s="1"/>
  <c r="Q729" i="1"/>
  <c r="P729" i="1" s="1"/>
  <c r="Q730" i="1"/>
  <c r="Q731" i="1"/>
  <c r="Q732" i="1"/>
  <c r="Q733" i="1"/>
  <c r="R733" i="1" s="1"/>
  <c r="Q734" i="1"/>
  <c r="P734" i="1" s="1"/>
  <c r="Q735" i="1"/>
  <c r="Q736" i="1"/>
  <c r="P736" i="1" s="1"/>
  <c r="Q737" i="1"/>
  <c r="Q738" i="1"/>
  <c r="Q739" i="1"/>
  <c r="Q740" i="1"/>
  <c r="P740" i="1" s="1"/>
  <c r="Q741" i="1"/>
  <c r="P741" i="1" s="1"/>
  <c r="Q742" i="1"/>
  <c r="P742" i="1" s="1"/>
  <c r="Q743" i="1"/>
  <c r="P743" i="1" s="1"/>
  <c r="Q744" i="1"/>
  <c r="Q745" i="1"/>
  <c r="R745" i="1" s="1"/>
  <c r="Q746" i="1"/>
  <c r="Q747" i="1"/>
  <c r="Q748" i="1"/>
  <c r="Q749" i="1"/>
  <c r="Q750" i="1"/>
  <c r="P750" i="1" s="1"/>
  <c r="Q751" i="1"/>
  <c r="R751" i="1" s="1"/>
  <c r="Q752" i="1"/>
  <c r="Q753" i="1"/>
  <c r="P753" i="1" s="1"/>
  <c r="Q754" i="1"/>
  <c r="R754" i="1" s="1"/>
  <c r="Q755" i="1"/>
  <c r="P755" i="1" s="1"/>
  <c r="Q756" i="1"/>
  <c r="P756" i="1" s="1"/>
  <c r="Q757" i="1"/>
  <c r="P757" i="1" s="1"/>
  <c r="Q758" i="1"/>
  <c r="Q759" i="1"/>
  <c r="Q760" i="1"/>
  <c r="Q761" i="1"/>
  <c r="Q762" i="1"/>
  <c r="Q763" i="1"/>
  <c r="Q764" i="1"/>
  <c r="P764" i="1" s="1"/>
  <c r="Q765" i="1"/>
  <c r="P765" i="1" s="1"/>
  <c r="Q766" i="1"/>
  <c r="Q767" i="1"/>
  <c r="P767" i="1" s="1"/>
  <c r="Q768" i="1"/>
  <c r="P768" i="1" s="1"/>
  <c r="Q769" i="1"/>
  <c r="R769" i="1" s="1"/>
  <c r="Q770" i="1"/>
  <c r="P770" i="1" s="1"/>
  <c r="Q771" i="1"/>
  <c r="Q772" i="1"/>
  <c r="R772" i="1" s="1"/>
  <c r="Q773" i="1"/>
  <c r="Q774" i="1"/>
  <c r="Q775" i="1"/>
  <c r="Q776" i="1"/>
  <c r="Q777" i="1"/>
  <c r="Q778" i="1"/>
  <c r="P778" i="1" s="1"/>
  <c r="Q779" i="1"/>
  <c r="P779" i="1" s="1"/>
  <c r="Q780" i="1"/>
  <c r="Q781" i="1"/>
  <c r="P781" i="1" s="1"/>
  <c r="Q782" i="1"/>
  <c r="P782" i="1" s="1"/>
  <c r="Q783" i="1"/>
  <c r="Q784" i="1"/>
  <c r="P784" i="1" s="1"/>
  <c r="Q785" i="1"/>
  <c r="Q786" i="1"/>
  <c r="P786" i="1" s="1"/>
  <c r="Q787" i="1"/>
  <c r="P787" i="1" s="1"/>
  <c r="Q788" i="1"/>
  <c r="R788" i="1" s="1"/>
  <c r="Q789" i="1"/>
  <c r="Q790" i="1"/>
  <c r="R790" i="1" s="1"/>
  <c r="Q791" i="1"/>
  <c r="Q792" i="1"/>
  <c r="P792" i="1" s="1"/>
  <c r="Q793" i="1"/>
  <c r="P793" i="1" s="1"/>
  <c r="Q794" i="1"/>
  <c r="Q795" i="1"/>
  <c r="Q796" i="1"/>
  <c r="P796" i="1" s="1"/>
  <c r="Q797" i="1"/>
  <c r="Q798" i="1"/>
  <c r="P798" i="1" s="1"/>
  <c r="Q799" i="1"/>
  <c r="P799" i="1" s="1"/>
  <c r="Q800" i="1"/>
  <c r="P800" i="1" s="1"/>
  <c r="Q801" i="1"/>
  <c r="P801" i="1" s="1"/>
  <c r="Q802" i="1"/>
  <c r="Q803" i="1"/>
  <c r="Q804" i="1"/>
  <c r="Q805" i="1"/>
  <c r="R805" i="1" s="1"/>
  <c r="Q806" i="1"/>
  <c r="P806" i="1" s="1"/>
  <c r="Q807" i="1"/>
  <c r="Q808" i="1"/>
  <c r="P808" i="1" s="1"/>
  <c r="Q809" i="1"/>
  <c r="Q810" i="1"/>
  <c r="Q811" i="1"/>
  <c r="P811" i="1" s="1"/>
  <c r="Q812" i="1"/>
  <c r="P812" i="1" s="1"/>
  <c r="Q813" i="1"/>
  <c r="P813" i="1" s="1"/>
  <c r="Q814" i="1"/>
  <c r="P814" i="1" s="1"/>
  <c r="Q815" i="1"/>
  <c r="P815" i="1" s="1"/>
  <c r="Q816" i="1"/>
  <c r="R816" i="1" s="1"/>
  <c r="Q817" i="1"/>
  <c r="R817" i="1" s="1"/>
  <c r="Q818" i="1"/>
  <c r="Q819" i="1"/>
  <c r="Q820" i="1"/>
  <c r="R820" i="1" s="1"/>
  <c r="Q821" i="1"/>
  <c r="Q822" i="1"/>
  <c r="P822" i="1" s="1"/>
  <c r="Q823" i="1"/>
  <c r="R823" i="1" s="1"/>
  <c r="Q824" i="1"/>
  <c r="Q825" i="1"/>
  <c r="P825" i="1" s="1"/>
  <c r="Q826" i="1"/>
  <c r="P826" i="1" s="1"/>
  <c r="Q827" i="1"/>
  <c r="P827" i="1" s="1"/>
  <c r="Q828" i="1"/>
  <c r="P828" i="1" s="1"/>
  <c r="Q829" i="1"/>
  <c r="P829" i="1" s="1"/>
  <c r="Q830" i="1"/>
  <c r="Q831" i="1"/>
  <c r="Q832" i="1"/>
  <c r="Q833" i="1"/>
  <c r="Q834" i="1"/>
  <c r="Q835" i="1"/>
  <c r="Q836" i="1"/>
  <c r="P836" i="1" s="1"/>
  <c r="Q837" i="1"/>
  <c r="P837" i="1" s="1"/>
  <c r="Q838" i="1"/>
  <c r="Q839" i="1"/>
  <c r="P839" i="1" s="1"/>
  <c r="Q840" i="1"/>
  <c r="P840" i="1" s="1"/>
  <c r="Q841" i="1"/>
  <c r="P841" i="1" s="1"/>
  <c r="Q842" i="1"/>
  <c r="R842" i="1" s="1"/>
  <c r="Q843" i="1"/>
  <c r="Q844" i="1"/>
  <c r="R844" i="1" s="1"/>
  <c r="Q845" i="1"/>
  <c r="Q846" i="1"/>
  <c r="Q847" i="1"/>
  <c r="Q848" i="1"/>
  <c r="Q849" i="1"/>
  <c r="R849" i="1" s="1"/>
  <c r="Q850" i="1"/>
  <c r="P850" i="1" s="1"/>
  <c r="Q851" i="1"/>
  <c r="R851" i="1" s="1"/>
  <c r="Q852" i="1"/>
  <c r="Q853" i="1"/>
  <c r="P853" i="1" s="1"/>
  <c r="Q854" i="1"/>
  <c r="P854" i="1" s="1"/>
  <c r="Q855" i="1"/>
  <c r="Q856" i="1"/>
  <c r="P856" i="1" s="1"/>
  <c r="Q857" i="1"/>
  <c r="P857" i="1" s="1"/>
  <c r="Q858" i="1"/>
  <c r="P858" i="1" s="1"/>
  <c r="Q859" i="1"/>
  <c r="Q860" i="1"/>
  <c r="Q861" i="1"/>
  <c r="Q862" i="1"/>
  <c r="Q863" i="1"/>
  <c r="P863" i="1" s="1"/>
  <c r="Q864" i="1"/>
  <c r="P864" i="1" s="1"/>
  <c r="Q865" i="1"/>
  <c r="R865" i="1" s="1"/>
  <c r="Q866" i="1"/>
  <c r="P866" i="1" s="1"/>
  <c r="Q867" i="1"/>
  <c r="Q868" i="1"/>
  <c r="P868" i="1" s="1"/>
  <c r="Q869" i="1"/>
  <c r="P869" i="1" s="1"/>
  <c r="Q870" i="1"/>
  <c r="P870" i="1" s="1"/>
  <c r="Q871" i="1"/>
  <c r="P871" i="1" s="1"/>
  <c r="Q872" i="1"/>
  <c r="Q873" i="1"/>
  <c r="R873" i="1" s="1"/>
  <c r="Q874" i="1"/>
  <c r="R874" i="1" s="1"/>
  <c r="Q875" i="1"/>
  <c r="Q876" i="1"/>
  <c r="R876" i="1" s="1"/>
  <c r="Q877" i="1"/>
  <c r="P877" i="1" s="1"/>
  <c r="Q878" i="1"/>
  <c r="Q879" i="1"/>
  <c r="Q880" i="1"/>
  <c r="P880" i="1" s="1"/>
  <c r="Q881" i="1"/>
  <c r="P881" i="1" s="1"/>
  <c r="Q882" i="1"/>
  <c r="P882" i="1" s="1"/>
  <c r="Q883" i="1"/>
  <c r="P883" i="1" s="1"/>
  <c r="Q884" i="1"/>
  <c r="P884" i="1" s="1"/>
  <c r="Q885" i="1"/>
  <c r="Q886" i="1"/>
  <c r="Q887" i="1"/>
  <c r="Q888" i="1"/>
  <c r="Q889" i="1"/>
  <c r="P889" i="1" s="1"/>
  <c r="Q890" i="1"/>
  <c r="R890" i="1" s="1"/>
  <c r="Q891" i="1"/>
  <c r="Q892" i="1"/>
  <c r="R892" i="1" s="1"/>
  <c r="Q893" i="1"/>
  <c r="P893" i="1" s="1"/>
  <c r="Q894" i="1"/>
  <c r="P894" i="1" s="1"/>
  <c r="Q895" i="1"/>
  <c r="P895" i="1" s="1"/>
  <c r="Q896" i="1"/>
  <c r="P896" i="1" s="1"/>
  <c r="Q897" i="1"/>
  <c r="P897" i="1" s="1"/>
  <c r="Q898" i="1"/>
  <c r="Q899" i="1"/>
  <c r="Q900" i="1"/>
  <c r="Q901" i="1"/>
  <c r="R901" i="1" s="1"/>
  <c r="Q902" i="1"/>
  <c r="R902" i="1" s="1"/>
  <c r="Q903" i="1"/>
  <c r="Q904" i="1"/>
  <c r="R904" i="1" s="1"/>
  <c r="Q905" i="1"/>
  <c r="Q906" i="1"/>
  <c r="P906" i="1" s="1"/>
  <c r="Q907" i="1"/>
  <c r="P907" i="1" s="1"/>
  <c r="Q908" i="1"/>
  <c r="P908" i="1" s="1"/>
  <c r="Q909" i="1"/>
  <c r="P909" i="1" s="1"/>
  <c r="Q910" i="1"/>
  <c r="P910" i="1" s="1"/>
  <c r="Q911" i="1"/>
  <c r="Q912" i="1"/>
  <c r="Q913" i="1"/>
  <c r="Q914" i="1"/>
  <c r="Q915" i="1"/>
  <c r="Q916" i="1"/>
  <c r="P916" i="1" s="1"/>
  <c r="Q917" i="1"/>
  <c r="P917" i="1" s="1"/>
  <c r="Q918" i="1"/>
  <c r="Q919" i="1"/>
  <c r="P919" i="1" s="1"/>
  <c r="Q920" i="1"/>
  <c r="P920" i="1" s="1"/>
  <c r="Q921" i="1"/>
  <c r="P921" i="1" s="1"/>
  <c r="Q922" i="1"/>
  <c r="P922" i="1" s="1"/>
  <c r="Q923" i="1"/>
  <c r="P923" i="1" s="1"/>
  <c r="Q924" i="1"/>
  <c r="Q925" i="1"/>
  <c r="Q926" i="1"/>
  <c r="Q927" i="1"/>
  <c r="Q928" i="1"/>
  <c r="Q929" i="1"/>
  <c r="P929" i="1" s="1"/>
  <c r="Q930" i="1"/>
  <c r="P930" i="1" s="1"/>
  <c r="Q931" i="1"/>
  <c r="Q932" i="1"/>
  <c r="P932" i="1" s="1"/>
  <c r="Q933" i="1"/>
  <c r="P933" i="1" s="1"/>
  <c r="Q934" i="1"/>
  <c r="P934" i="1" s="1"/>
  <c r="Q935" i="1"/>
  <c r="R935" i="1" s="1"/>
  <c r="Q936" i="1"/>
  <c r="R936" i="1" s="1"/>
  <c r="Q937" i="1"/>
  <c r="Q938" i="1"/>
  <c r="Q939" i="1"/>
  <c r="Q940" i="1"/>
  <c r="Q941" i="1"/>
  <c r="Q942" i="1"/>
  <c r="P942" i="1" s="1"/>
  <c r="Q943" i="1"/>
  <c r="P943" i="1" s="1"/>
  <c r="Q944" i="1"/>
  <c r="Q945" i="1"/>
  <c r="P945" i="1" s="1"/>
  <c r="Q946" i="1"/>
  <c r="P946" i="1" s="1"/>
  <c r="Q947" i="1"/>
  <c r="P947" i="1" s="1"/>
  <c r="Q948" i="1"/>
  <c r="P948" i="1" s="1"/>
  <c r="Q949" i="1"/>
  <c r="P949" i="1" s="1"/>
  <c r="Q950" i="1"/>
  <c r="R950" i="1" s="1"/>
  <c r="Q951" i="1"/>
  <c r="Q952" i="1"/>
  <c r="Q953" i="1"/>
  <c r="Q954" i="1"/>
  <c r="Q955" i="1"/>
  <c r="P955" i="1" s="1"/>
  <c r="Q956" i="1"/>
  <c r="P956" i="1" s="1"/>
  <c r="Q957" i="1"/>
  <c r="Q958" i="1"/>
  <c r="P958" i="1" s="1"/>
  <c r="Q959" i="1"/>
  <c r="P959" i="1" s="1"/>
  <c r="Q960" i="1"/>
  <c r="R960" i="1" s="1"/>
  <c r="Q961" i="1"/>
  <c r="R961" i="1" s="1"/>
  <c r="Q962" i="1"/>
  <c r="R962" i="1" s="1"/>
  <c r="Q963" i="1"/>
  <c r="Q964" i="1"/>
  <c r="Q965" i="1"/>
  <c r="Q966" i="1"/>
  <c r="Q967" i="1"/>
  <c r="R967" i="1" s="1"/>
  <c r="Q968" i="1"/>
  <c r="P968" i="1" s="1"/>
  <c r="Q969" i="1"/>
  <c r="P969" i="1" s="1"/>
  <c r="Q970" i="1"/>
  <c r="Q971" i="1"/>
  <c r="P971" i="1" s="1"/>
  <c r="Q972" i="1"/>
  <c r="P972" i="1" s="1"/>
  <c r="Q973" i="1"/>
  <c r="P973" i="1" s="1"/>
  <c r="Q974" i="1"/>
  <c r="P974" i="1" s="1"/>
  <c r="Q975" i="1"/>
  <c r="Q976" i="1"/>
  <c r="P976" i="1" s="1"/>
  <c r="Q977" i="1"/>
  <c r="Q978" i="1"/>
  <c r="Q979" i="1"/>
  <c r="P979" i="1" s="1"/>
  <c r="Q980" i="1"/>
  <c r="R980" i="1" s="1"/>
  <c r="Q981" i="1"/>
  <c r="P981" i="1" s="1"/>
  <c r="Q982" i="1"/>
  <c r="P982" i="1" s="1"/>
  <c r="Q983" i="1"/>
  <c r="Q984" i="1"/>
  <c r="P984" i="1" s="1"/>
  <c r="Q985" i="1"/>
  <c r="P985" i="1" s="1"/>
  <c r="Q986" i="1"/>
  <c r="P986" i="1" s="1"/>
  <c r="Q987" i="1"/>
  <c r="Q988" i="1"/>
  <c r="P988" i="1" s="1"/>
  <c r="Q989" i="1"/>
  <c r="P989" i="1" s="1"/>
  <c r="Q990" i="1"/>
  <c r="Q991" i="1"/>
  <c r="Q992" i="1"/>
  <c r="P992" i="1" s="1"/>
  <c r="Q993" i="1"/>
  <c r="Q994" i="1"/>
  <c r="P994" i="1" s="1"/>
  <c r="Q995" i="1"/>
  <c r="P995" i="1" s="1"/>
  <c r="Q996" i="1"/>
  <c r="Q997" i="1"/>
  <c r="P997" i="1" s="1"/>
  <c r="Q998" i="1"/>
  <c r="P998" i="1" s="1"/>
  <c r="Q999" i="1"/>
  <c r="Q1000" i="1"/>
  <c r="P1000" i="1" s="1"/>
  <c r="Q1001" i="1"/>
  <c r="P1001" i="1"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3"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K39" i="11" l="1"/>
  <c r="K38" i="11"/>
  <c r="K61" i="13"/>
  <c r="J63" i="13" s="1"/>
  <c r="K62" i="13"/>
  <c r="J62" i="13"/>
  <c r="K63" i="13"/>
  <c r="K64" i="13"/>
  <c r="K65" i="13"/>
  <c r="J61" i="13"/>
  <c r="J64" i="13"/>
  <c r="R498" i="1"/>
  <c r="R219" i="1"/>
  <c r="R18" i="1"/>
  <c r="R403" i="1"/>
  <c r="P876" i="1"/>
  <c r="R402" i="1"/>
  <c r="P644" i="1"/>
  <c r="R943" i="1"/>
  <c r="R317" i="1"/>
  <c r="P523" i="1"/>
  <c r="R933" i="1"/>
  <c r="R300" i="1"/>
  <c r="P477" i="1"/>
  <c r="R864" i="1"/>
  <c r="R220" i="1"/>
  <c r="P380" i="1"/>
  <c r="R793" i="1"/>
  <c r="P241" i="1"/>
  <c r="R792" i="1"/>
  <c r="R144" i="1"/>
  <c r="P200" i="1"/>
  <c r="R656" i="1"/>
  <c r="R126" i="1"/>
  <c r="R595" i="1"/>
  <c r="R125" i="1"/>
  <c r="R594" i="1"/>
  <c r="R104" i="1"/>
  <c r="R499" i="1"/>
  <c r="R19" i="1"/>
  <c r="R866" i="1"/>
  <c r="R997" i="1"/>
  <c r="R697" i="1"/>
  <c r="R995" i="1"/>
  <c r="R932" i="1"/>
  <c r="R863" i="1"/>
  <c r="R787" i="1"/>
  <c r="R684" i="1"/>
  <c r="R592" i="1"/>
  <c r="R496" i="1"/>
  <c r="R400" i="1"/>
  <c r="R299" i="1"/>
  <c r="R204" i="1"/>
  <c r="R107" i="1"/>
  <c r="R17" i="1"/>
  <c r="P851" i="1"/>
  <c r="P469" i="1"/>
  <c r="P192" i="1"/>
  <c r="R986" i="1"/>
  <c r="R930" i="1"/>
  <c r="R854" i="1"/>
  <c r="R781" i="1"/>
  <c r="R683" i="1"/>
  <c r="R578" i="1"/>
  <c r="R482" i="1"/>
  <c r="R386" i="1"/>
  <c r="R295" i="1"/>
  <c r="R203" i="1"/>
  <c r="R15" i="1"/>
  <c r="P844" i="1"/>
  <c r="P468" i="1"/>
  <c r="P191" i="1"/>
  <c r="R985" i="1"/>
  <c r="R909" i="1"/>
  <c r="R853" i="1"/>
  <c r="R779" i="1"/>
  <c r="R577" i="1"/>
  <c r="R481" i="1"/>
  <c r="R385" i="1"/>
  <c r="R279" i="1"/>
  <c r="R184" i="1"/>
  <c r="R103" i="1"/>
  <c r="P823" i="1"/>
  <c r="P431" i="1"/>
  <c r="R698" i="1"/>
  <c r="R976" i="1"/>
  <c r="R908" i="1"/>
  <c r="R841" i="1"/>
  <c r="R768" i="1"/>
  <c r="R655" i="1"/>
  <c r="R563" i="1"/>
  <c r="R467" i="1"/>
  <c r="R371" i="1"/>
  <c r="R278" i="1"/>
  <c r="R183" i="1"/>
  <c r="R86" i="1"/>
  <c r="P967" i="1"/>
  <c r="P788" i="1"/>
  <c r="P902" i="1"/>
  <c r="R974" i="1"/>
  <c r="R907" i="1"/>
  <c r="R840" i="1"/>
  <c r="R767" i="1"/>
  <c r="R654" i="1"/>
  <c r="R547" i="1"/>
  <c r="R451" i="1"/>
  <c r="R355" i="1"/>
  <c r="R260" i="1"/>
  <c r="R181" i="1"/>
  <c r="R84" i="1"/>
  <c r="P962" i="1"/>
  <c r="P379" i="1"/>
  <c r="P97" i="1"/>
  <c r="R973" i="1"/>
  <c r="R889" i="1"/>
  <c r="R839" i="1"/>
  <c r="R755" i="1"/>
  <c r="R642" i="1"/>
  <c r="R546" i="1"/>
  <c r="R450" i="1"/>
  <c r="R354" i="1"/>
  <c r="R259" i="1"/>
  <c r="R163" i="1"/>
  <c r="R63" i="1"/>
  <c r="P961" i="1"/>
  <c r="P716" i="1"/>
  <c r="P336" i="1"/>
  <c r="P55" i="1"/>
  <c r="R884" i="1"/>
  <c r="R828" i="1"/>
  <c r="R727" i="1"/>
  <c r="R626" i="1"/>
  <c r="R530" i="1"/>
  <c r="R434" i="1"/>
  <c r="R337" i="1"/>
  <c r="R258" i="1"/>
  <c r="R162" i="1"/>
  <c r="R62" i="1"/>
  <c r="P936" i="1"/>
  <c r="P715" i="1"/>
  <c r="P335" i="1"/>
  <c r="R956" i="1"/>
  <c r="R883" i="1"/>
  <c r="R827" i="1"/>
  <c r="R714" i="1"/>
  <c r="R625" i="1"/>
  <c r="R529" i="1"/>
  <c r="R433" i="1"/>
  <c r="R242" i="1"/>
  <c r="R146" i="1"/>
  <c r="R61" i="1"/>
  <c r="P935" i="1"/>
  <c r="P289" i="1"/>
  <c r="R955" i="1"/>
  <c r="R877" i="1"/>
  <c r="R815" i="1"/>
  <c r="R712" i="1"/>
  <c r="R624" i="1"/>
  <c r="R528" i="1"/>
  <c r="R432" i="1"/>
  <c r="R145" i="1"/>
  <c r="R42" i="1"/>
  <c r="P643" i="1"/>
  <c r="P287" i="1"/>
  <c r="R949" i="1"/>
  <c r="R806" i="1"/>
  <c r="R710" i="1"/>
  <c r="R611" i="1"/>
  <c r="R515" i="1"/>
  <c r="R419" i="1"/>
  <c r="R318" i="1"/>
  <c r="R221" i="1"/>
  <c r="R39" i="1"/>
  <c r="P904" i="1"/>
  <c r="P571" i="1"/>
  <c r="P247" i="1"/>
  <c r="P862" i="1"/>
  <c r="R862" i="1"/>
  <c r="P406" i="1"/>
  <c r="R406" i="1"/>
  <c r="R322" i="1"/>
  <c r="P322" i="1"/>
  <c r="R214" i="1"/>
  <c r="P214" i="1"/>
  <c r="R58" i="1"/>
  <c r="P58" i="1"/>
  <c r="P382" i="1"/>
  <c r="R885" i="1"/>
  <c r="P885" i="1"/>
  <c r="R777" i="1"/>
  <c r="P777" i="1"/>
  <c r="P537" i="1"/>
  <c r="R537" i="1"/>
  <c r="R321" i="1"/>
  <c r="P321" i="1"/>
  <c r="R213" i="1"/>
  <c r="P213" i="1"/>
  <c r="P680" i="1"/>
  <c r="R680" i="1"/>
  <c r="R464" i="1"/>
  <c r="P464" i="1"/>
  <c r="P356" i="1"/>
  <c r="R356" i="1"/>
  <c r="P56" i="1"/>
  <c r="R56" i="1"/>
  <c r="R813" i="1"/>
  <c r="R765" i="1"/>
  <c r="P561" i="1"/>
  <c r="P991" i="1"/>
  <c r="R991" i="1"/>
  <c r="P931" i="1"/>
  <c r="R931" i="1"/>
  <c r="R859" i="1"/>
  <c r="P859" i="1"/>
  <c r="P847" i="1"/>
  <c r="R847" i="1"/>
  <c r="P835" i="1"/>
  <c r="R835" i="1"/>
  <c r="P775" i="1"/>
  <c r="R775" i="1"/>
  <c r="P763" i="1"/>
  <c r="R763" i="1"/>
  <c r="P739" i="1"/>
  <c r="R739" i="1"/>
  <c r="P703" i="1"/>
  <c r="R703" i="1"/>
  <c r="P691" i="1"/>
  <c r="R691" i="1"/>
  <c r="P667" i="1"/>
  <c r="R667" i="1"/>
  <c r="P631" i="1"/>
  <c r="R631" i="1"/>
  <c r="P607" i="1"/>
  <c r="R607" i="1"/>
  <c r="P583" i="1"/>
  <c r="R583" i="1"/>
  <c r="P559" i="1"/>
  <c r="R559" i="1"/>
  <c r="R535" i="1"/>
  <c r="P535" i="1"/>
  <c r="P511" i="1"/>
  <c r="R511" i="1"/>
  <c r="P487" i="1"/>
  <c r="R487" i="1"/>
  <c r="P463" i="1"/>
  <c r="R463" i="1"/>
  <c r="P439" i="1"/>
  <c r="R439" i="1"/>
  <c r="P415" i="1"/>
  <c r="R415" i="1"/>
  <c r="P391" i="1"/>
  <c r="R391" i="1"/>
  <c r="P367" i="1"/>
  <c r="R367" i="1"/>
  <c r="R343" i="1"/>
  <c r="P343" i="1"/>
  <c r="P331" i="1"/>
  <c r="R331" i="1"/>
  <c r="P235" i="1"/>
  <c r="R235" i="1"/>
  <c r="P211" i="1"/>
  <c r="R211" i="1"/>
  <c r="P199" i="1"/>
  <c r="R199" i="1"/>
  <c r="P187" i="1"/>
  <c r="R187" i="1"/>
  <c r="P151" i="1"/>
  <c r="R151" i="1"/>
  <c r="R139" i="1"/>
  <c r="P139" i="1"/>
  <c r="R127" i="1"/>
  <c r="P127" i="1"/>
  <c r="P115" i="1"/>
  <c r="R115" i="1"/>
  <c r="R91" i="1"/>
  <c r="P91" i="1"/>
  <c r="P79" i="1"/>
  <c r="R79" i="1"/>
  <c r="P67" i="1"/>
  <c r="R67" i="1"/>
  <c r="P7" i="1"/>
  <c r="R7" i="1"/>
  <c r="R992" i="1"/>
  <c r="R972" i="1"/>
  <c r="R948" i="1"/>
  <c r="R929" i="1"/>
  <c r="R906" i="1"/>
  <c r="R882" i="1"/>
  <c r="R858" i="1"/>
  <c r="R837" i="1"/>
  <c r="R812" i="1"/>
  <c r="R786" i="1"/>
  <c r="R764" i="1"/>
  <c r="R736" i="1"/>
  <c r="R707" i="1"/>
  <c r="R679" i="1"/>
  <c r="R649" i="1"/>
  <c r="R621" i="1"/>
  <c r="R588" i="1"/>
  <c r="R556" i="1"/>
  <c r="R525" i="1"/>
  <c r="R492" i="1"/>
  <c r="R460" i="1"/>
  <c r="R429" i="1"/>
  <c r="R396" i="1"/>
  <c r="R364" i="1"/>
  <c r="R330" i="1"/>
  <c r="R291" i="1"/>
  <c r="R253" i="1"/>
  <c r="R216" i="1"/>
  <c r="R175" i="1"/>
  <c r="R137" i="1"/>
  <c r="R98" i="1"/>
  <c r="R54" i="1"/>
  <c r="P960" i="1"/>
  <c r="P901" i="1"/>
  <c r="P842" i="1"/>
  <c r="P709" i="1"/>
  <c r="P637" i="1"/>
  <c r="P560" i="1"/>
  <c r="P372" i="1"/>
  <c r="P283" i="1"/>
  <c r="P189" i="1"/>
  <c r="P94" i="1"/>
  <c r="P766" i="1"/>
  <c r="R766" i="1"/>
  <c r="P658" i="1"/>
  <c r="R658" i="1"/>
  <c r="P538" i="1"/>
  <c r="R538" i="1"/>
  <c r="P358" i="1"/>
  <c r="R358" i="1"/>
  <c r="R250" i="1"/>
  <c r="P250" i="1"/>
  <c r="R154" i="1"/>
  <c r="P154" i="1"/>
  <c r="R70" i="1"/>
  <c r="P70" i="1"/>
  <c r="R705" i="1"/>
  <c r="P705" i="1"/>
  <c r="P489" i="1"/>
  <c r="R489" i="1"/>
  <c r="R249" i="1"/>
  <c r="P249" i="1"/>
  <c r="R141" i="1"/>
  <c r="P141" i="1"/>
  <c r="P849" i="1"/>
  <c r="P848" i="1"/>
  <c r="R848" i="1"/>
  <c r="R632" i="1"/>
  <c r="P632" i="1"/>
  <c r="R392" i="1"/>
  <c r="P392" i="1"/>
  <c r="P44" i="1"/>
  <c r="R44" i="1"/>
  <c r="R20" i="1"/>
  <c r="P20" i="1"/>
  <c r="R994" i="1"/>
  <c r="R740" i="1"/>
  <c r="R369" i="1"/>
  <c r="P990" i="1"/>
  <c r="R990" i="1"/>
  <c r="P978" i="1"/>
  <c r="R978" i="1"/>
  <c r="P966" i="1"/>
  <c r="R966" i="1"/>
  <c r="P954" i="1"/>
  <c r="R954" i="1"/>
  <c r="P918" i="1"/>
  <c r="R918" i="1"/>
  <c r="P846" i="1"/>
  <c r="R846" i="1"/>
  <c r="P834" i="1"/>
  <c r="R834" i="1"/>
  <c r="P810" i="1"/>
  <c r="R810" i="1"/>
  <c r="P774" i="1"/>
  <c r="R774" i="1"/>
  <c r="P762" i="1"/>
  <c r="R762" i="1"/>
  <c r="P738" i="1"/>
  <c r="R738" i="1"/>
  <c r="P702" i="1"/>
  <c r="R702" i="1"/>
  <c r="P690" i="1"/>
  <c r="R690" i="1"/>
  <c r="P666" i="1"/>
  <c r="R666" i="1"/>
  <c r="P630" i="1"/>
  <c r="R630" i="1"/>
  <c r="P618" i="1"/>
  <c r="R618" i="1"/>
  <c r="P606" i="1"/>
  <c r="R606" i="1"/>
  <c r="P582" i="1"/>
  <c r="R582" i="1"/>
  <c r="P570" i="1"/>
  <c r="R570" i="1"/>
  <c r="P558" i="1"/>
  <c r="R558" i="1"/>
  <c r="P534" i="1"/>
  <c r="R534" i="1"/>
  <c r="P522" i="1"/>
  <c r="R522" i="1"/>
  <c r="P510" i="1"/>
  <c r="R510" i="1"/>
  <c r="P486" i="1"/>
  <c r="R486" i="1"/>
  <c r="P474" i="1"/>
  <c r="R474" i="1"/>
  <c r="P462" i="1"/>
  <c r="R462" i="1"/>
  <c r="P438" i="1"/>
  <c r="R438" i="1"/>
  <c r="P426" i="1"/>
  <c r="R426" i="1"/>
  <c r="P414" i="1"/>
  <c r="R414" i="1"/>
  <c r="P390" i="1"/>
  <c r="R390" i="1"/>
  <c r="P378" i="1"/>
  <c r="R378" i="1"/>
  <c r="P366" i="1"/>
  <c r="R366" i="1"/>
  <c r="P342" i="1"/>
  <c r="R342" i="1"/>
  <c r="P306" i="1"/>
  <c r="R306" i="1"/>
  <c r="P294" i="1"/>
  <c r="R294" i="1"/>
  <c r="P282" i="1"/>
  <c r="R282" i="1"/>
  <c r="P246" i="1"/>
  <c r="R246" i="1"/>
  <c r="P234" i="1"/>
  <c r="R234" i="1"/>
  <c r="P222" i="1"/>
  <c r="R222" i="1"/>
  <c r="P210" i="1"/>
  <c r="R210" i="1"/>
  <c r="P198" i="1"/>
  <c r="R198" i="1"/>
  <c r="P150" i="1"/>
  <c r="R150" i="1"/>
  <c r="P138" i="1"/>
  <c r="R138" i="1"/>
  <c r="P114" i="1"/>
  <c r="R114" i="1"/>
  <c r="P102" i="1"/>
  <c r="R102" i="1"/>
  <c r="P90" i="1"/>
  <c r="R90" i="1"/>
  <c r="P78" i="1"/>
  <c r="R78" i="1"/>
  <c r="P66" i="1"/>
  <c r="R66" i="1"/>
  <c r="P30" i="1"/>
  <c r="R30" i="1"/>
  <c r="R989" i="1"/>
  <c r="R971" i="1"/>
  <c r="R947" i="1"/>
  <c r="R923" i="1"/>
  <c r="R881" i="1"/>
  <c r="R857" i="1"/>
  <c r="R836" i="1"/>
  <c r="R811" i="1"/>
  <c r="R784" i="1"/>
  <c r="R757" i="1"/>
  <c r="R734" i="1"/>
  <c r="R706" i="1"/>
  <c r="R678" i="1"/>
  <c r="R648" i="1"/>
  <c r="R619" i="1"/>
  <c r="R587" i="1"/>
  <c r="R554" i="1"/>
  <c r="R491" i="1"/>
  <c r="R458" i="1"/>
  <c r="R427" i="1"/>
  <c r="R395" i="1"/>
  <c r="R362" i="1"/>
  <c r="R328" i="1"/>
  <c r="R290" i="1"/>
  <c r="R251" i="1"/>
  <c r="R212" i="1"/>
  <c r="R174" i="1"/>
  <c r="R135" i="1"/>
  <c r="R53" i="1"/>
  <c r="R9" i="1"/>
  <c r="P950" i="1"/>
  <c r="P892" i="1"/>
  <c r="P772" i="1"/>
  <c r="P700" i="1"/>
  <c r="P628" i="1"/>
  <c r="P544" i="1"/>
  <c r="P453" i="1"/>
  <c r="P360" i="1"/>
  <c r="P271" i="1"/>
  <c r="P176" i="1"/>
  <c r="P83" i="1"/>
  <c r="P802" i="1"/>
  <c r="R802" i="1"/>
  <c r="P694" i="1"/>
  <c r="R694" i="1"/>
  <c r="P574" i="1"/>
  <c r="R574" i="1"/>
  <c r="R262" i="1"/>
  <c r="P262" i="1"/>
  <c r="R142" i="1"/>
  <c r="P142" i="1"/>
  <c r="R82" i="1"/>
  <c r="P82" i="1"/>
  <c r="R742" i="1"/>
  <c r="P718" i="1"/>
  <c r="P646" i="1"/>
  <c r="P717" i="1"/>
  <c r="R717" i="1"/>
  <c r="R273" i="1"/>
  <c r="P273" i="1"/>
  <c r="R69" i="1"/>
  <c r="P69" i="1"/>
  <c r="R814" i="1"/>
  <c r="R562" i="1"/>
  <c r="R860" i="1"/>
  <c r="P860" i="1"/>
  <c r="P752" i="1"/>
  <c r="R752" i="1"/>
  <c r="P536" i="1"/>
  <c r="R536" i="1"/>
  <c r="P404" i="1"/>
  <c r="R404" i="1"/>
  <c r="P296" i="1"/>
  <c r="R296" i="1"/>
  <c r="P224" i="1"/>
  <c r="R224" i="1"/>
  <c r="P68" i="1"/>
  <c r="R68" i="1"/>
  <c r="P284" i="1"/>
  <c r="P977" i="1"/>
  <c r="R977" i="1"/>
  <c r="P965" i="1"/>
  <c r="R965" i="1"/>
  <c r="P953" i="1"/>
  <c r="R953" i="1"/>
  <c r="P941" i="1"/>
  <c r="R941" i="1"/>
  <c r="P905" i="1"/>
  <c r="R905" i="1"/>
  <c r="P845" i="1"/>
  <c r="R845" i="1"/>
  <c r="P833" i="1"/>
  <c r="R833" i="1"/>
  <c r="P821" i="1"/>
  <c r="R821" i="1"/>
  <c r="P809" i="1"/>
  <c r="R809" i="1"/>
  <c r="P797" i="1"/>
  <c r="R797" i="1"/>
  <c r="P785" i="1"/>
  <c r="R785" i="1"/>
  <c r="P773" i="1"/>
  <c r="R773" i="1"/>
  <c r="P761" i="1"/>
  <c r="R761" i="1"/>
  <c r="P749" i="1"/>
  <c r="R749" i="1"/>
  <c r="P737" i="1"/>
  <c r="R737" i="1"/>
  <c r="P725" i="1"/>
  <c r="R725" i="1"/>
  <c r="P713" i="1"/>
  <c r="R713" i="1"/>
  <c r="P701" i="1"/>
  <c r="R701" i="1"/>
  <c r="P689" i="1"/>
  <c r="R689" i="1"/>
  <c r="P677" i="1"/>
  <c r="R677" i="1"/>
  <c r="P665" i="1"/>
  <c r="R665" i="1"/>
  <c r="P653" i="1"/>
  <c r="R653" i="1"/>
  <c r="P641" i="1"/>
  <c r="R641" i="1"/>
  <c r="P629" i="1"/>
  <c r="R629" i="1"/>
  <c r="P617" i="1"/>
  <c r="R617" i="1"/>
  <c r="P605" i="1"/>
  <c r="R605" i="1"/>
  <c r="P593" i="1"/>
  <c r="R593" i="1"/>
  <c r="P581" i="1"/>
  <c r="R581" i="1"/>
  <c r="P569" i="1"/>
  <c r="R569" i="1"/>
  <c r="P557" i="1"/>
  <c r="R557" i="1"/>
  <c r="P545" i="1"/>
  <c r="R545" i="1"/>
  <c r="P533" i="1"/>
  <c r="R533" i="1"/>
  <c r="P521" i="1"/>
  <c r="R521" i="1"/>
  <c r="P509" i="1"/>
  <c r="R509" i="1"/>
  <c r="P497" i="1"/>
  <c r="R497" i="1"/>
  <c r="P485" i="1"/>
  <c r="R485" i="1"/>
  <c r="P473" i="1"/>
  <c r="R473" i="1"/>
  <c r="P461" i="1"/>
  <c r="R461" i="1"/>
  <c r="P449" i="1"/>
  <c r="R449" i="1"/>
  <c r="P437" i="1"/>
  <c r="R437" i="1"/>
  <c r="P425" i="1"/>
  <c r="R425" i="1"/>
  <c r="P413" i="1"/>
  <c r="R413" i="1"/>
  <c r="P401" i="1"/>
  <c r="R401" i="1"/>
  <c r="P389" i="1"/>
  <c r="R389" i="1"/>
  <c r="P377" i="1"/>
  <c r="R377" i="1"/>
  <c r="P365" i="1"/>
  <c r="R365" i="1"/>
  <c r="P353" i="1"/>
  <c r="R353" i="1"/>
  <c r="P341" i="1"/>
  <c r="R341" i="1"/>
  <c r="P329" i="1"/>
  <c r="R329" i="1"/>
  <c r="P305" i="1"/>
  <c r="R305" i="1"/>
  <c r="P293" i="1"/>
  <c r="R293" i="1"/>
  <c r="P269" i="1"/>
  <c r="R269" i="1"/>
  <c r="P257" i="1"/>
  <c r="R257" i="1"/>
  <c r="P245" i="1"/>
  <c r="R245" i="1"/>
  <c r="P209" i="1"/>
  <c r="R209" i="1"/>
  <c r="P197" i="1"/>
  <c r="R197" i="1"/>
  <c r="P185" i="1"/>
  <c r="R185" i="1"/>
  <c r="P173" i="1"/>
  <c r="R173" i="1"/>
  <c r="P149" i="1"/>
  <c r="R149" i="1"/>
  <c r="P113" i="1"/>
  <c r="R113" i="1"/>
  <c r="P101" i="1"/>
  <c r="R101" i="1"/>
  <c r="P89" i="1"/>
  <c r="R89" i="1"/>
  <c r="P77" i="1"/>
  <c r="R77" i="1"/>
  <c r="P41" i="1"/>
  <c r="R41" i="1"/>
  <c r="P29" i="1"/>
  <c r="R29" i="1"/>
  <c r="P5" i="1"/>
  <c r="R5" i="1"/>
  <c r="R988" i="1"/>
  <c r="R969" i="1"/>
  <c r="R946" i="1"/>
  <c r="R922" i="1"/>
  <c r="R880" i="1"/>
  <c r="R856" i="1"/>
  <c r="R829" i="1"/>
  <c r="R808" i="1"/>
  <c r="R782" i="1"/>
  <c r="R756" i="1"/>
  <c r="R729" i="1"/>
  <c r="R671" i="1"/>
  <c r="R612" i="1"/>
  <c r="R580" i="1"/>
  <c r="R549" i="1"/>
  <c r="R516" i="1"/>
  <c r="R484" i="1"/>
  <c r="R420" i="1"/>
  <c r="R388" i="1"/>
  <c r="R357" i="1"/>
  <c r="R319" i="1"/>
  <c r="R281" i="1"/>
  <c r="R244" i="1"/>
  <c r="R205" i="1"/>
  <c r="R167" i="1"/>
  <c r="R128" i="1"/>
  <c r="R87" i="1"/>
  <c r="R43" i="1"/>
  <c r="R8" i="1"/>
  <c r="P890" i="1"/>
  <c r="P769" i="1"/>
  <c r="P541" i="1"/>
  <c r="P452" i="1"/>
  <c r="P359" i="1"/>
  <c r="P264" i="1"/>
  <c r="P81" i="1"/>
  <c r="P838" i="1"/>
  <c r="R838" i="1"/>
  <c r="P490" i="1"/>
  <c r="R490" i="1"/>
  <c r="R274" i="1"/>
  <c r="P274" i="1"/>
  <c r="R178" i="1"/>
  <c r="P178" i="1"/>
  <c r="R34" i="1"/>
  <c r="P34" i="1"/>
  <c r="R633" i="1"/>
  <c r="P633" i="1"/>
  <c r="R297" i="1"/>
  <c r="P297" i="1"/>
  <c r="R177" i="1"/>
  <c r="P177" i="1"/>
  <c r="R741" i="1"/>
  <c r="R466" i="1"/>
  <c r="R776" i="1"/>
  <c r="P776" i="1"/>
  <c r="P572" i="1"/>
  <c r="R572" i="1"/>
  <c r="P332" i="1"/>
  <c r="R332" i="1"/>
  <c r="R92" i="1"/>
  <c r="P92" i="1"/>
  <c r="R832" i="1"/>
  <c r="P832" i="1"/>
  <c r="R760" i="1"/>
  <c r="P760" i="1"/>
  <c r="P268" i="1"/>
  <c r="R268" i="1"/>
  <c r="P196" i="1"/>
  <c r="R196" i="1"/>
  <c r="P124" i="1"/>
  <c r="R124" i="1"/>
  <c r="P754" i="1"/>
  <c r="P609" i="1"/>
  <c r="P987" i="1"/>
  <c r="R987" i="1"/>
  <c r="P927" i="1"/>
  <c r="R927" i="1"/>
  <c r="P843" i="1"/>
  <c r="R843" i="1"/>
  <c r="P771" i="1"/>
  <c r="R771" i="1"/>
  <c r="P699" i="1"/>
  <c r="R699" i="1"/>
  <c r="P627" i="1"/>
  <c r="R627" i="1"/>
  <c r="P555" i="1"/>
  <c r="R555" i="1"/>
  <c r="P483" i="1"/>
  <c r="R483" i="1"/>
  <c r="P399" i="1"/>
  <c r="R399" i="1"/>
  <c r="P327" i="1"/>
  <c r="R327" i="1"/>
  <c r="P243" i="1"/>
  <c r="R243" i="1"/>
  <c r="P171" i="1"/>
  <c r="R171" i="1"/>
  <c r="R669" i="1"/>
  <c r="P148" i="1"/>
  <c r="P938" i="1"/>
  <c r="R938" i="1"/>
  <c r="P926" i="1"/>
  <c r="R926" i="1"/>
  <c r="P914" i="1"/>
  <c r="R914" i="1"/>
  <c r="P878" i="1"/>
  <c r="R878" i="1"/>
  <c r="P830" i="1"/>
  <c r="R830" i="1"/>
  <c r="P818" i="1"/>
  <c r="R818" i="1"/>
  <c r="P794" i="1"/>
  <c r="R794" i="1"/>
  <c r="P758" i="1"/>
  <c r="R758" i="1"/>
  <c r="P746" i="1"/>
  <c r="R746" i="1"/>
  <c r="P722" i="1"/>
  <c r="R722" i="1"/>
  <c r="P686" i="1"/>
  <c r="R686" i="1"/>
  <c r="P674" i="1"/>
  <c r="R674" i="1"/>
  <c r="P650" i="1"/>
  <c r="R650" i="1"/>
  <c r="P614" i="1"/>
  <c r="R614" i="1"/>
  <c r="P590" i="1"/>
  <c r="R590" i="1"/>
  <c r="P566" i="1"/>
  <c r="R566" i="1"/>
  <c r="P542" i="1"/>
  <c r="R542" i="1"/>
  <c r="P518" i="1"/>
  <c r="R518" i="1"/>
  <c r="P494" i="1"/>
  <c r="R494" i="1"/>
  <c r="P470" i="1"/>
  <c r="R470" i="1"/>
  <c r="P446" i="1"/>
  <c r="R446" i="1"/>
  <c r="P422" i="1"/>
  <c r="R422" i="1"/>
  <c r="P398" i="1"/>
  <c r="R398" i="1"/>
  <c r="P374" i="1"/>
  <c r="R374" i="1"/>
  <c r="P350" i="1"/>
  <c r="R350" i="1"/>
  <c r="P338" i="1"/>
  <c r="R338" i="1"/>
  <c r="P326" i="1"/>
  <c r="R326" i="1"/>
  <c r="P314" i="1"/>
  <c r="R314" i="1"/>
  <c r="P266" i="1"/>
  <c r="R266" i="1"/>
  <c r="P254" i="1"/>
  <c r="R254" i="1"/>
  <c r="P230" i="1"/>
  <c r="R230" i="1"/>
  <c r="P218" i="1"/>
  <c r="R218" i="1"/>
  <c r="P206" i="1"/>
  <c r="R206" i="1"/>
  <c r="P194" i="1"/>
  <c r="R194" i="1"/>
  <c r="P182" i="1"/>
  <c r="R182" i="1"/>
  <c r="P170" i="1"/>
  <c r="R170" i="1"/>
  <c r="P134" i="1"/>
  <c r="R134" i="1"/>
  <c r="P122" i="1"/>
  <c r="R122" i="1"/>
  <c r="P110" i="1"/>
  <c r="R110" i="1"/>
  <c r="P74" i="1"/>
  <c r="R74" i="1"/>
  <c r="P50" i="1"/>
  <c r="R50" i="1"/>
  <c r="P38" i="1"/>
  <c r="R38" i="1"/>
  <c r="P26" i="1"/>
  <c r="R26" i="1"/>
  <c r="P14" i="1"/>
  <c r="R14" i="1"/>
  <c r="P2" i="1"/>
  <c r="R2" i="1"/>
  <c r="R984" i="1"/>
  <c r="R942" i="1"/>
  <c r="R919" i="1"/>
  <c r="R895" i="1"/>
  <c r="R871" i="1"/>
  <c r="R826" i="1"/>
  <c r="R800" i="1"/>
  <c r="R778" i="1"/>
  <c r="R753" i="1"/>
  <c r="R726" i="1"/>
  <c r="R696" i="1"/>
  <c r="R668" i="1"/>
  <c r="R638" i="1"/>
  <c r="R576" i="1"/>
  <c r="R513" i="1"/>
  <c r="R480" i="1"/>
  <c r="R448" i="1"/>
  <c r="R417" i="1"/>
  <c r="R384" i="1"/>
  <c r="R352" i="1"/>
  <c r="R316" i="1"/>
  <c r="R277" i="1"/>
  <c r="R239" i="1"/>
  <c r="R161" i="1"/>
  <c r="R123" i="1"/>
  <c r="P874" i="1"/>
  <c r="P817" i="1"/>
  <c r="P751" i="1"/>
  <c r="P601" i="1"/>
  <c r="P421" i="1"/>
  <c r="P237" i="1"/>
  <c r="P48" i="1"/>
  <c r="P970" i="1"/>
  <c r="R970" i="1"/>
  <c r="R886" i="1"/>
  <c r="P886" i="1"/>
  <c r="P622" i="1"/>
  <c r="R622" i="1"/>
  <c r="P526" i="1"/>
  <c r="R526" i="1"/>
  <c r="P454" i="1"/>
  <c r="R454" i="1"/>
  <c r="R238" i="1"/>
  <c r="P238" i="1"/>
  <c r="R202" i="1"/>
  <c r="P202" i="1"/>
  <c r="R130" i="1"/>
  <c r="P130" i="1"/>
  <c r="R106" i="1"/>
  <c r="P106" i="1"/>
  <c r="R46" i="1"/>
  <c r="P46" i="1"/>
  <c r="P585" i="1"/>
  <c r="R585" i="1"/>
  <c r="R333" i="1"/>
  <c r="P333" i="1"/>
  <c r="R285" i="1"/>
  <c r="P285" i="1"/>
  <c r="R225" i="1"/>
  <c r="P225" i="1"/>
  <c r="R117" i="1"/>
  <c r="P117" i="1"/>
  <c r="R93" i="1"/>
  <c r="P93" i="1"/>
  <c r="R21" i="1"/>
  <c r="P21" i="1"/>
  <c r="P872" i="1"/>
  <c r="R872" i="1"/>
  <c r="P824" i="1"/>
  <c r="R824" i="1"/>
  <c r="R704" i="1"/>
  <c r="P704" i="1"/>
  <c r="P620" i="1"/>
  <c r="R620" i="1"/>
  <c r="R596" i="1"/>
  <c r="P596" i="1"/>
  <c r="P488" i="1"/>
  <c r="R488" i="1"/>
  <c r="P344" i="1"/>
  <c r="R344" i="1"/>
  <c r="P152" i="1"/>
  <c r="R152" i="1"/>
  <c r="P140" i="1"/>
  <c r="R140" i="1"/>
  <c r="R465" i="1"/>
  <c r="P952" i="1"/>
  <c r="R952" i="1"/>
  <c r="R928" i="1"/>
  <c r="P928" i="1"/>
  <c r="P748" i="1"/>
  <c r="R748" i="1"/>
  <c r="P724" i="1"/>
  <c r="R724" i="1"/>
  <c r="R688" i="1"/>
  <c r="P688" i="1"/>
  <c r="P652" i="1"/>
  <c r="R652" i="1"/>
  <c r="P616" i="1"/>
  <c r="R616" i="1"/>
  <c r="P520" i="1"/>
  <c r="R520" i="1"/>
  <c r="P376" i="1"/>
  <c r="R376" i="1"/>
  <c r="P304" i="1"/>
  <c r="R304" i="1"/>
  <c r="P256" i="1"/>
  <c r="R256" i="1"/>
  <c r="P208" i="1"/>
  <c r="R208" i="1"/>
  <c r="P160" i="1"/>
  <c r="R160" i="1"/>
  <c r="P136" i="1"/>
  <c r="R136" i="1"/>
  <c r="P88" i="1"/>
  <c r="R88" i="1"/>
  <c r="P64" i="1"/>
  <c r="R64" i="1"/>
  <c r="P16" i="1"/>
  <c r="R16" i="1"/>
  <c r="R968" i="1"/>
  <c r="R897" i="1"/>
  <c r="P57" i="1"/>
  <c r="P999" i="1"/>
  <c r="R999" i="1"/>
  <c r="P963" i="1"/>
  <c r="R963" i="1"/>
  <c r="P939" i="1"/>
  <c r="R939" i="1"/>
  <c r="P891" i="1"/>
  <c r="R891" i="1"/>
  <c r="P867" i="1"/>
  <c r="R867" i="1"/>
  <c r="P819" i="1"/>
  <c r="R819" i="1"/>
  <c r="P795" i="1"/>
  <c r="R795" i="1"/>
  <c r="P747" i="1"/>
  <c r="R747" i="1"/>
  <c r="P723" i="1"/>
  <c r="R723" i="1"/>
  <c r="P663" i="1"/>
  <c r="R663" i="1"/>
  <c r="P639" i="1"/>
  <c r="R639" i="1"/>
  <c r="P591" i="1"/>
  <c r="R591" i="1"/>
  <c r="P567" i="1"/>
  <c r="R567" i="1"/>
  <c r="P519" i="1"/>
  <c r="R519" i="1"/>
  <c r="P495" i="1"/>
  <c r="R495" i="1"/>
  <c r="P447" i="1"/>
  <c r="R447" i="1"/>
  <c r="P423" i="1"/>
  <c r="R423" i="1"/>
  <c r="P375" i="1"/>
  <c r="R375" i="1"/>
  <c r="P351" i="1"/>
  <c r="R351" i="1"/>
  <c r="P315" i="1"/>
  <c r="R315" i="1"/>
  <c r="P255" i="1"/>
  <c r="R255" i="1"/>
  <c r="P207" i="1"/>
  <c r="R207" i="1"/>
  <c r="P111" i="1"/>
  <c r="R111" i="1"/>
  <c r="R920" i="1"/>
  <c r="R610" i="1"/>
  <c r="R514" i="1"/>
  <c r="R418" i="1"/>
  <c r="P608" i="1"/>
  <c r="P937" i="1"/>
  <c r="R937" i="1"/>
  <c r="P925" i="1"/>
  <c r="R925" i="1"/>
  <c r="P913" i="1"/>
  <c r="R913" i="1"/>
  <c r="R613" i="1"/>
  <c r="P613" i="1"/>
  <c r="P589" i="1"/>
  <c r="R589" i="1"/>
  <c r="P565" i="1"/>
  <c r="R565" i="1"/>
  <c r="P553" i="1"/>
  <c r="R553" i="1"/>
  <c r="P517" i="1"/>
  <c r="R517" i="1"/>
  <c r="R505" i="1"/>
  <c r="P505" i="1"/>
  <c r="P493" i="1"/>
  <c r="R493" i="1"/>
  <c r="R457" i="1"/>
  <c r="P457" i="1"/>
  <c r="P445" i="1"/>
  <c r="R445" i="1"/>
  <c r="P409" i="1"/>
  <c r="R409" i="1"/>
  <c r="P397" i="1"/>
  <c r="R397" i="1"/>
  <c r="P373" i="1"/>
  <c r="R373" i="1"/>
  <c r="P361" i="1"/>
  <c r="R361" i="1"/>
  <c r="P349" i="1"/>
  <c r="R349" i="1"/>
  <c r="P301" i="1"/>
  <c r="R301" i="1"/>
  <c r="P265" i="1"/>
  <c r="R265" i="1"/>
  <c r="P229" i="1"/>
  <c r="R229" i="1"/>
  <c r="P169" i="1"/>
  <c r="R169" i="1"/>
  <c r="P157" i="1"/>
  <c r="R157" i="1"/>
  <c r="P133" i="1"/>
  <c r="R133" i="1"/>
  <c r="P121" i="1"/>
  <c r="R121" i="1"/>
  <c r="P85" i="1"/>
  <c r="R85" i="1"/>
  <c r="P73" i="1"/>
  <c r="R73" i="1"/>
  <c r="P49" i="1"/>
  <c r="R49" i="1"/>
  <c r="P37" i="1"/>
  <c r="R37" i="1"/>
  <c r="R13" i="1"/>
  <c r="P13" i="1"/>
  <c r="R1001" i="1"/>
  <c r="R982" i="1"/>
  <c r="R917" i="1"/>
  <c r="R894" i="1"/>
  <c r="R870" i="1"/>
  <c r="R850" i="1"/>
  <c r="R825" i="1"/>
  <c r="R799" i="1"/>
  <c r="R721" i="1"/>
  <c r="R693" i="1"/>
  <c r="R664" i="1"/>
  <c r="R635" i="1"/>
  <c r="R604" i="1"/>
  <c r="R573" i="1"/>
  <c r="R540" i="1"/>
  <c r="R508" i="1"/>
  <c r="R444" i="1"/>
  <c r="R412" i="1"/>
  <c r="R381" i="1"/>
  <c r="R348" i="1"/>
  <c r="R311" i="1"/>
  <c r="R272" i="1"/>
  <c r="R233" i="1"/>
  <c r="R195" i="1"/>
  <c r="R158" i="1"/>
  <c r="R119" i="1"/>
  <c r="R76" i="1"/>
  <c r="R32" i="1"/>
  <c r="P873" i="1"/>
  <c r="P816" i="1"/>
  <c r="P745" i="1"/>
  <c r="P673" i="1"/>
  <c r="P598" i="1"/>
  <c r="P325" i="1"/>
  <c r="P236" i="1"/>
  <c r="P143" i="1"/>
  <c r="P45" i="1"/>
  <c r="P730" i="1"/>
  <c r="R730" i="1"/>
  <c r="P478" i="1"/>
  <c r="R478" i="1"/>
  <c r="P394" i="1"/>
  <c r="R394" i="1"/>
  <c r="R286" i="1"/>
  <c r="P286" i="1"/>
  <c r="R166" i="1"/>
  <c r="P166" i="1"/>
  <c r="R22" i="1"/>
  <c r="P22" i="1"/>
  <c r="P790" i="1"/>
  <c r="P957" i="1"/>
  <c r="R957" i="1"/>
  <c r="P861" i="1"/>
  <c r="R861" i="1"/>
  <c r="P393" i="1"/>
  <c r="R393" i="1"/>
  <c r="R261" i="1"/>
  <c r="P261" i="1"/>
  <c r="R165" i="1"/>
  <c r="P165" i="1"/>
  <c r="R33" i="1"/>
  <c r="P33" i="1"/>
  <c r="R370" i="1"/>
  <c r="P548" i="1"/>
  <c r="R548" i="1"/>
  <c r="P440" i="1"/>
  <c r="R440" i="1"/>
  <c r="R308" i="1"/>
  <c r="P308" i="1"/>
  <c r="P188" i="1"/>
  <c r="R188" i="1"/>
  <c r="P80" i="1"/>
  <c r="R80" i="1"/>
  <c r="R682" i="1"/>
  <c r="P940" i="1"/>
  <c r="R940" i="1"/>
  <c r="P568" i="1"/>
  <c r="R568" i="1"/>
  <c r="P424" i="1"/>
  <c r="R424" i="1"/>
  <c r="P280" i="1"/>
  <c r="R280" i="1"/>
  <c r="P112" i="1"/>
  <c r="R112" i="1"/>
  <c r="P28" i="1"/>
  <c r="R28" i="1"/>
  <c r="R945" i="1"/>
  <c r="R728" i="1"/>
  <c r="R670" i="1"/>
  <c r="P524" i="1"/>
  <c r="P915" i="1"/>
  <c r="R915" i="1"/>
  <c r="P831" i="1"/>
  <c r="R831" i="1"/>
  <c r="P759" i="1"/>
  <c r="R759" i="1"/>
  <c r="P687" i="1"/>
  <c r="R687" i="1"/>
  <c r="P615" i="1"/>
  <c r="R615" i="1"/>
  <c r="P543" i="1"/>
  <c r="R543" i="1"/>
  <c r="P471" i="1"/>
  <c r="R471" i="1"/>
  <c r="P387" i="1"/>
  <c r="R387" i="1"/>
  <c r="P303" i="1"/>
  <c r="R303" i="1"/>
  <c r="P231" i="1"/>
  <c r="R231" i="1"/>
  <c r="P159" i="1"/>
  <c r="R159" i="1"/>
  <c r="P99" i="1"/>
  <c r="R99" i="1"/>
  <c r="R896" i="1"/>
  <c r="R40" i="1"/>
  <c r="P820" i="1"/>
  <c r="P681" i="1"/>
  <c r="P428" i="1"/>
  <c r="P996" i="1"/>
  <c r="R996" i="1"/>
  <c r="P924" i="1"/>
  <c r="R924" i="1"/>
  <c r="P912" i="1"/>
  <c r="R912" i="1"/>
  <c r="P900" i="1"/>
  <c r="R900" i="1"/>
  <c r="P888" i="1"/>
  <c r="R888" i="1"/>
  <c r="P852" i="1"/>
  <c r="R852" i="1"/>
  <c r="P804" i="1"/>
  <c r="R804" i="1"/>
  <c r="P780" i="1"/>
  <c r="R780" i="1"/>
  <c r="P744" i="1"/>
  <c r="R744" i="1"/>
  <c r="P732" i="1"/>
  <c r="R732" i="1"/>
  <c r="P708" i="1"/>
  <c r="R708" i="1"/>
  <c r="P672" i="1"/>
  <c r="R672" i="1"/>
  <c r="P660" i="1"/>
  <c r="R660" i="1"/>
  <c r="P636" i="1"/>
  <c r="R636" i="1"/>
  <c r="P600" i="1"/>
  <c r="R600" i="1"/>
  <c r="R552" i="1"/>
  <c r="P552" i="1"/>
  <c r="P504" i="1"/>
  <c r="R504" i="1"/>
  <c r="P456" i="1"/>
  <c r="R456" i="1"/>
  <c r="R408" i="1"/>
  <c r="P408" i="1"/>
  <c r="R324" i="1"/>
  <c r="P324" i="1"/>
  <c r="P312" i="1"/>
  <c r="R312" i="1"/>
  <c r="P288" i="1"/>
  <c r="R288" i="1"/>
  <c r="P276" i="1"/>
  <c r="R276" i="1"/>
  <c r="R252" i="1"/>
  <c r="P252" i="1"/>
  <c r="P240" i="1"/>
  <c r="R240" i="1"/>
  <c r="R228" i="1"/>
  <c r="P228" i="1"/>
  <c r="R180" i="1"/>
  <c r="P180" i="1"/>
  <c r="P168" i="1"/>
  <c r="R168" i="1"/>
  <c r="P132" i="1"/>
  <c r="R132" i="1"/>
  <c r="P120" i="1"/>
  <c r="R120" i="1"/>
  <c r="R108" i="1"/>
  <c r="P108" i="1"/>
  <c r="P96" i="1"/>
  <c r="R96" i="1"/>
  <c r="P72" i="1"/>
  <c r="R72" i="1"/>
  <c r="P60" i="1"/>
  <c r="R60" i="1"/>
  <c r="R36" i="1"/>
  <c r="P36" i="1"/>
  <c r="P24" i="1"/>
  <c r="R24" i="1"/>
  <c r="P12" i="1"/>
  <c r="R12" i="1"/>
  <c r="R1000" i="1"/>
  <c r="R981" i="1"/>
  <c r="R959" i="1"/>
  <c r="R916" i="1"/>
  <c r="R893" i="1"/>
  <c r="R869" i="1"/>
  <c r="R798" i="1"/>
  <c r="R770" i="1"/>
  <c r="R750" i="1"/>
  <c r="R720" i="1"/>
  <c r="R692" i="1"/>
  <c r="R662" i="1"/>
  <c r="R634" i="1"/>
  <c r="R602" i="1"/>
  <c r="R539" i="1"/>
  <c r="R506" i="1"/>
  <c r="R475" i="1"/>
  <c r="R443" i="1"/>
  <c r="R410" i="1"/>
  <c r="R347" i="1"/>
  <c r="R307" i="1"/>
  <c r="R270" i="1"/>
  <c r="R232" i="1"/>
  <c r="R193" i="1"/>
  <c r="R156" i="1"/>
  <c r="R116" i="1"/>
  <c r="R75" i="1"/>
  <c r="R31" i="1"/>
  <c r="P865" i="1"/>
  <c r="P500" i="1"/>
  <c r="P407" i="1"/>
  <c r="P313" i="1"/>
  <c r="P129" i="1"/>
  <c r="P35" i="1"/>
  <c r="R898" i="1"/>
  <c r="P898" i="1"/>
  <c r="P586" i="1"/>
  <c r="R586" i="1"/>
  <c r="P550" i="1"/>
  <c r="R550" i="1"/>
  <c r="P502" i="1"/>
  <c r="R502" i="1"/>
  <c r="P442" i="1"/>
  <c r="R442" i="1"/>
  <c r="P430" i="1"/>
  <c r="R430" i="1"/>
  <c r="R346" i="1"/>
  <c r="P346" i="1"/>
  <c r="R334" i="1"/>
  <c r="P334" i="1"/>
  <c r="R298" i="1"/>
  <c r="P298" i="1"/>
  <c r="R226" i="1"/>
  <c r="P226" i="1"/>
  <c r="R190" i="1"/>
  <c r="P190" i="1"/>
  <c r="R118" i="1"/>
  <c r="P118" i="1"/>
  <c r="P10" i="1"/>
  <c r="R10" i="1"/>
  <c r="P993" i="1"/>
  <c r="R993" i="1"/>
  <c r="P789" i="1"/>
  <c r="R789" i="1"/>
  <c r="P645" i="1"/>
  <c r="R645" i="1"/>
  <c r="P441" i="1"/>
  <c r="R441" i="1"/>
  <c r="P345" i="1"/>
  <c r="R345" i="1"/>
  <c r="R309" i="1"/>
  <c r="P309" i="1"/>
  <c r="R201" i="1"/>
  <c r="P201" i="1"/>
  <c r="R105" i="1"/>
  <c r="P105" i="1"/>
  <c r="P944" i="1"/>
  <c r="R944" i="1"/>
  <c r="P584" i="1"/>
  <c r="R584" i="1"/>
  <c r="P512" i="1"/>
  <c r="R512" i="1"/>
  <c r="P476" i="1"/>
  <c r="R476" i="1"/>
  <c r="R416" i="1"/>
  <c r="P416" i="1"/>
  <c r="P368" i="1"/>
  <c r="R368" i="1"/>
  <c r="P320" i="1"/>
  <c r="R320" i="1"/>
  <c r="P248" i="1"/>
  <c r="R248" i="1"/>
  <c r="R164" i="1"/>
  <c r="P164" i="1"/>
  <c r="P964" i="1"/>
  <c r="R964" i="1"/>
  <c r="P676" i="1"/>
  <c r="R676" i="1"/>
  <c r="P472" i="1"/>
  <c r="R472" i="1"/>
  <c r="P340" i="1"/>
  <c r="R340" i="1"/>
  <c r="P292" i="1"/>
  <c r="R292" i="1"/>
  <c r="P172" i="1"/>
  <c r="R172" i="1"/>
  <c r="P100" i="1"/>
  <c r="R100" i="1"/>
  <c r="P52" i="1"/>
  <c r="R52" i="1"/>
  <c r="R921" i="1"/>
  <c r="P153" i="1"/>
  <c r="P975" i="1"/>
  <c r="R975" i="1"/>
  <c r="P951" i="1"/>
  <c r="R951" i="1"/>
  <c r="P903" i="1"/>
  <c r="R903" i="1"/>
  <c r="P879" i="1"/>
  <c r="R879" i="1"/>
  <c r="P855" i="1"/>
  <c r="R855" i="1"/>
  <c r="P807" i="1"/>
  <c r="R807" i="1"/>
  <c r="P783" i="1"/>
  <c r="R783" i="1"/>
  <c r="P735" i="1"/>
  <c r="R735" i="1"/>
  <c r="P711" i="1"/>
  <c r="R711" i="1"/>
  <c r="P675" i="1"/>
  <c r="R675" i="1"/>
  <c r="P651" i="1"/>
  <c r="R651" i="1"/>
  <c r="P603" i="1"/>
  <c r="R603" i="1"/>
  <c r="P579" i="1"/>
  <c r="R579" i="1"/>
  <c r="P531" i="1"/>
  <c r="R531" i="1"/>
  <c r="P507" i="1"/>
  <c r="R507" i="1"/>
  <c r="P459" i="1"/>
  <c r="R459" i="1"/>
  <c r="P435" i="1"/>
  <c r="R435" i="1"/>
  <c r="P411" i="1"/>
  <c r="R411" i="1"/>
  <c r="P363" i="1"/>
  <c r="R363" i="1"/>
  <c r="P267" i="1"/>
  <c r="R267" i="1"/>
  <c r="R801" i="1"/>
  <c r="R640" i="1"/>
  <c r="P983" i="1"/>
  <c r="R983" i="1"/>
  <c r="P911" i="1"/>
  <c r="R911" i="1"/>
  <c r="R899" i="1"/>
  <c r="P899" i="1"/>
  <c r="P887" i="1"/>
  <c r="R887" i="1"/>
  <c r="P875" i="1"/>
  <c r="R875" i="1"/>
  <c r="R803" i="1"/>
  <c r="P803" i="1"/>
  <c r="P791" i="1"/>
  <c r="R791" i="1"/>
  <c r="R731" i="1"/>
  <c r="P731" i="1"/>
  <c r="P719" i="1"/>
  <c r="R719" i="1"/>
  <c r="P695" i="1"/>
  <c r="R695" i="1"/>
  <c r="R659" i="1"/>
  <c r="P659" i="1"/>
  <c r="P647" i="1"/>
  <c r="R647" i="1"/>
  <c r="P623" i="1"/>
  <c r="R623" i="1"/>
  <c r="P599" i="1"/>
  <c r="R599" i="1"/>
  <c r="P575" i="1"/>
  <c r="R575" i="1"/>
  <c r="R551" i="1"/>
  <c r="P551" i="1"/>
  <c r="P527" i="1"/>
  <c r="R527" i="1"/>
  <c r="R503" i="1"/>
  <c r="P503" i="1"/>
  <c r="P479" i="1"/>
  <c r="R479" i="1"/>
  <c r="P455" i="1"/>
  <c r="R455" i="1"/>
  <c r="P383" i="1"/>
  <c r="R383" i="1"/>
  <c r="R323" i="1"/>
  <c r="P323" i="1"/>
  <c r="P275" i="1"/>
  <c r="R275" i="1"/>
  <c r="P227" i="1"/>
  <c r="R227" i="1"/>
  <c r="R215" i="1"/>
  <c r="P215" i="1"/>
  <c r="P179" i="1"/>
  <c r="R179" i="1"/>
  <c r="P155" i="1"/>
  <c r="R155" i="1"/>
  <c r="P131" i="1"/>
  <c r="R131" i="1"/>
  <c r="P95" i="1"/>
  <c r="R95" i="1"/>
  <c r="R71" i="1"/>
  <c r="P71" i="1"/>
  <c r="P59" i="1"/>
  <c r="R59" i="1"/>
  <c r="P47" i="1"/>
  <c r="R47" i="1"/>
  <c r="R998" i="1"/>
  <c r="R979" i="1"/>
  <c r="R958" i="1"/>
  <c r="R934" i="1"/>
  <c r="R910" i="1"/>
  <c r="R868" i="1"/>
  <c r="R822" i="1"/>
  <c r="R796" i="1"/>
  <c r="R743" i="1"/>
  <c r="R685" i="1"/>
  <c r="R657" i="1"/>
  <c r="R597" i="1"/>
  <c r="R564" i="1"/>
  <c r="R532" i="1"/>
  <c r="R501" i="1"/>
  <c r="R436" i="1"/>
  <c r="R405" i="1"/>
  <c r="R339" i="1"/>
  <c r="R302" i="1"/>
  <c r="R263" i="1"/>
  <c r="R223" i="1"/>
  <c r="R186" i="1"/>
  <c r="R147" i="1"/>
  <c r="R109" i="1"/>
  <c r="R65" i="1"/>
  <c r="R23" i="1"/>
  <c r="P980" i="1"/>
  <c r="P805" i="1"/>
  <c r="P733" i="1"/>
  <c r="P661" i="1"/>
  <c r="P310" i="1"/>
  <c r="P217" i="1"/>
  <c r="P25" i="1"/>
  <c r="P6" i="1"/>
  <c r="R6" i="1"/>
  <c r="R51" i="1"/>
  <c r="R4" i="1"/>
  <c r="P27" i="1"/>
  <c r="R27" i="1"/>
  <c r="P3" i="1"/>
  <c r="R3" i="1"/>
  <c r="P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A1445-6180-47BF-B6E2-AFF3E113DB7F}" keepAlive="1" name="ModelConnection_ExternalData_1" description="Data Model" type="5" refreshedVersion="8" minRefreshableVersion="5" saveData="1">
    <dbPr connection="Data Model Connection" command="DRILLTHROUGH MAXROWS 1000 SELECT FROM [Model] WHERE (([Measures].[Call cnt],[calls].[Representative].&amp;[R03])) RETURN [$calls].[Call number],[$calls].[Customer ID],[$calls].[Duration],[$calls].[Representative],[$calls].[Date of Call],[$calls].[Purchase Amount],[$calls].[avg satisfication],[$calls].[flag reps],[$calls].[Satisfaction Rating],[$calls].[FY],[$calls].[Day of week],[$calls].[Duration Bucket],[$calls].[Rating rounded],[$calls].[count no. of class per person],[$calls].[Average purchase per call],[$calls].[&quot;time wasters&quot;column ratio],[$calls].[call count],[$calls].[call to purchase ratio],[$calls].[Date of Call (Month)],[$calls].[Date of Call (Month Index)]" commandType="4"/>
    <extLst>
      <ext xmlns:x15="http://schemas.microsoft.com/office/spreadsheetml/2010/11/main" uri="{DE250136-89BD-433C-8126-D09CA5730AF9}">
        <x15:connection id="" model="1"/>
      </ext>
    </extLst>
  </connection>
  <connection id="2" xr16:uid="{D9BD6100-BEAF-48EA-863A-E902E78077BE}" keepAlive="1" name="ModelConnection_ExternalData_11" description="Data Model" type="5" refreshedVersion="8" minRefreshableVersion="5" saveData="1">
    <dbPr connection="Data Model Connection" command="DRILLTHROUGH MAXROWS 1000 SELECT FROM [Model] WHERE (([Measures].[Call cnt],[calls].[Representative].&amp;[R04])) RETURN [$calls].[Call number],[$calls].[Customer ID],[$calls].[Duration],[$calls].[Representative],[$calls].[Date of Call],[$calls].[Purchase Amount],[$calls].[avg satisfication],[$calls].[flag reps],[$calls].[Satisfaction Rating],[$calls].[FY],[$calls].[Day of week],[$calls].[Duration Bucket],[$calls].[Rating rounded],[$calls].[count no. of class per person],[$calls].[Average purchase per call],[$calls].[&quot;time wasters&quot;column ratio],[$calls].[call count],[$calls].[call to purchase ratio],[$calls].[Date of Call (Month)],[$calls].[Date of Call (Month Index)]" commandType="4"/>
    <extLst>
      <ext xmlns:x15="http://schemas.microsoft.com/office/spreadsheetml/2010/11/main" uri="{DE250136-89BD-433C-8126-D09CA5730AF9}">
        <x15:connection id="" model="1"/>
      </ext>
    </extLst>
  </connection>
  <connection id="3" xr16:uid="{8D204531-8DB2-4243-9717-B3A3677CA75F}" keepAlive="1" name="ModelConnection_ExternalData_12" description="Data Model" type="5" refreshedVersion="8" minRefreshableVersion="5" saveData="1">
    <dbPr connection="Data Model Connection" command="DRILLTHROUGH MAXROWS 1000 SELECT FROM [Model] WHERE (([Measures].[TOT amt],[calls].[Representative].&amp;[R05])) RETURN [$calls].[Call number],[$calls].[Customer ID],[$calls].[Duration],[$calls].[Representative],[$calls].[Date of Call],[$calls].[Purchase Amount],[$calls].[avg satisfication],[$calls].[flag reps],[$calls].[Satisfaction Rating],[$calls].[FY],[$calls].[Day of week],[$calls].[Duration Bucket],[$calls].[Rating rounded],[$calls].[count no. of class per person],[$calls].[Average purchase per call],[$calls].[&quot;time wasters&quot;column ratio],[$calls].[call count],[$calls].[call to purchase ratio],[$calls].[Date of Call (Month)],[$calls].[Date of Call (Month Index)]" commandType="4"/>
    <extLst>
      <ext xmlns:x15="http://schemas.microsoft.com/office/spreadsheetml/2010/11/main" uri="{DE250136-89BD-433C-8126-D09CA5730AF9}">
        <x15:connection id="" model="1"/>
      </ext>
    </extLst>
  </connection>
  <connection id="4" xr16:uid="{DB3B30F9-50F2-4484-8E2C-92A16CA1E3F4}" keepAlive="1" name="ModelConnection_ExternalData_13" description="Data Model" type="5" refreshedVersion="8" minRefreshableVersion="5" saveData="1">
    <dbPr connection="Data Model Connection" command="DRILLTHROUGH MAXROWS 1000 SELECT FROM [Model] WHERE (([calls].[Representative].&amp;[R01],[Measures].[Call cnt],[calls].[Rating rounded].&amp;[2])) RETURN [$calls].[Call number],[$calls].[Customer ID],[$calls].[Duration],[$calls].[Representative],[$calls].[Date of Call],[$calls].[Purchase Amount],[$calls].[avg satisfication],[$calls].[flag reps],[$calls].[Satisfaction Rating],[$calls].[FY],[$calls].[Day of week],[$calls].[Duration Bucket],[$calls].[Rating rounded],[$calls].[count no. of class per person],[$calls].[Average purchase per call],[$calls].[&quot;time wasters&quot;column ratio],[$calls].[call count],[$calls].[call to purchase ratio],[$calls].[Date of Call (Month)],[$calls].[Date of Call (Month Index)]" commandType="4"/>
    <extLst>
      <ext xmlns:x15="http://schemas.microsoft.com/office/spreadsheetml/2010/11/main" uri="{DE250136-89BD-433C-8126-D09CA5730AF9}">
        <x15:connection id="" model="1"/>
      </ext>
    </extLst>
  </connection>
  <connection id="5" xr16:uid="{39D57583-9CC8-40DD-B5FC-43B306ED40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AB2A266-CC27-4727-8C14-179F1C0E23AC}" name="WorksheetConnection_Data call centre.xlsx!calls" type="102" refreshedVersion="8" minRefreshableVersion="5">
    <extLst>
      <ext xmlns:x15="http://schemas.microsoft.com/office/spreadsheetml/2010/11/main" uri="{DE250136-89BD-433C-8126-D09CA5730AF9}">
        <x15:connection id="calls" autoDelete="1">
          <x15:rangePr sourceName="_xlcn.WorksheetConnection_Datacallcentre.xlsxcalls1"/>
        </x15:connection>
      </ext>
    </extLst>
  </connection>
  <connection id="7" xr16:uid="{3E4E9C11-C730-46C0-8A99-1B8E0EC89C45}" name="WorksheetConnection_Data call centre.xlsx!customer" type="102" refreshedVersion="8" minRefreshableVersion="5">
    <extLst>
      <ext xmlns:x15="http://schemas.microsoft.com/office/spreadsheetml/2010/11/main" uri="{DE250136-89BD-433C-8126-D09CA5730AF9}">
        <x15:connection id="customer">
          <x15:rangePr sourceName="_xlcn.WorksheetConnection_Datacallcentre.xlsxcusto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<sst xmlns="http://schemas.openxmlformats.org/spreadsheetml/2006/main" count="7609" uniqueCount="1138">
  <si>
    <t>Call_7271</t>
  </si>
  <si>
    <t>C0003</t>
  </si>
  <si>
    <t>R05</t>
  </si>
  <si>
    <t>Sunday</t>
  </si>
  <si>
    <t>1 to 2 hours</t>
  </si>
  <si>
    <t>Call_7272</t>
  </si>
  <si>
    <t>C0004</t>
  </si>
  <si>
    <t>Call_7273</t>
  </si>
  <si>
    <t>C0005</t>
  </si>
  <si>
    <t>R02</t>
  </si>
  <si>
    <t>Call_7274</t>
  </si>
  <si>
    <t>C0014</t>
  </si>
  <si>
    <t>Call_7275</t>
  </si>
  <si>
    <t>C0011</t>
  </si>
  <si>
    <t>R01</t>
  </si>
  <si>
    <t>Monday</t>
  </si>
  <si>
    <t>More than 2 hours</t>
  </si>
  <si>
    <t>Call_7276</t>
  </si>
  <si>
    <t>Tuesday</t>
  </si>
  <si>
    <t>30 to 60 mins</t>
  </si>
  <si>
    <t>Call_7277</t>
  </si>
  <si>
    <t>C0007</t>
  </si>
  <si>
    <t>Call_7278</t>
  </si>
  <si>
    <t>R04</t>
  </si>
  <si>
    <t>Call_7279</t>
  </si>
  <si>
    <t>Call_7280</t>
  </si>
  <si>
    <t>C0010</t>
  </si>
  <si>
    <t>R03</t>
  </si>
  <si>
    <t>Call_7281</t>
  </si>
  <si>
    <t>Call_7282</t>
  </si>
  <si>
    <t>C0013</t>
  </si>
  <si>
    <t>Call_7283</t>
  </si>
  <si>
    <t>C0002</t>
  </si>
  <si>
    <t>Wednesday</t>
  </si>
  <si>
    <t>Call_7284</t>
  </si>
  <si>
    <t>Call_7285</t>
  </si>
  <si>
    <t>Call_7286</t>
  </si>
  <si>
    <t>Thursday</t>
  </si>
  <si>
    <t>Call_7287</t>
  </si>
  <si>
    <t>Call_7288</t>
  </si>
  <si>
    <t>C0009</t>
  </si>
  <si>
    <t>10 to 30 mins</t>
  </si>
  <si>
    <t>Call_7289</t>
  </si>
  <si>
    <t>Call_7290</t>
  </si>
  <si>
    <t>C0006</t>
  </si>
  <si>
    <t>Friday</t>
  </si>
  <si>
    <t>Call_7291</t>
  </si>
  <si>
    <t>Call_7292</t>
  </si>
  <si>
    <t>Saturday</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</si>
  <si>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</si>
  <si>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</si>
  <si>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</si>
  <si>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</si>
  <si>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</si>
  <si>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</si>
  <si>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</si>
  <si>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</si>
  <si>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</si>
  <si>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</si>
  <si>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</si>
  <si>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</si>
  <si>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</si>
  <si>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</si>
  <si>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</si>
  <si>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</si>
  <si>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</si>
  <si>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</si>
  <si>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</si>
  <si>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</si>
  <si>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</si>
  <si>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</si>
  <si>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</si>
  <si>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</si>
  <si>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</si>
  <si>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</si>
  <si>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</si>
  <si>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</si>
  <si>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</si>
  <si>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</si>
  <si>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</si>
  <si>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</si>
  <si>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</si>
  <si>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</si>
  <si>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</si>
  <si>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</si>
  <si>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</si>
  <si>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</si>
  <si>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</si>
  <si>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</si>
  <si>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</si>
  <si>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</si>
  <si>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</si>
  <si>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</si>
  <si>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</si>
  <si>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</si>
  <si>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</si>
  <si>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</si>
  <si>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</si>
  <si>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</si>
  <si>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</si>
  <si>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</si>
  <si>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</si>
  <si>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</si>
  <si>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</si>
  <si>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</si>
  <si>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</si>
  <si>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</si>
  <si>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</si>
  <si>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</si>
  <si>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</si>
  <si>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</si>
  <si>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</si>
  <si>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</si>
  <si>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</si>
  <si>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</si>
  <si>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</si>
  <si>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</si>
  <si>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</si>
  <si>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</si>
  <si>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</si>
  <si>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</si>
  <si>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</si>
  <si>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</si>
  <si>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</si>
  <si>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</si>
  <si>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</si>
  <si>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</si>
  <si>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</si>
  <si>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</si>
  <si>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</si>
  <si>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</si>
  <si>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</si>
  <si>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</si>
  <si>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</si>
  <si>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</si>
  <si>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</si>
  <si>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</si>
  <si>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</si>
  <si>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</si>
  <si>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</si>
  <si>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</si>
  <si>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</si>
  <si>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</si>
  <si>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</si>
  <si>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</si>
  <si>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</si>
  <si>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</si>
  <si>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</si>
  <si>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</si>
  <si>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</si>
  <si>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</si>
  <si>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</si>
  <si>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</si>
  <si>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</si>
  <si>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</si>
  <si>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</si>
  <si>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</si>
  <si>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</si>
  <si>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</si>
  <si>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</si>
  <si>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</si>
  <si>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</si>
  <si>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</si>
  <si>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</si>
  <si>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</si>
  <si>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</si>
  <si>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</si>
  <si>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</si>
  <si>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</si>
  <si>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</si>
  <si>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</si>
  <si>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</si>
  <si>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</si>
  <si>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</si>
  <si>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</si>
  <si>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</si>
  <si>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</si>
  <si>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</si>
  <si>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</si>
  <si>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</si>
  <si>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</si>
  <si>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</si>
  <si>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</si>
  <si>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</si>
  <si>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</si>
  <si>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</si>
  <si>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</si>
  <si>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</si>
  <si>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</si>
  <si>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</si>
  <si>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</si>
  <si>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</si>
  <si>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</si>
  <si>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</si>
  <si>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</si>
  <si>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</si>
  <si>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</si>
  <si>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</si>
  <si>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</si>
  <si>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</si>
  <si>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</si>
  <si>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</si>
  <si>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</si>
  <si>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</si>
  <si>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</si>
  <si>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</si>
  <si>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</si>
  <si>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</si>
  <si>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</si>
  <si>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</si>
  <si>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</si>
  <si>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</si>
  <si>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</si>
  <si>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</si>
  <si>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</si>
  <si>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</si>
  <si>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</si>
  <si>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</si>
  <si>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</si>
  <si>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</si>
  <si>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</si>
  <si>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</si>
  <si>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</si>
  <si>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</si>
  <si>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</si>
  <si>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</si>
  <si>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</si>
  <si>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</si>
  <si>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</si>
  <si>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</si>
  <si>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</si>
  <si>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</si>
  <si>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</si>
  <si>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</si>
  <si>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</si>
  <si>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</si>
  <si>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</si>
  <si>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</si>
  <si>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</si>
  <si>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</si>
  <si>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</si>
  <si>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</si>
  <si>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</si>
  <si>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</si>
  <si>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</si>
  <si>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</si>
  <si>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</si>
  <si>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</si>
  <si>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</si>
  <si>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</si>
  <si>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</si>
  <si>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</si>
  <si>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</si>
  <si>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</si>
  <si>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</si>
  <si>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</si>
  <si>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</si>
  <si>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</si>
  <si>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</si>
  <si>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</si>
  <si>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</si>
  <si>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</si>
  <si>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</si>
  <si>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</si>
  <si>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</si>
  <si>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</si>
  <si>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</si>
  <si>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</si>
  <si>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</si>
  <si>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</si>
  <si>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</si>
  <si>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</si>
  <si>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</si>
  <si>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</si>
  <si>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</si>
  <si>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</si>
  <si>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</si>
  <si>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</si>
  <si>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</si>
  <si>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</si>
  <si>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</si>
  <si>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</si>
  <si>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</si>
  <si>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</si>
  <si>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</si>
  <si>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</si>
  <si>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</si>
  <si>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</si>
  <si>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</si>
  <si>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</si>
  <si>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</si>
  <si>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</si>
  <si>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</si>
  <si>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</si>
  <si>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</si>
  <si>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</si>
  <si>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</si>
  <si>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</si>
  <si>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</si>
  <si>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</si>
  <si>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</si>
  <si>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</si>
  <si>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</si>
  <si>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</si>
  <si>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</si>
  <si>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</si>
  <si>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</si>
  <si>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</si>
  <si>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</si>
  <si>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</si>
  <si>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</si>
  <si>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</si>
  <si>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</si>
  <si>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</si>
  <si>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</si>
  <si>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</si>
  <si>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</si>
  <si>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</si>
  <si>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</si>
  <si>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</si>
  <si>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</si>
  <si>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</si>
  <si>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</si>
  <si>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</si>
  <si>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</si>
  <si>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</si>
  <si>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</si>
  <si>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</si>
  <si>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</si>
  <si>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</si>
  <si>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</si>
  <si>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</si>
  <si>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</si>
  <si>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</si>
  <si>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</si>
  <si>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</si>
  <si>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</si>
  <si>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</si>
  <si>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</si>
  <si>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</si>
  <si>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</si>
  <si>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</si>
  <si>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</si>
  <si>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</si>
  <si>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</si>
  <si>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</si>
  <si>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</si>
  <si>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</si>
  <si>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</si>
  <si>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</si>
  <si>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</si>
  <si>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</si>
  <si>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</si>
  <si>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</si>
  <si>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</si>
  <si>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</si>
  <si>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</si>
  <si>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</si>
  <si>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</si>
  <si>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</si>
  <si>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</si>
  <si>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</si>
  <si>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</si>
  <si>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</si>
  <si>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</si>
  <si>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</si>
  <si>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</si>
  <si>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</si>
  <si>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</si>
  <si>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</si>
  <si>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</si>
  <si>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</si>
  <si>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</si>
  <si>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</si>
  <si>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</si>
  <si>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</si>
  <si>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</si>
  <si>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</si>
  <si>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</si>
  <si>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</si>
  <si>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</si>
  <si>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</si>
  <si>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</si>
  <si>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</si>
  <si>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</si>
  <si>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</si>
  <si>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</si>
  <si>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</si>
  <si>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</si>
  <si>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</si>
  <si>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</si>
  <si>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</si>
  <si>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</si>
  <si>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</si>
  <si>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</si>
  <si>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</si>
  <si>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</si>
  <si>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</si>
  <si>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</si>
  <si>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</si>
  <si>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</si>
  <si>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</si>
  <si>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</si>
  <si>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</si>
  <si>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</si>
  <si>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</si>
  <si>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</si>
  <si>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</si>
  <si>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</si>
  <si>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</si>
  <si>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</si>
  <si>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</si>
  <si>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</si>
  <si>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</si>
  <si>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</si>
  <si>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</si>
  <si>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</si>
  <si>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</si>
  <si>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</si>
  <si>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</si>
  <si>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</si>
  <si>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</si>
  <si>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</si>
  <si>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</si>
  <si>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</si>
  <si>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</si>
  <si>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</si>
  <si>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</si>
  <si>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</si>
  <si>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</si>
  <si>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</si>
  <si>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</si>
  <si>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</si>
  <si>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</si>
  <si>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</si>
  <si>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</si>
  <si>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</si>
  <si>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</si>
  <si>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</si>
  <si>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</si>
  <si>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</si>
  <si>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</si>
  <si>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</si>
  <si>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</si>
  <si>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</si>
  <si>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</si>
  <si>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</si>
  <si>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</si>
  <si>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</si>
  <si>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</si>
  <si>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</si>
  <si>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</si>
  <si>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</si>
  <si>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</si>
  <si>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</si>
  <si>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</si>
  <si>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</si>
  <si>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</si>
  <si>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</si>
  <si>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</si>
  <si>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</si>
  <si>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</si>
  <si>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</si>
  <si>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</si>
  <si>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</si>
  <si>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</si>
  <si>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</si>
  <si>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</si>
  <si>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</si>
  <si>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</si>
  <si>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</si>
  <si>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</si>
  <si>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</si>
  <si>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</si>
  <si>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</si>
  <si>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</si>
  <si>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</si>
  <si>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</si>
  <si>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</si>
  <si>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</si>
  <si>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</si>
  <si>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</si>
  <si>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</si>
  <si>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</si>
  <si>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</si>
  <si>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</si>
  <si>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</si>
  <si>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</si>
  <si>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</si>
  <si>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</si>
  <si>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</si>
  <si>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</si>
  <si>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</si>
  <si>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</si>
  <si>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</si>
  <si>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</si>
  <si>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</si>
  <si>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</si>
  <si>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</si>
  <si>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</si>
  <si>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</si>
  <si>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</si>
  <si>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</si>
  <si>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</si>
  <si>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</si>
  <si>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</si>
  <si>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</si>
  <si>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</si>
  <si>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</si>
  <si>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</si>
  <si>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</si>
  <si>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</si>
  <si>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</si>
  <si>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</si>
  <si>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</si>
  <si>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</si>
  <si>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</si>
  <si>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</si>
  <si>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</si>
  <si>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</si>
  <si>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</si>
  <si>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</si>
  <si>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</si>
  <si>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</si>
  <si>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</si>
  <si>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</si>
  <si>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</si>
  <si>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</si>
  <si>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</si>
  <si>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</si>
  <si>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</si>
  <si>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</si>
  <si>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</si>
  <si>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</si>
  <si>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</si>
  <si>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</si>
  <si>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</si>
  <si>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</si>
  <si>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</si>
  <si>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</si>
  <si>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</si>
  <si>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</si>
  <si>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</si>
  <si>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</si>
  <si>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</si>
  <si>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</si>
  <si>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</si>
  <si>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</si>
  <si>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</si>
  <si>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</si>
  <si>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</si>
  <si>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</si>
  <si>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</si>
  <si>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</si>
  <si>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</si>
  <si>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</si>
  <si>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</si>
  <si>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</si>
  <si>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</si>
  <si>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</si>
  <si>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</si>
  <si>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</si>
  <si>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</si>
  <si>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</si>
  <si>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</si>
  <si>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</si>
  <si>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</si>
  <si>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</si>
  <si>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</si>
  <si>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</si>
  <si>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</si>
  <si>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</si>
  <si>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</si>
  <si>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</si>
  <si>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</si>
  <si>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</si>
  <si>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</si>
  <si>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</si>
  <si>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</si>
  <si>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</si>
  <si>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</si>
  <si>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</si>
  <si>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</si>
  <si>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</si>
  <si>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</si>
  <si>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</si>
  <si>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</si>
  <si>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</si>
  <si>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</si>
  <si>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</si>
  <si>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</si>
  <si>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</si>
  <si>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</si>
  <si>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</si>
  <si>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</si>
  <si>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</si>
  <si>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</si>
  <si>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</si>
  <si>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</si>
  <si>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</si>
  <si>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</si>
  <si>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</si>
  <si>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</si>
  <si>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</si>
  <si>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</si>
  <si>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</si>
  <si>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</si>
  <si>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</si>
  <si>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</si>
  <si>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</si>
  <si>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</si>
  <si>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</si>
  <si>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</si>
  <si>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</si>
  <si>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</si>
  <si>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</si>
  <si>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</si>
  <si>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</si>
  <si>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</si>
  <si>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</si>
  <si>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</si>
  <si>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</si>
  <si>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</si>
  <si>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</si>
  <si>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</si>
  <si>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</si>
  <si>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</si>
  <si>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</si>
  <si>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</si>
  <si>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</si>
  <si>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</si>
  <si>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</si>
  <si>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</si>
  <si>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</si>
  <si>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</si>
  <si>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</si>
  <si>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</si>
  <si>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</si>
  <si>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</si>
  <si>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</si>
  <si>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</si>
  <si>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</si>
  <si>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</si>
  <si>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</si>
  <si>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</si>
  <si>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</si>
  <si>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</si>
  <si>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</si>
  <si>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</si>
  <si>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</si>
  <si>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</si>
  <si>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</si>
  <si>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</si>
  <si>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</si>
  <si>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</si>
  <si>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</si>
  <si>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</si>
  <si>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</si>
  <si>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</si>
  <si>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</si>
  <si>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</si>
  <si>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</si>
  <si>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</si>
  <si>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</si>
  <si>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</si>
  <si>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</si>
  <si>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</si>
  <si>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</si>
  <si>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</si>
  <si>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</si>
  <si>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</si>
  <si>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</si>
  <si>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</si>
  <si>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</si>
  <si>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</si>
  <si>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</si>
  <si>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</si>
  <si>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</si>
  <si>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</si>
  <si>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</si>
  <si>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</si>
  <si>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</si>
  <si>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</si>
  <si>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</si>
  <si>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</si>
  <si>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</si>
  <si>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</si>
  <si>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</si>
  <si>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</si>
  <si>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</si>
  <si>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</si>
  <si>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</si>
  <si>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</si>
  <si>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</si>
  <si>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</si>
  <si>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</si>
  <si>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</si>
  <si>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</si>
  <si>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</si>
  <si>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</si>
  <si>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</si>
  <si>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</si>
  <si>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</si>
  <si>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</si>
  <si>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</si>
  <si>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</si>
  <si>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</si>
  <si>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</si>
  <si>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</si>
  <si>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</si>
  <si>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</si>
  <si>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</si>
  <si>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</si>
  <si>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</si>
  <si>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</si>
  <si>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</si>
  <si>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</si>
  <si>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</si>
  <si>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</si>
  <si>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</si>
  <si>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</si>
  <si>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</si>
  <si>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</si>
  <si>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</si>
  <si>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</si>
  <si>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</si>
  <si>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</si>
  <si>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</si>
  <si>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</si>
  <si>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</si>
  <si>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</si>
  <si>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</si>
  <si>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</si>
  <si>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</si>
  <si>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</si>
  <si>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</si>
  <si>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</si>
  <si>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</si>
  <si>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</si>
  <si>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</si>
  <si>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</si>
  <si>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</si>
  <si>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</si>
  <si>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</si>
  <si>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</si>
  <si>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</si>
  <si>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</si>
  <si>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</si>
  <si>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</si>
  <si>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</si>
  <si>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</si>
  <si>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</si>
  <si>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</si>
  <si>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</si>
  <si>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</si>
  <si>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</si>
  <si>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</si>
  <si>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</si>
  <si>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</si>
  <si>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</si>
  <si>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</si>
  <si>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</si>
  <si>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</si>
  <si>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</si>
  <si>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</si>
  <si>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</si>
  <si>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</si>
  <si>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</si>
  <si>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</si>
  <si>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</si>
  <si>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</si>
  <si>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</si>
  <si>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</si>
  <si>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</si>
  <si>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</si>
  <si>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</si>
  <si>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</si>
  <si>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</si>
  <si>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</si>
  <si>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</si>
  <si>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</si>
  <si>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</si>
  <si>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</si>
  <si>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</si>
  <si>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</si>
  <si>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</si>
  <si>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</si>
  <si>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</si>
  <si>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</si>
  <si>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</si>
  <si>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</si>
  <si>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</si>
  <si>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</si>
  <si>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</si>
  <si>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</si>
  <si>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</si>
  <si>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</si>
  <si>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</si>
  <si>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</si>
  <si>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</si>
  <si>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</si>
  <si>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</si>
  <si>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</si>
  <si>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</si>
  <si>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</si>
  <si>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</si>
  <si>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</si>
  <si>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</si>
  <si>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</si>
  <si>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</si>
  <si>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</si>
  <si>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</si>
  <si>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</si>
  <si>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</si>
  <si>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</si>
  <si>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</si>
  <si>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</si>
  <si>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</si>
  <si>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</si>
  <si>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</si>
  <si>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</si>
  <si>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</si>
  <si>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</si>
  <si>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</si>
  <si>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</si>
  <si>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</si>
  <si>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</si>
  <si>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</si>
  <si>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</si>
  <si>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</si>
  <si>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</si>
  <si>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</si>
  <si>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</si>
  <si>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</si>
  <si>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</si>
  <si>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</si>
  <si>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</si>
  <si>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</si>
  <si>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</si>
  <si>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</si>
  <si>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</si>
  <si>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</si>
  <si>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</si>
  <si>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</si>
  <si>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</si>
  <si>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</si>
  <si>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</si>
  <si>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</si>
  <si>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</si>
  <si>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</si>
  <si>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</si>
  <si>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</si>
  <si>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</si>
  <si>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</si>
  <si>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</si>
  <si>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</si>
  <si>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</si>
  <si>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</si>
  <si>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</si>
  <si>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</si>
  <si>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</si>
  <si>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</si>
  <si>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</si>
  <si>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</si>
  <si>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</si>
  <si>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</si>
  <si>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</si>
  <si>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</si>
  <si>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</si>
  <si>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</si>
  <si>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</si>
  <si>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</si>
  <si>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</si>
  <si>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</si>
  <si>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</si>
  <si>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</si>
  <si>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</si>
  <si>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</si>
  <si>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</si>
  <si>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</si>
  <si>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</si>
  <si>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</si>
  <si>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</si>
  <si>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</si>
  <si>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</si>
  <si>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</si>
  <si>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</si>
  <si>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</si>
  <si>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</si>
  <si>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</si>
  <si>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</si>
  <si>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</si>
  <si>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</si>
  <si>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</si>
  <si>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</si>
  <si>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</si>
  <si>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</si>
  <si>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</si>
  <si>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</si>
  <si>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</si>
  <si>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</si>
  <si>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</si>
  <si>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</si>
  <si>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</si>
  <si>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</si>
  <si>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</si>
  <si>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</si>
  <si>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</si>
  <si>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</si>
  <si>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</si>
  <si>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</si>
  <si>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</si>
  <si>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</si>
  <si>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</si>
  <si>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</si>
  <si>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</si>
  <si>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</si>
  <si>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</si>
  <si>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</si>
  <si>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</si>
  <si>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</si>
  <si>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</si>
  <si>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</si>
  <si>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</si>
  <si>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</si>
  <si>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</si>
  <si>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</si>
  <si>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</si>
  <si>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</si>
  <si>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</si>
  <si>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</si>
  <si>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</si>
  <si>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</si>
  <si>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</si>
  <si>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</si>
  <si>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</si>
  <si>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</si>
  <si>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</si>
  <si>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</si>
  <si>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</si>
  <si>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</si>
  <si>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</si>
  <si>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</si>
  <si>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</si>
  <si>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</si>
  <si>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</si>
  <si>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</si>
  <si>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</si>
  <si>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</si>
  <si>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</si>
  <si>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</si>
  <si>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</si>
  <si>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</si>
  <si>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</si>
  <si>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</si>
  <si>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</si>
  <si>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</si>
  <si>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</si>
  <si>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</si>
  <si>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</si>
  <si>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</si>
  <si>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</si>
  <si>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</si>
  <si>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</si>
  <si>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</si>
  <si>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</si>
  <si>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</si>
  <si>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</si>
  <si>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</si>
  <si>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</si>
  <si>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</si>
  <si>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</si>
  <si>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</si>
  <si>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</si>
  <si>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</si>
  <si>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</si>
  <si>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</si>
  <si>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</si>
  <si>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</si>
  <si>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</si>
  <si>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</si>
  <si>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</si>
  <si>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</si>
  <si>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</si>
  <si>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</si>
  <si>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</si>
  <si>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</si>
  <si>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</si>
  <si>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</si>
  <si>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</si>
  <si>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</si>
  <si>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</si>
  <si>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</si>
  <si>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</si>
  <si>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</si>
  <si>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</si>
  <si>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</si>
  <si>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</si>
  <si>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</si>
  <si>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</si>
  <si>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</si>
  <si>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</si>
  <si>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</si>
  <si>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</si>
  <si>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</si>
  <si>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</si>
  <si>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</si>
  <si>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</si>
  <si>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</si>
  <si>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</si>
  <si>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</si>
  <si>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</si>
  <si>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</si>
  <si>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</si>
  <si>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</si>
  <si>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</si>
  <si>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</si>
  <si>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</si>
  <si>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</si>
  <si>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</si>
  <si>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</si>
  <si>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</si>
  <si>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</si>
  <si>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</si>
  <si>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</si>
  <si>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</si>
  <si>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</si>
  <si>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</si>
  <si>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</si>
  <si>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</si>
  <si>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</si>
  <si>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</si>
  <si>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number</t>
  </si>
  <si>
    <t>Customer ID</t>
  </si>
  <si>
    <t>Duration</t>
  </si>
  <si>
    <t>Representative</t>
  </si>
  <si>
    <t>Date of Call</t>
  </si>
  <si>
    <t>Purchase Amount</t>
  </si>
  <si>
    <t>Satisfaction Rating</t>
  </si>
  <si>
    <t>FY</t>
  </si>
  <si>
    <t>Day of week</t>
  </si>
  <si>
    <t>Duration Bucket</t>
  </si>
  <si>
    <t>Rating rounded</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</si>
  <si>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</si>
  <si>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</si>
  <si>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</si>
  <si>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</si>
  <si>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</si>
  <si>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</si>
  <si>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</si>
  <si>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</si>
  <si>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</si>
  <si>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</si>
  <si>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</si>
  <si>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</si>
  <si>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</si>
  <si>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</si>
  <si>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</si>
  <si>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</si>
  <si>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</si>
  <si>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</si>
  <si>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</si>
  <si>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</si>
  <si>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</si>
  <si>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</si>
  <si>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Column Labels</t>
  </si>
  <si>
    <t>count no. of class per person</t>
  </si>
  <si>
    <t>Average purchase per call</t>
  </si>
  <si>
    <t>"time wasters"column ratio</t>
  </si>
  <si>
    <t>call count</t>
  </si>
  <si>
    <t>call to purchase ratio</t>
  </si>
  <si>
    <t>avg satisfication</t>
  </si>
  <si>
    <t>flag reps</t>
  </si>
  <si>
    <t>Gedner</t>
  </si>
  <si>
    <t>Age</t>
  </si>
  <si>
    <t>City</t>
  </si>
  <si>
    <t>Male</t>
  </si>
  <si>
    <t>Columbus</t>
  </si>
  <si>
    <t>Cleveland</t>
  </si>
  <si>
    <t>Cincinnati</t>
  </si>
  <si>
    <t>Female</t>
  </si>
  <si>
    <t>Call cnt</t>
  </si>
  <si>
    <t>TOT amt</t>
  </si>
  <si>
    <t>tot dur..</t>
  </si>
  <si>
    <t>avg rating</t>
  </si>
  <si>
    <t>5*call</t>
  </si>
  <si>
    <t>Call cnt2</t>
  </si>
  <si>
    <t>for graph</t>
  </si>
  <si>
    <t>calls[Call number]</t>
  </si>
  <si>
    <t>calls[Customer ID]</t>
  </si>
  <si>
    <t>calls[Duration]</t>
  </si>
  <si>
    <t>calls[Representative]</t>
  </si>
  <si>
    <t>calls[Date of Call]</t>
  </si>
  <si>
    <t>calls[Purchase Amount]</t>
  </si>
  <si>
    <t>calls[avg satisfication]</t>
  </si>
  <si>
    <t>calls[flag reps]</t>
  </si>
  <si>
    <t>calls[Satisfaction Rating]</t>
  </si>
  <si>
    <t>calls[FY]</t>
  </si>
  <si>
    <t>calls[Day of week]</t>
  </si>
  <si>
    <t>calls[Duration Bucket]</t>
  </si>
  <si>
    <t>calls[Rating rounded]</t>
  </si>
  <si>
    <t>calls[count no. of class per person]</t>
  </si>
  <si>
    <t>calls[Average purchase per call]</t>
  </si>
  <si>
    <t>calls["time wasters"column ratio]</t>
  </si>
  <si>
    <t>calls[call count]</t>
  </si>
  <si>
    <t>calls[call to purchase ratio]</t>
  </si>
  <si>
    <t>calls[Date of Call (Month)]</t>
  </si>
  <si>
    <t>calls[Date of Call (Month Index)]</t>
  </si>
  <si>
    <t>OK</t>
  </si>
  <si>
    <t>60 to 30mins</t>
  </si>
  <si>
    <t>10 to 30mins</t>
  </si>
  <si>
    <t>1 to 2hrs</t>
  </si>
  <si>
    <t>More than 2 hrs</t>
  </si>
  <si>
    <t>under 10 mins</t>
  </si>
  <si>
    <t>Data returned for Call cnt, R03 (First 1000 rows).</t>
  </si>
  <si>
    <t>Data returned for Call cnt, R04 (First 1000 rows).</t>
  </si>
  <si>
    <t>Data returned for TOT amt, R05 (First 1000 rows).</t>
  </si>
  <si>
    <t>Rep</t>
  </si>
  <si>
    <t>Calls</t>
  </si>
  <si>
    <t>Amount</t>
  </si>
  <si>
    <t>sell calls</t>
  </si>
  <si>
    <t>sell amount</t>
  </si>
  <si>
    <t>selected rep</t>
  </si>
  <si>
    <t>Data returned for Call cnt, 2, R01 (First 1000 rows).</t>
  </si>
  <si>
    <t>(blank)</t>
  </si>
  <si>
    <t>Rep id</t>
  </si>
  <si>
    <t>Rep summary</t>
  </si>
  <si>
    <t>% of calls</t>
  </si>
  <si>
    <t xml:space="preserve">Call </t>
  </si>
  <si>
    <t xml:space="preserve">Amount </t>
  </si>
  <si>
    <t>call rank</t>
  </si>
  <si>
    <t>amount rank</t>
  </si>
  <si>
    <t>Label:</t>
  </si>
  <si>
    <t>image</t>
  </si>
  <si>
    <t>Rep img</t>
  </si>
  <si>
    <t>Total</t>
  </si>
  <si>
    <t>Caller</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</si>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</sst>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C09]#,##0.00"/>
    <numFmt numFmtId="167" formatCode="\$#,##0;\-\$#,##0;\$#,##0"/>
    <numFmt numFmtId="168" formatCode="#,##0.0"/>
    <numFmt numFmtId="169" formatCode="\$#,###.0,&quot;k&quot;"/>
    <numFmt numFmtId="170" formatCode="_-[$$-409]* #,##0.00_ ;_-[$$-409]* \-#,##0.00\ ;_-[$$-409]* &quot;-&quot;??_ ;_-@_ "/>
  </numFmts>
  <fonts count="9" x14ac:knownFonts="1">
    <font>
      <sz val="11"/>
      <color theme="1"/>
      <name val="Tempus Sans ITC"/>
      <family val="2"/>
      <scheme val="minor"/>
    </font>
    <font>
      <b/>
      <sz val="11"/>
      <color theme="1"/>
      <name val="Tempus Sans ITC"/>
      <family val="2"/>
      <scheme val="minor"/>
    </font>
    <font>
      <sz val="8"/>
      <name val="Tempus Sans ITC"/>
      <family val="2"/>
      <scheme val="minor"/>
    </font>
    <font>
      <sz val="10"/>
      <color theme="1"/>
      <name val="Tempus Sans ITC"/>
      <family val="2"/>
      <scheme val="minor"/>
    </font>
    <font>
      <sz val="11"/>
      <color theme="1"/>
      <name val="Tempus Sans ITC"/>
      <family val="2"/>
      <scheme val="minor"/>
    </font>
    <font>
      <b/>
      <sz val="11"/>
      <color theme="1"/>
      <name val="Tempus Sans ITC"/>
      <family val="5"/>
      <scheme val="minor"/>
    </font>
    <font>
      <b/>
      <sz val="10"/>
      <color theme="1"/>
      <name val="Tempus Sans ITC"/>
      <family val="5"/>
      <scheme val="minor"/>
    </font>
    <font>
      <sz val="12"/>
      <color theme="1"/>
      <name val="Tempus Sans ITC"/>
      <family val="5"/>
      <scheme val="minor"/>
    </font>
    <font>
      <b/>
      <sz val="14"/>
      <color theme="0"/>
      <name val="Tempus Sans ITC"/>
      <family val="5"/>
      <scheme val="minor"/>
    </font>
  </fonts>
  <fills count="6">
    <fill>
      <patternFill patternType="none"/>
    </fill>
    <fill>
      <patternFill patternType="gray125"/>
    </fill>
    <fill>
      <patternFill patternType="solid">
        <fgColor theme="0" tint="-0.249977111117893"/>
        <bgColor indexed="64"/>
      </patternFill>
    </fill>
    <fill>
      <patternFill patternType="solid">
        <fgColor theme="4"/>
        <bgColor indexed="64"/>
      </patternFill>
    </fill>
    <fill>
      <patternFill patternType="solid">
        <fgColor theme="0"/>
        <bgColor indexed="64"/>
      </patternFill>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left>
      <right/>
      <top/>
      <bottom/>
      <diagonal/>
    </border>
    <border>
      <left/>
      <right style="thin">
        <color theme="0"/>
      </right>
      <top/>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10"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2" borderId="0" xfId="0" applyFill="1"/>
    <xf numFmtId="3" fontId="0" fillId="0" borderId="0" xfId="0" applyNumberFormat="1"/>
    <xf numFmtId="167" fontId="0" fillId="0" borderId="0" xfId="0" applyNumberFormat="1"/>
    <xf numFmtId="168" fontId="0" fillId="0" borderId="0" xfId="0" applyNumberFormat="1"/>
    <xf numFmtId="14" fontId="0" fillId="0" borderId="0" xfId="0" applyNumberFormat="1"/>
    <xf numFmtId="169" fontId="0" fillId="0" borderId="0" xfId="0" applyNumberFormat="1"/>
    <xf numFmtId="0" fontId="0" fillId="3" borderId="0" xfId="0" applyFill="1" applyAlignment="1">
      <alignment horizontal="left"/>
    </xf>
    <xf numFmtId="0" fontId="3" fillId="4" borderId="0" xfId="0" applyFont="1" applyFill="1"/>
    <xf numFmtId="0" fontId="3" fillId="4" borderId="8" xfId="0" applyFont="1" applyFill="1" applyBorder="1"/>
    <xf numFmtId="0" fontId="3" fillId="4" borderId="7" xfId="0" applyFont="1" applyFill="1" applyBorder="1" applyAlignment="1">
      <alignment horizontal="right" indent="1"/>
    </xf>
    <xf numFmtId="170" fontId="3" fillId="4" borderId="0" xfId="0" applyNumberFormat="1" applyFont="1" applyFill="1"/>
    <xf numFmtId="170" fontId="3" fillId="4" borderId="8" xfId="0" applyNumberFormat="1" applyFont="1" applyFill="1" applyBorder="1"/>
    <xf numFmtId="0" fontId="5" fillId="4" borderId="7" xfId="0" applyFont="1" applyFill="1" applyBorder="1"/>
    <xf numFmtId="0" fontId="5" fillId="4" borderId="0" xfId="0" applyFont="1" applyFill="1"/>
    <xf numFmtId="0" fontId="5" fillId="4" borderId="8" xfId="0" applyFont="1" applyFill="1" applyBorder="1"/>
    <xf numFmtId="0" fontId="6" fillId="4" borderId="7" xfId="0" applyFont="1" applyFill="1" applyBorder="1"/>
    <xf numFmtId="9" fontId="0" fillId="0" borderId="0" xfId="1" applyFont="1"/>
    <xf numFmtId="0" fontId="7" fillId="2" borderId="0" xfId="0" applyFont="1" applyFill="1"/>
    <xf numFmtId="0" fontId="0" fillId="2" borderId="0" xfId="0" applyFill="1" applyAlignment="1">
      <alignment horizontal="center"/>
    </xf>
    <xf numFmtId="0" fontId="0" fillId="2" borderId="8" xfId="0" applyFill="1" applyBorder="1" applyAlignment="1">
      <alignment horizontal="center"/>
    </xf>
    <xf numFmtId="0" fontId="8" fillId="5" borderId="0" xfId="0" applyFont="1" applyFill="1" applyAlignment="1">
      <alignment horizontal="center"/>
    </xf>
  </cellXfs>
  <cellStyles count="2">
    <cellStyle name="Normal" xfId="0" builtinId="0"/>
    <cellStyle name="Percent" xfId="1" builtinId="5"/>
  </cellStyles>
  <dxfs count="30">
    <dxf>
      <fill>
        <patternFill>
          <bgColor theme="8" tint="0.59996337778862885"/>
        </patternFill>
      </fill>
      <border>
        <left style="thin">
          <color theme="1" tint="0.499984740745262"/>
        </left>
        <right style="thin">
          <color theme="1" tint="0.499984740745262"/>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Tempus Sans ITC"/>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4"/>
        </patternFill>
      </fill>
    </dxf>
    <dxf>
      <numFmt numFmtId="19" formatCode="dd/mm/yyyy"/>
    </dxf>
    <dxf>
      <numFmt numFmtId="19" formatCode="dd/mm/yyyy"/>
    </dxf>
    <dxf>
      <numFmt numFmtId="19" formatCode="dd/mm/yyyy"/>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8F7E56CA-E3D9-42F2-88A8-C56125BE52A7}">
      <tableStyleElement type="wholeTable" dxfId="29"/>
    </tableStyle>
    <tableStyle name="SlicerStyleDark5 2" pivot="0" table="0" count="10" xr9:uid="{86DA922D-F0E3-4A1F-B14A-B9AC1DE03A60}">
      <tableStyleElement type="wholeTable" dxfId="28"/>
      <tableStyleElement type="headerRow" dxfId="27"/>
    </tableStyle>
    <tableStyle name="SlicerStyleDark5 3" pivot="0" table="0" count="10" xr9:uid="{F25D7E86-BCB3-4FC6-9A1B-6080262006C0}">
      <tableStyleElement type="wholeTable" dxfId="26"/>
      <tableStyleElement type="headerRow" dxfId="2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styles" Target="style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2.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layout>
        <c:manualLayout>
          <c:xMode val="edge"/>
          <c:yMode val="edge"/>
          <c:x val="4.592488766129367E-2"/>
          <c:y val="0.14443928511445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5"/>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pivots!$C$24</c:f>
              <c:strCache>
                <c:ptCount val="1"/>
                <c:pt idx="0">
                  <c:v>Call cnt2</c:v>
                </c:pt>
              </c:strCache>
            </c:strRef>
          </c:tx>
          <c:spPr>
            <a:solidFill>
              <a:schemeClr val="accent5"/>
            </a:soli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2-75E5-47A6-A278-E0ADA599AADB}"/>
            </c:ext>
          </c:extLst>
        </c:ser>
        <c:dLbls>
          <c:showLegendKey val="0"/>
          <c:showVal val="0"/>
          <c:showCatName val="0"/>
          <c:showSerName val="0"/>
          <c:showPercent val="0"/>
          <c:showBubbleSize val="0"/>
        </c:dLbls>
        <c:axId val="1465561200"/>
        <c:axId val="1465573200"/>
      </c:areaChart>
      <c:lineChart>
        <c:grouping val="standard"/>
        <c:varyColors val="0"/>
        <c:ser>
          <c:idx val="0"/>
          <c:order val="0"/>
          <c:tx>
            <c:strRef>
              <c:f>pivots!$B$24</c:f>
              <c:strCache>
                <c:ptCount val="1"/>
                <c:pt idx="0">
                  <c:v>Call cnt</c:v>
                </c:pt>
              </c:strCache>
            </c:strRef>
          </c:tx>
          <c:spPr>
            <a:ln w="28575" cap="rnd">
              <a:solidFill>
                <a:schemeClr val="accent5"/>
              </a:solidFill>
              <a:round/>
            </a:ln>
            <a:effectLst/>
          </c:spPr>
          <c:marker>
            <c:symbol val="circle"/>
            <c:size val="5"/>
            <c:spPr>
              <a:solidFill>
                <a:schemeClr val="bg1"/>
              </a:solidFill>
              <a:ln w="9525">
                <a:solidFill>
                  <a:schemeClr val="accent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75E5-47A6-A278-E0ADA599AADB}"/>
            </c:ext>
          </c:extLst>
        </c:ser>
        <c:dLbls>
          <c:showLegendKey val="0"/>
          <c:showVal val="0"/>
          <c:showCatName val="0"/>
          <c:showSerName val="0"/>
          <c:showPercent val="0"/>
          <c:showBubbleSize val="0"/>
        </c:dLbls>
        <c:marker val="1"/>
        <c:smooth val="0"/>
        <c:axId val="1465561200"/>
        <c:axId val="1465573200"/>
      </c:lineChart>
      <c:catAx>
        <c:axId val="1465561200"/>
        <c:scaling>
          <c:orientation val="minMax"/>
        </c:scaling>
        <c:delete val="1"/>
        <c:axPos val="b"/>
        <c:numFmt formatCode="General" sourceLinked="1"/>
        <c:majorTickMark val="none"/>
        <c:minorTickMark val="none"/>
        <c:tickLblPos val="nextTo"/>
        <c:crossAx val="1465573200"/>
        <c:crosses val="autoZero"/>
        <c:auto val="1"/>
        <c:lblAlgn val="ctr"/>
        <c:lblOffset val="100"/>
        <c:noMultiLvlLbl val="0"/>
      </c:catAx>
      <c:valAx>
        <c:axId val="1465573200"/>
        <c:scaling>
          <c:orientation val="minMax"/>
        </c:scaling>
        <c:delete val="1"/>
        <c:axPos val="l"/>
        <c:numFmt formatCode="#,##0" sourceLinked="1"/>
        <c:majorTickMark val="none"/>
        <c:minorTickMark val="none"/>
        <c:tickLblPos val="nextTo"/>
        <c:crossAx val="146556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centre.xlsx]pivots!week trend</c:name>
    <c:fmtId val="19"/>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s>
    <c:plotArea>
      <c:layout>
        <c:manualLayout>
          <c:layoutTarget val="inner"/>
          <c:xMode val="edge"/>
          <c:yMode val="edge"/>
          <c:x val="8.1250000000000003E-2"/>
          <c:y val="0.20453273768671151"/>
          <c:w val="0.86250000000000004"/>
          <c:h val="0.68770181064926317"/>
        </c:manualLayout>
      </c:layout>
      <c:barChart>
        <c:barDir val="bar"/>
        <c:grouping val="clustered"/>
        <c:varyColors val="0"/>
        <c:ser>
          <c:idx val="0"/>
          <c:order val="0"/>
          <c:tx>
            <c:strRef>
              <c:f>pivots!$B$45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pivots!$A$46:$A$53</c:f>
              <c:strCache>
                <c:ptCount val="7"/>
                <c:pt idx="0">
                  <c:v>Sunday</c:v>
                </c:pt>
                <c:pt idx="1">
                  <c:v>Monday</c:v>
                </c:pt>
                <c:pt idx="2">
                  <c:v>Tuesday</c:v>
                </c:pt>
                <c:pt idx="3">
                  <c:v>Wednesday</c:v>
                </c:pt>
                <c:pt idx="4">
                  <c:v>Thursday</c:v>
                </c:pt>
                <c:pt idx="5">
                  <c:v>Friday</c:v>
                </c:pt>
                <c:pt idx="6">
                  <c:v>Saturday</c:v>
                </c:pt>
              </c:strCache>
            </c:strRef>
          </c:cat>
          <c:val>
            <c:numRef>
              <c:f>pivots!$B$46:$B$53</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C5D4-4DF2-8C0C-C023710B27EA}"/>
            </c:ext>
          </c:extLst>
        </c:ser>
        <c:dLbls>
          <c:showLegendKey val="0"/>
          <c:showVal val="0"/>
          <c:showCatName val="0"/>
          <c:showSerName val="0"/>
          <c:showPercent val="0"/>
          <c:showBubbleSize val="0"/>
        </c:dLbls>
        <c:gapWidth val="25"/>
        <c:overlap val="-16"/>
        <c:axId val="99440912"/>
        <c:axId val="99444752"/>
      </c:barChart>
      <c:catAx>
        <c:axId val="99440912"/>
        <c:scaling>
          <c:orientation val="maxMin"/>
        </c:scaling>
        <c:delete val="1"/>
        <c:axPos val="l"/>
        <c:numFmt formatCode="General" sourceLinked="1"/>
        <c:majorTickMark val="out"/>
        <c:minorTickMark val="none"/>
        <c:tickLblPos val="nextTo"/>
        <c:crossAx val="99444752"/>
        <c:crosses val="autoZero"/>
        <c:auto val="1"/>
        <c:lblAlgn val="ctr"/>
        <c:lblOffset val="100"/>
        <c:noMultiLvlLbl val="0"/>
      </c:catAx>
      <c:valAx>
        <c:axId val="99444752"/>
        <c:scaling>
          <c:orientation val="minMax"/>
        </c:scaling>
        <c:delete val="1"/>
        <c:axPos val="t"/>
        <c:numFmt formatCode="#,##0" sourceLinked="1"/>
        <c:majorTickMark val="out"/>
        <c:minorTickMark val="none"/>
        <c:tickLblPos val="nextTo"/>
        <c:crossAx val="994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46276638628361"/>
          <c:y val="6.4610866372980913E-2"/>
          <c:w val="0.80492972508129312"/>
          <c:h val="0.8707782672540381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pivots!$G$61:$G$65</c:f>
              <c:strCache>
                <c:ptCount val="5"/>
                <c:pt idx="0">
                  <c:v>R01</c:v>
                </c:pt>
                <c:pt idx="1">
                  <c:v>R02</c:v>
                </c:pt>
                <c:pt idx="2">
                  <c:v>R03</c:v>
                </c:pt>
                <c:pt idx="3">
                  <c:v>R04</c:v>
                </c:pt>
                <c:pt idx="4">
                  <c:v>R05</c:v>
                </c:pt>
              </c:strCache>
            </c:strRef>
          </c:cat>
          <c:val>
            <c:numRef>
              <c:f>pivots!$H$61:$H$65</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ABE-4581-8576-E2CC491473B7}"/>
            </c:ext>
          </c:extLst>
        </c:ser>
        <c:ser>
          <c:idx val="2"/>
          <c:order val="2"/>
          <c:tx>
            <c:strRef>
              <c:f>pivots!$J$60</c:f>
              <c:strCache>
                <c:ptCount val="1"/>
                <c:pt idx="0">
                  <c:v>sell calls</c:v>
                </c:pt>
              </c:strCache>
            </c:strRef>
          </c:tx>
          <c:spPr>
            <a:gradFill>
              <a:gsLst>
                <a:gs pos="0">
                  <a:schemeClr val="accent1">
                    <a:lumMod val="5000"/>
                    <a:lumOff val="95000"/>
                  </a:schemeClr>
                </a:gs>
                <a:gs pos="21000">
                  <a:schemeClr val="accent5">
                    <a:lumMod val="40000"/>
                    <a:lumOff val="60000"/>
                  </a:schemeClr>
                </a:gs>
                <a:gs pos="83000">
                  <a:schemeClr val="accent5">
                    <a:lumMod val="60000"/>
                    <a:lumOff val="40000"/>
                  </a:schemeClr>
                </a:gs>
                <a:gs pos="100000">
                  <a:schemeClr val="accent5"/>
                </a:gs>
              </a:gsLst>
              <a:lin ang="21594000" scaled="0"/>
            </a:gradFill>
            <a:ln>
              <a:gradFill>
                <a:gsLst>
                  <a:gs pos="0">
                    <a:schemeClr val="accent1">
                      <a:lumMod val="5000"/>
                      <a:lumOff val="95000"/>
                    </a:schemeClr>
                  </a:gs>
                  <a:gs pos="74000">
                    <a:schemeClr val="accent5">
                      <a:lumMod val="40000"/>
                      <a:lumOff val="60000"/>
                    </a:schemeClr>
                  </a:gs>
                  <a:gs pos="83000">
                    <a:schemeClr val="accent5">
                      <a:lumMod val="60000"/>
                      <a:lumOff val="40000"/>
                    </a:schemeClr>
                  </a:gs>
                  <a:gs pos="100000">
                    <a:schemeClr val="accent5"/>
                  </a:gs>
                </a:gsLst>
                <a:lin ang="5400000" scaled="1"/>
              </a:gradFill>
            </a:ln>
            <a:effectLst/>
          </c:spPr>
          <c:invertIfNegative val="0"/>
          <c:val>
            <c:numRef>
              <c:f>pivots!$J$61:$J$65</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3-CABE-4581-8576-E2CC491473B7}"/>
            </c:ext>
          </c:extLst>
        </c:ser>
        <c:dLbls>
          <c:showLegendKey val="0"/>
          <c:showVal val="0"/>
          <c:showCatName val="0"/>
          <c:showSerName val="0"/>
          <c:showPercent val="0"/>
          <c:showBubbleSize val="0"/>
        </c:dLbls>
        <c:gapWidth val="25"/>
        <c:overlap val="100"/>
        <c:axId val="205505536"/>
        <c:axId val="205506496"/>
        <c:extLst>
          <c:ext xmlns:c15="http://schemas.microsoft.com/office/drawing/2012/chart" uri="{02D57815-91ED-43cb-92C2-25804820EDAC}">
            <c15:filteredBarSeries>
              <c15:ser>
                <c:idx val="1"/>
                <c:order val="1"/>
                <c:tx>
                  <c:strRef>
                    <c:extLst>
                      <c:ext uri="{02D57815-91ED-43cb-92C2-25804820EDAC}">
                        <c15:formulaRef>
                          <c15:sqref>pivots!$J$60</c15:sqref>
                        </c15:formulaRef>
                      </c:ext>
                    </c:extLst>
                    <c:strCache>
                      <c:ptCount val="1"/>
                      <c:pt idx="0">
                        <c:v>sell calls</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1-CABE-4581-8576-E2CC491473B7}"/>
                  </c:ext>
                </c:extLst>
              </c15:ser>
            </c15:filteredBarSeries>
          </c:ext>
        </c:extLst>
      </c:barChart>
      <c:catAx>
        <c:axId val="2055055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6496"/>
        <c:crosses val="autoZero"/>
        <c:auto val="1"/>
        <c:lblAlgn val="ctr"/>
        <c:lblOffset val="100"/>
        <c:noMultiLvlLbl val="0"/>
      </c:catAx>
      <c:valAx>
        <c:axId val="205506496"/>
        <c:scaling>
          <c:orientation val="minMax"/>
          <c:min val="0"/>
        </c:scaling>
        <c:delete val="1"/>
        <c:axPos val="t"/>
        <c:numFmt formatCode="#,##0" sourceLinked="1"/>
        <c:majorTickMark val="out"/>
        <c:minorTickMark val="none"/>
        <c:tickLblPos val="nextTo"/>
        <c:crossAx val="20550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pivots!$G$61:$G$65</c:f>
              <c:strCache>
                <c:ptCount val="5"/>
                <c:pt idx="0">
                  <c:v>R01</c:v>
                </c:pt>
                <c:pt idx="1">
                  <c:v>R02</c:v>
                </c:pt>
                <c:pt idx="2">
                  <c:v>R03</c:v>
                </c:pt>
                <c:pt idx="3">
                  <c:v>R04</c:v>
                </c:pt>
                <c:pt idx="4">
                  <c:v>R05</c:v>
                </c:pt>
              </c:strCache>
            </c:strRef>
          </c:cat>
          <c:val>
            <c:numRef>
              <c:f>pivots!$I$61:$I$65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273-4DBB-837C-ED8A0CDE751D}"/>
            </c:ext>
          </c:extLst>
        </c:ser>
        <c:ser>
          <c:idx val="1"/>
          <c:order val="1"/>
          <c:tx>
            <c:strRef>
              <c:f>pivots!$K$60</c:f>
              <c:strCache>
                <c:ptCount val="1"/>
                <c:pt idx="0">
                  <c:v>sell amount</c:v>
                </c:pt>
              </c:strCache>
            </c:strRef>
          </c:tx>
          <c:spPr>
            <a:gradFill>
              <a:gsLst>
                <a:gs pos="0">
                  <a:schemeClr val="accent1">
                    <a:lumMod val="5000"/>
                    <a:lumOff val="95000"/>
                  </a:schemeClr>
                </a:gs>
                <a:gs pos="10000">
                  <a:schemeClr val="accent5">
                    <a:lumMod val="40000"/>
                    <a:lumOff val="60000"/>
                  </a:schemeClr>
                </a:gs>
                <a:gs pos="83000">
                  <a:schemeClr val="accent6">
                    <a:lumMod val="75000"/>
                  </a:schemeClr>
                </a:gs>
                <a:gs pos="100000">
                  <a:schemeClr val="accent5">
                    <a:lumMod val="75000"/>
                  </a:schemeClr>
                </a:gs>
              </a:gsLst>
              <a:lin ang="21594000" scaled="0"/>
            </a:gradFill>
            <a:ln>
              <a:noFill/>
            </a:ln>
            <a:effectLst/>
          </c:spPr>
          <c:invertIfNegative val="0"/>
          <c:val>
            <c:numRef>
              <c:f>pivots!$K$61:$K$65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B273-4DBB-837C-ED8A0CDE751D}"/>
            </c:ext>
          </c:extLst>
        </c:ser>
        <c:dLbls>
          <c:showLegendKey val="0"/>
          <c:showVal val="0"/>
          <c:showCatName val="0"/>
          <c:showSerName val="0"/>
          <c:showPercent val="0"/>
          <c:showBubbleSize val="0"/>
        </c:dLbls>
        <c:gapWidth val="25"/>
        <c:overlap val="100"/>
        <c:axId val="883187472"/>
        <c:axId val="883173552"/>
      </c:barChart>
      <c:catAx>
        <c:axId val="88318747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173552"/>
        <c:crosses val="autoZero"/>
        <c:auto val="1"/>
        <c:lblAlgn val="ctr"/>
        <c:lblOffset val="100"/>
        <c:noMultiLvlLbl val="0"/>
      </c:catAx>
      <c:valAx>
        <c:axId val="883173552"/>
        <c:scaling>
          <c:orientation val="minMax"/>
        </c:scaling>
        <c:delete val="1"/>
        <c:axPos val="t"/>
        <c:numFmt formatCode="\$#,###.0,&quot;k&quot;" sourceLinked="1"/>
        <c:majorTickMark val="out"/>
        <c:minorTickMark val="none"/>
        <c:tickLblPos val="nextTo"/>
        <c:crossAx val="8831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pivots!$B$98:$B$99</c:f>
              <c:strCache>
                <c:ptCount val="1"/>
                <c:pt idx="0">
                  <c:v>Female</c:v>
                </c:pt>
              </c:strCache>
            </c:strRef>
          </c:tx>
          <c:spPr>
            <a:solidFill>
              <a:schemeClr val="accent1"/>
            </a:solidFill>
            <a:ln>
              <a:noFill/>
            </a:ln>
            <a:effectLst/>
          </c:spPr>
          <c:invertIfNegative val="0"/>
          <c:cat>
            <c:strRef>
              <c:f>pivots!$A$100:$A$103</c:f>
              <c:strCache>
                <c:ptCount val="3"/>
                <c:pt idx="0">
                  <c:v>Cincinnati</c:v>
                </c:pt>
                <c:pt idx="1">
                  <c:v>Cleveland</c:v>
                </c:pt>
                <c:pt idx="2">
                  <c:v>Columbus</c:v>
                </c:pt>
              </c:strCache>
            </c:strRef>
          </c:cat>
          <c:val>
            <c:numRef>
              <c:f>pivots!$B$100:$B$103</c:f>
              <c:numCache>
                <c:formatCode>#,##0</c:formatCode>
                <c:ptCount val="3"/>
                <c:pt idx="0">
                  <c:v>144</c:v>
                </c:pt>
                <c:pt idx="1">
                  <c:v>267</c:v>
                </c:pt>
                <c:pt idx="2">
                  <c:v>129</c:v>
                </c:pt>
              </c:numCache>
            </c:numRef>
          </c:val>
          <c:extLst>
            <c:ext xmlns:c16="http://schemas.microsoft.com/office/drawing/2014/chart" uri="{C3380CC4-5D6E-409C-BE32-E72D297353CC}">
              <c16:uniqueId val="{00000000-2E4D-45EC-98A7-11484B5DC2B8}"/>
            </c:ext>
          </c:extLst>
        </c:ser>
        <c:ser>
          <c:idx val="1"/>
          <c:order val="1"/>
          <c:tx>
            <c:strRef>
              <c:f>pivots!$C$98:$C$99</c:f>
              <c:strCache>
                <c:ptCount val="1"/>
                <c:pt idx="0">
                  <c:v>Male</c:v>
                </c:pt>
              </c:strCache>
            </c:strRef>
          </c:tx>
          <c:spPr>
            <a:solidFill>
              <a:schemeClr val="accent2"/>
            </a:solidFill>
            <a:ln>
              <a:noFill/>
            </a:ln>
            <a:effectLst/>
          </c:spPr>
          <c:invertIfNegative val="0"/>
          <c:cat>
            <c:strRef>
              <c:f>pivots!$A$100:$A$103</c:f>
              <c:strCache>
                <c:ptCount val="3"/>
                <c:pt idx="0">
                  <c:v>Cincinnati</c:v>
                </c:pt>
                <c:pt idx="1">
                  <c:v>Cleveland</c:v>
                </c:pt>
                <c:pt idx="2">
                  <c:v>Columbus</c:v>
                </c:pt>
              </c:strCache>
            </c:strRef>
          </c:cat>
          <c:val>
            <c:numRef>
              <c:f>pivots!$C$100:$C$103</c:f>
              <c:numCache>
                <c:formatCode>#,##0</c:formatCode>
                <c:ptCount val="3"/>
                <c:pt idx="0">
                  <c:v>132</c:v>
                </c:pt>
                <c:pt idx="1">
                  <c:v>63</c:v>
                </c:pt>
                <c:pt idx="2">
                  <c:v>206</c:v>
                </c:pt>
              </c:numCache>
            </c:numRef>
          </c:val>
          <c:extLst>
            <c:ext xmlns:c16="http://schemas.microsoft.com/office/drawing/2014/chart" uri="{C3380CC4-5D6E-409C-BE32-E72D297353CC}">
              <c16:uniqueId val="{00000001-2E4D-45EC-98A7-11484B5DC2B8}"/>
            </c:ext>
          </c:extLst>
        </c:ser>
        <c:dLbls>
          <c:showLegendKey val="0"/>
          <c:showVal val="0"/>
          <c:showCatName val="0"/>
          <c:showSerName val="0"/>
          <c:showPercent val="0"/>
          <c:showBubbleSize val="0"/>
        </c:dLbls>
        <c:gapWidth val="150"/>
        <c:overlap val="100"/>
        <c:axId val="694073984"/>
        <c:axId val="694073024"/>
      </c:barChart>
      <c:catAx>
        <c:axId val="6940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3024"/>
        <c:crosses val="autoZero"/>
        <c:auto val="1"/>
        <c:lblAlgn val="ctr"/>
        <c:lblOffset val="100"/>
        <c:noMultiLvlLbl val="0"/>
      </c:catAx>
      <c:valAx>
        <c:axId val="694073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centre.xlsx]pivots!rep satsification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pivots!$B$111</c:f>
              <c:strCache>
                <c:ptCount val="1"/>
                <c:pt idx="0">
                  <c:v>Total</c:v>
                </c:pt>
              </c:strCache>
            </c:strRef>
          </c:tx>
          <c:spPr>
            <a:solidFill>
              <a:schemeClr val="accent4"/>
            </a:solidFill>
            <a:ln>
              <a:noFill/>
            </a:ln>
            <a:effectLst/>
          </c:spPr>
          <c:invertIfNegative val="0"/>
          <c:cat>
            <c:strRef>
              <c:f>pivots!$A$112:$A$118</c:f>
              <c:strCache>
                <c:ptCount val="6"/>
                <c:pt idx="0">
                  <c:v>0</c:v>
                </c:pt>
                <c:pt idx="1">
                  <c:v>1</c:v>
                </c:pt>
                <c:pt idx="2">
                  <c:v>2</c:v>
                </c:pt>
                <c:pt idx="3">
                  <c:v>3</c:v>
                </c:pt>
                <c:pt idx="4">
                  <c:v>4</c:v>
                </c:pt>
                <c:pt idx="5">
                  <c:v>5</c:v>
                </c:pt>
              </c:strCache>
            </c:strRef>
          </c:cat>
          <c:val>
            <c:numRef>
              <c:f>pivots!$B$112:$B$118</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EF4E-463B-8849-D9FD40E92D6B}"/>
            </c:ext>
          </c:extLst>
        </c:ser>
        <c:dLbls>
          <c:showLegendKey val="0"/>
          <c:showVal val="0"/>
          <c:showCatName val="0"/>
          <c:showSerName val="0"/>
          <c:showPercent val="0"/>
          <c:showBubbleSize val="0"/>
        </c:dLbls>
        <c:gapWidth val="10"/>
        <c:overlap val="100"/>
        <c:axId val="877772672"/>
        <c:axId val="877769792"/>
      </c:barChart>
      <c:catAx>
        <c:axId val="87777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69792"/>
        <c:crosses val="autoZero"/>
        <c:auto val="1"/>
        <c:lblAlgn val="ctr"/>
        <c:lblOffset val="100"/>
        <c:noMultiLvlLbl val="0"/>
      </c:catAx>
      <c:valAx>
        <c:axId val="877769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gs>
        <a:gs pos="74000">
          <a:schemeClr val="bg1"/>
        </a:gs>
        <a:gs pos="83000">
          <a:schemeClr val="accent5">
            <a:lumMod val="60000"/>
            <a:lumOff val="40000"/>
          </a:schemeClr>
        </a:gs>
        <a:gs pos="100000">
          <a:schemeClr val="accent5">
            <a:lumMod val="40000"/>
            <a:lumOff val="6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 chart</a:t>
            </a:r>
          </a:p>
          <a:p>
            <a:pPr>
              <a:defRPr/>
            </a:pPr>
            <a:endParaRPr lang="en-IN"/>
          </a:p>
        </c:rich>
      </c:tx>
      <c:layout>
        <c:manualLayout>
          <c:xMode val="edge"/>
          <c:yMode val="edge"/>
          <c:x val="0.374780828240505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046276638628361"/>
          <c:y val="6.4610866372980913E-2"/>
          <c:w val="0.5811323529710779"/>
          <c:h val="0.8707782672540381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pivots!$G$61:$G$65</c:f>
              <c:strCache>
                <c:ptCount val="5"/>
                <c:pt idx="0">
                  <c:v>R01</c:v>
                </c:pt>
                <c:pt idx="1">
                  <c:v>R02</c:v>
                </c:pt>
                <c:pt idx="2">
                  <c:v>R03</c:v>
                </c:pt>
                <c:pt idx="3">
                  <c:v>R04</c:v>
                </c:pt>
                <c:pt idx="4">
                  <c:v>R05</c:v>
                </c:pt>
              </c:strCache>
            </c:strRef>
          </c:cat>
          <c:val>
            <c:numRef>
              <c:f>pivots!$H$61:$H$65</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B68-4DAB-B4EF-58C7FB4D0A20}"/>
            </c:ext>
          </c:extLst>
        </c:ser>
        <c:ser>
          <c:idx val="2"/>
          <c:order val="2"/>
          <c:tx>
            <c:strRef>
              <c:f>pivots!$J$60</c:f>
              <c:strCache>
                <c:ptCount val="1"/>
                <c:pt idx="0">
                  <c:v>sell calls</c:v>
                </c:pt>
              </c:strCache>
            </c:strRef>
          </c:tx>
          <c:spPr>
            <a:gradFill>
              <a:gsLst>
                <a:gs pos="0">
                  <a:schemeClr val="accent1">
                    <a:lumMod val="5000"/>
                    <a:lumOff val="95000"/>
                  </a:schemeClr>
                </a:gs>
                <a:gs pos="21000">
                  <a:schemeClr val="accent5">
                    <a:lumMod val="40000"/>
                    <a:lumOff val="60000"/>
                  </a:schemeClr>
                </a:gs>
                <a:gs pos="83000">
                  <a:schemeClr val="accent5">
                    <a:lumMod val="60000"/>
                    <a:lumOff val="40000"/>
                  </a:schemeClr>
                </a:gs>
                <a:gs pos="100000">
                  <a:schemeClr val="accent5"/>
                </a:gs>
              </a:gsLst>
              <a:lin ang="21594000" scaled="0"/>
            </a:gradFill>
            <a:ln>
              <a:gradFill>
                <a:gsLst>
                  <a:gs pos="0">
                    <a:schemeClr val="accent1">
                      <a:lumMod val="5000"/>
                      <a:lumOff val="95000"/>
                    </a:schemeClr>
                  </a:gs>
                  <a:gs pos="74000">
                    <a:schemeClr val="accent5">
                      <a:lumMod val="40000"/>
                      <a:lumOff val="60000"/>
                    </a:schemeClr>
                  </a:gs>
                  <a:gs pos="83000">
                    <a:schemeClr val="accent5">
                      <a:lumMod val="60000"/>
                      <a:lumOff val="40000"/>
                    </a:schemeClr>
                  </a:gs>
                  <a:gs pos="100000">
                    <a:schemeClr val="accent5"/>
                  </a:gs>
                </a:gsLst>
                <a:lin ang="5400000" scaled="1"/>
              </a:gradFill>
            </a:ln>
            <a:effectLst/>
          </c:spPr>
          <c:invertIfNegative val="0"/>
          <c:val>
            <c:numRef>
              <c:f>pivots!$J$61:$J$65</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FB68-4DAB-B4EF-58C7FB4D0A20}"/>
            </c:ext>
          </c:extLst>
        </c:ser>
        <c:dLbls>
          <c:showLegendKey val="0"/>
          <c:showVal val="0"/>
          <c:showCatName val="0"/>
          <c:showSerName val="0"/>
          <c:showPercent val="0"/>
          <c:showBubbleSize val="0"/>
        </c:dLbls>
        <c:gapWidth val="25"/>
        <c:overlap val="100"/>
        <c:axId val="205505536"/>
        <c:axId val="205506496"/>
        <c:extLst>
          <c:ext xmlns:c15="http://schemas.microsoft.com/office/drawing/2012/chart" uri="{02D57815-91ED-43cb-92C2-25804820EDAC}">
            <c15:filteredBarSeries>
              <c15:ser>
                <c:idx val="1"/>
                <c:order val="1"/>
                <c:tx>
                  <c:strRef>
                    <c:extLst>
                      <c:ext uri="{02D57815-91ED-43cb-92C2-25804820EDAC}">
                        <c15:formulaRef>
                          <c15:sqref>pivots!$J$60</c15:sqref>
                        </c15:formulaRef>
                      </c:ext>
                    </c:extLst>
                    <c:strCache>
                      <c:ptCount val="1"/>
                      <c:pt idx="0">
                        <c:v>sell calls</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2-FB68-4DAB-B4EF-58C7FB4D0A20}"/>
                  </c:ext>
                </c:extLst>
              </c15:ser>
            </c15:filteredBarSeries>
          </c:ext>
        </c:extLst>
      </c:barChart>
      <c:catAx>
        <c:axId val="2055055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6496"/>
        <c:crosses val="autoZero"/>
        <c:auto val="1"/>
        <c:lblAlgn val="ctr"/>
        <c:lblOffset val="100"/>
        <c:noMultiLvlLbl val="0"/>
      </c:catAx>
      <c:valAx>
        <c:axId val="205506496"/>
        <c:scaling>
          <c:orientation val="minMax"/>
          <c:min val="0"/>
        </c:scaling>
        <c:delete val="1"/>
        <c:axPos val="t"/>
        <c:numFmt formatCode="#,##0" sourceLinked="1"/>
        <c:majorTickMark val="out"/>
        <c:minorTickMark val="none"/>
        <c:tickLblPos val="nextTo"/>
        <c:crossAx val="20550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632829570654771"/>
          <c:y val="0.21406040447486888"/>
          <c:w val="0.77850041337378106"/>
          <c:h val="0.7719211140274132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pivots!$G$61:$G$65</c:f>
              <c:strCache>
                <c:ptCount val="5"/>
                <c:pt idx="0">
                  <c:v>R01</c:v>
                </c:pt>
                <c:pt idx="1">
                  <c:v>R02</c:v>
                </c:pt>
                <c:pt idx="2">
                  <c:v>R03</c:v>
                </c:pt>
                <c:pt idx="3">
                  <c:v>R04</c:v>
                </c:pt>
                <c:pt idx="4">
                  <c:v>R05</c:v>
                </c:pt>
              </c:strCache>
            </c:strRef>
          </c:cat>
          <c:val>
            <c:numRef>
              <c:f>pivots!$I$61:$I$65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B8D-4EFA-A765-5EA2184F289B}"/>
            </c:ext>
          </c:extLst>
        </c:ser>
        <c:ser>
          <c:idx val="1"/>
          <c:order val="1"/>
          <c:tx>
            <c:strRef>
              <c:f>pivots!$K$60</c:f>
              <c:strCache>
                <c:ptCount val="1"/>
                <c:pt idx="0">
                  <c:v>sell amount</c:v>
                </c:pt>
              </c:strCache>
            </c:strRef>
          </c:tx>
          <c:spPr>
            <a:gradFill>
              <a:gsLst>
                <a:gs pos="0">
                  <a:schemeClr val="accent1">
                    <a:lumMod val="5000"/>
                    <a:lumOff val="95000"/>
                  </a:schemeClr>
                </a:gs>
                <a:gs pos="10000">
                  <a:schemeClr val="accent5">
                    <a:lumMod val="40000"/>
                    <a:lumOff val="60000"/>
                  </a:schemeClr>
                </a:gs>
                <a:gs pos="83000">
                  <a:schemeClr val="accent6">
                    <a:lumMod val="75000"/>
                  </a:schemeClr>
                </a:gs>
                <a:gs pos="100000">
                  <a:schemeClr val="accent5">
                    <a:lumMod val="75000"/>
                  </a:schemeClr>
                </a:gs>
              </a:gsLst>
              <a:lin ang="21594000" scaled="0"/>
            </a:gradFill>
            <a:ln>
              <a:noFill/>
            </a:ln>
            <a:effectLst/>
          </c:spPr>
          <c:invertIfNegative val="0"/>
          <c:val>
            <c:numRef>
              <c:f>pivots!$K$61:$K$65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7B8D-4EFA-A765-5EA2184F289B}"/>
            </c:ext>
          </c:extLst>
        </c:ser>
        <c:dLbls>
          <c:showLegendKey val="0"/>
          <c:showVal val="0"/>
          <c:showCatName val="0"/>
          <c:showSerName val="0"/>
          <c:showPercent val="0"/>
          <c:showBubbleSize val="0"/>
        </c:dLbls>
        <c:gapWidth val="25"/>
        <c:overlap val="100"/>
        <c:axId val="883187472"/>
        <c:axId val="883173552"/>
      </c:barChart>
      <c:catAx>
        <c:axId val="88318747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173552"/>
        <c:crosses val="autoZero"/>
        <c:auto val="1"/>
        <c:lblAlgn val="ctr"/>
        <c:lblOffset val="100"/>
        <c:noMultiLvlLbl val="0"/>
      </c:catAx>
      <c:valAx>
        <c:axId val="883173552"/>
        <c:scaling>
          <c:orientation val="minMax"/>
        </c:scaling>
        <c:delete val="1"/>
        <c:axPos val="t"/>
        <c:numFmt formatCode="\$#,###.0,&quot;k&quot;" sourceLinked="1"/>
        <c:majorTickMark val="out"/>
        <c:minorTickMark val="none"/>
        <c:tickLblPos val="nextTo"/>
        <c:crossAx val="8831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centre.xlsx]pivots!week trend</c:name>
    <c:fmtId val="21"/>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50000000000003E-2"/>
          <c:y val="0.20453273768671151"/>
          <c:w val="0.86250000000000004"/>
          <c:h val="0.68770181064926317"/>
        </c:manualLayout>
      </c:layout>
      <c:barChart>
        <c:barDir val="bar"/>
        <c:grouping val="clustered"/>
        <c:varyColors val="0"/>
        <c:ser>
          <c:idx val="0"/>
          <c:order val="0"/>
          <c:tx>
            <c:strRef>
              <c:f>pivots!$B$45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pivots!$A$46:$A$53</c:f>
              <c:strCache>
                <c:ptCount val="7"/>
                <c:pt idx="0">
                  <c:v>Sunday</c:v>
                </c:pt>
                <c:pt idx="1">
                  <c:v>Monday</c:v>
                </c:pt>
                <c:pt idx="2">
                  <c:v>Tuesday</c:v>
                </c:pt>
                <c:pt idx="3">
                  <c:v>Wednesday</c:v>
                </c:pt>
                <c:pt idx="4">
                  <c:v>Thursday</c:v>
                </c:pt>
                <c:pt idx="5">
                  <c:v>Friday</c:v>
                </c:pt>
                <c:pt idx="6">
                  <c:v>Saturday</c:v>
                </c:pt>
              </c:strCache>
            </c:strRef>
          </c:cat>
          <c:val>
            <c:numRef>
              <c:f>pivots!$B$46:$B$53</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2B9C-49AF-837A-E521E30E4698}"/>
            </c:ext>
          </c:extLst>
        </c:ser>
        <c:dLbls>
          <c:showLegendKey val="0"/>
          <c:showVal val="0"/>
          <c:showCatName val="0"/>
          <c:showSerName val="0"/>
          <c:showPercent val="0"/>
          <c:showBubbleSize val="0"/>
        </c:dLbls>
        <c:gapWidth val="25"/>
        <c:overlap val="-16"/>
        <c:axId val="99440912"/>
        <c:axId val="99444752"/>
      </c:barChart>
      <c:catAx>
        <c:axId val="99440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752"/>
        <c:crosses val="autoZero"/>
        <c:auto val="1"/>
        <c:lblAlgn val="ctr"/>
        <c:lblOffset val="100"/>
        <c:noMultiLvlLbl val="0"/>
      </c:catAx>
      <c:valAx>
        <c:axId val="9944475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layout>
        <c:manualLayout>
          <c:xMode val="edge"/>
          <c:yMode val="edge"/>
          <c:x val="4.592488766129367E-2"/>
          <c:y val="0.14443928511445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5"/>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29304">
                <a:srgbClr val="FFDCC1"/>
              </a:gs>
              <a:gs pos="0">
                <a:schemeClr val="accent5">
                  <a:lumMod val="20000"/>
                  <a:lumOff val="80000"/>
                </a:schemeClr>
              </a:gs>
              <a:gs pos="29000">
                <a:schemeClr val="accent5">
                  <a:lumMod val="40000"/>
                  <a:lumOff val="60000"/>
                </a:schemeClr>
              </a:gs>
              <a:gs pos="83000">
                <a:schemeClr val="accent5"/>
              </a:gs>
              <a:gs pos="100000">
                <a:schemeClr val="accent5"/>
              </a:gs>
            </a:gsLst>
            <a:lin ang="5400000" scaled="1"/>
          </a:gra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pivots!$C$24</c:f>
              <c:strCache>
                <c:ptCount val="1"/>
                <c:pt idx="0">
                  <c:v>Call cnt2</c:v>
                </c:pt>
              </c:strCache>
            </c:strRef>
          </c:tx>
          <c:spPr>
            <a:gradFill>
              <a:gsLst>
                <a:gs pos="29304">
                  <a:srgbClr val="FFDCC1"/>
                </a:gs>
                <a:gs pos="0">
                  <a:schemeClr val="accent5">
                    <a:lumMod val="20000"/>
                    <a:lumOff val="80000"/>
                  </a:schemeClr>
                </a:gs>
                <a:gs pos="29000">
                  <a:schemeClr val="accent5">
                    <a:lumMod val="40000"/>
                    <a:lumOff val="60000"/>
                  </a:schemeClr>
                </a:gs>
                <a:gs pos="83000">
                  <a:schemeClr val="accent5"/>
                </a:gs>
                <a:gs pos="100000">
                  <a:schemeClr val="accent5"/>
                </a:gs>
              </a:gsLst>
              <a:lin ang="5400000" scaled="1"/>
            </a:gradFill>
            <a:ln>
              <a:gradFill>
                <a:gsLst>
                  <a:gs pos="0">
                    <a:schemeClr val="accent5">
                      <a:lumMod val="20000"/>
                      <a:lumOff val="80000"/>
                    </a:schemeClr>
                  </a:gs>
                  <a:gs pos="74000">
                    <a:schemeClr val="accent5">
                      <a:lumMod val="40000"/>
                      <a:lumOff val="60000"/>
                    </a:schemeClr>
                  </a:gs>
                  <a:gs pos="83000">
                    <a:schemeClr val="accent5"/>
                  </a:gs>
                  <a:gs pos="100000">
                    <a:schemeClr val="accent5"/>
                  </a:gs>
                </a:gsLst>
                <a:lin ang="5400000" scaled="1"/>
              </a:gradFill>
            </a:ln>
            <a:effectLst>
              <a:softEdge rad="0"/>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C4AF-4B00-9911-A9E8BE696906}"/>
            </c:ext>
          </c:extLst>
        </c:ser>
        <c:dLbls>
          <c:showLegendKey val="0"/>
          <c:showVal val="0"/>
          <c:showCatName val="0"/>
          <c:showSerName val="0"/>
          <c:showPercent val="0"/>
          <c:showBubbleSize val="0"/>
        </c:dLbls>
        <c:axId val="1465561200"/>
        <c:axId val="1465573200"/>
      </c:areaChart>
      <c:lineChart>
        <c:grouping val="standard"/>
        <c:varyColors val="0"/>
        <c:ser>
          <c:idx val="0"/>
          <c:order val="0"/>
          <c:tx>
            <c:strRef>
              <c:f>pivots!$B$24</c:f>
              <c:strCache>
                <c:ptCount val="1"/>
                <c:pt idx="0">
                  <c:v>Call cnt</c:v>
                </c:pt>
              </c:strCache>
            </c:strRef>
          </c:tx>
          <c:spPr>
            <a:ln w="28575" cap="rnd">
              <a:solidFill>
                <a:schemeClr val="accent5"/>
              </a:solidFill>
              <a:round/>
            </a:ln>
            <a:effectLst/>
          </c:spPr>
          <c:marker>
            <c:symbol val="circle"/>
            <c:size val="5"/>
            <c:spPr>
              <a:solidFill>
                <a:schemeClr val="bg1"/>
              </a:solidFill>
              <a:ln w="9525">
                <a:solidFill>
                  <a:schemeClr val="accent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C4AF-4B00-9911-A9E8BE696906}"/>
            </c:ext>
          </c:extLst>
        </c:ser>
        <c:dLbls>
          <c:showLegendKey val="0"/>
          <c:showVal val="0"/>
          <c:showCatName val="0"/>
          <c:showSerName val="0"/>
          <c:showPercent val="0"/>
          <c:showBubbleSize val="0"/>
        </c:dLbls>
        <c:marker val="1"/>
        <c:smooth val="0"/>
        <c:axId val="1465561200"/>
        <c:axId val="1465573200"/>
      </c:lineChart>
      <c:catAx>
        <c:axId val="1465561200"/>
        <c:scaling>
          <c:orientation val="minMax"/>
        </c:scaling>
        <c:delete val="1"/>
        <c:axPos val="b"/>
        <c:numFmt formatCode="General" sourceLinked="1"/>
        <c:majorTickMark val="none"/>
        <c:minorTickMark val="none"/>
        <c:tickLblPos val="nextTo"/>
        <c:crossAx val="1465573200"/>
        <c:crosses val="autoZero"/>
        <c:auto val="1"/>
        <c:lblAlgn val="ctr"/>
        <c:lblOffset val="100"/>
        <c:noMultiLvlLbl val="0"/>
      </c:catAx>
      <c:valAx>
        <c:axId val="1465573200"/>
        <c:scaling>
          <c:orientation val="minMax"/>
        </c:scaling>
        <c:delete val="1"/>
        <c:axPos val="l"/>
        <c:numFmt formatCode="#,##0" sourceLinked="1"/>
        <c:majorTickMark val="none"/>
        <c:minorTickMark val="none"/>
        <c:tickLblPos val="nextTo"/>
        <c:crossAx val="146556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n>
                  <a:solidFill>
                    <a:schemeClr val="accent5"/>
                  </a:solidFill>
                </a:ln>
              </a:rPr>
              <a:t>f</a:t>
            </a:r>
            <a:r>
              <a:rPr lang="en-IN"/>
              <a:t> v/s </a:t>
            </a:r>
            <a:r>
              <a:rPr lang="en-IN">
                <a:ln>
                  <a:solidFill>
                    <a:schemeClr val="accent4"/>
                  </a:solidFill>
                </a:ln>
              </a:rPr>
              <a:t>M</a:t>
            </a:r>
          </a:p>
        </c:rich>
      </c:tx>
      <c:layout>
        <c:manualLayout>
          <c:xMode val="edge"/>
          <c:yMode val="edge"/>
          <c:x val="4.4952748094010654E-2"/>
          <c:y val="0"/>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solidFill>
              <a:schemeClr val="accent5">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4"/>
          </a:solidFill>
          <a:ln>
            <a:noFill/>
          </a:ln>
          <a:effectLst/>
        </c:spPr>
        <c:marker>
          <c:symbol val="none"/>
        </c:marker>
        <c:dLbl>
          <c:idx val="0"/>
          <c:spPr>
            <a:solidFill>
              <a:schemeClr val="accent4">
                <a:lumMod val="60000"/>
                <a:lumOff val="40000"/>
              </a:schemeClr>
            </a:solidFill>
            <a:ln>
              <a:solidFill>
                <a:schemeClr val="accent1">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00B0F0"/>
          </a:solidFill>
          <a:ln>
            <a:noFill/>
          </a:ln>
          <a:effectLst/>
        </c:spPr>
        <c:marker>
          <c:symbol val="none"/>
        </c:marker>
        <c:dLbl>
          <c:idx val="0"/>
          <c:spPr>
            <a:solidFill>
              <a:schemeClr val="accent2">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pivots!$B$98:$B$99</c:f>
              <c:strCache>
                <c:ptCount val="1"/>
                <c:pt idx="0">
                  <c:v>Female</c:v>
                </c:pt>
              </c:strCache>
            </c:strRef>
          </c:tx>
          <c:spPr>
            <a:solidFill>
              <a:schemeClr val="accent5"/>
            </a:solidFill>
            <a:ln>
              <a:noFill/>
            </a:ln>
            <a:effectLst/>
          </c:spPr>
          <c:invertIfNegative val="0"/>
          <c:dLbls>
            <c:spPr>
              <a:solidFill>
                <a:schemeClr val="accent5">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pivots!$A$100:$A$103</c:f>
              <c:strCache>
                <c:ptCount val="3"/>
                <c:pt idx="0">
                  <c:v>Cincinnati</c:v>
                </c:pt>
                <c:pt idx="1">
                  <c:v>Cleveland</c:v>
                </c:pt>
                <c:pt idx="2">
                  <c:v>Columbus</c:v>
                </c:pt>
              </c:strCache>
            </c:strRef>
          </c:cat>
          <c:val>
            <c:numRef>
              <c:f>pivots!$B$100:$B$103</c:f>
              <c:numCache>
                <c:formatCode>#,##0</c:formatCode>
                <c:ptCount val="3"/>
                <c:pt idx="0">
                  <c:v>144</c:v>
                </c:pt>
                <c:pt idx="1">
                  <c:v>267</c:v>
                </c:pt>
                <c:pt idx="2">
                  <c:v>129</c:v>
                </c:pt>
              </c:numCache>
            </c:numRef>
          </c:val>
          <c:extLst>
            <c:ext xmlns:c16="http://schemas.microsoft.com/office/drawing/2014/chart" uri="{C3380CC4-5D6E-409C-BE32-E72D297353CC}">
              <c16:uniqueId val="{00000000-2A85-40BF-9590-BD9DE92603C9}"/>
            </c:ext>
          </c:extLst>
        </c:ser>
        <c:ser>
          <c:idx val="1"/>
          <c:order val="1"/>
          <c:tx>
            <c:strRef>
              <c:f>pivots!$C$98:$C$99</c:f>
              <c:strCache>
                <c:ptCount val="1"/>
                <c:pt idx="0">
                  <c:v>Male</c:v>
                </c:pt>
              </c:strCache>
            </c:strRef>
          </c:tx>
          <c:spPr>
            <a:solidFill>
              <a:schemeClr val="accent4"/>
            </a:solidFill>
            <a:ln>
              <a:noFill/>
            </a:ln>
            <a:effectLst/>
          </c:spPr>
          <c:invertIfNegative val="0"/>
          <c:dLbls>
            <c:spPr>
              <a:solidFill>
                <a:schemeClr val="accent4">
                  <a:lumMod val="60000"/>
                  <a:lumOff val="40000"/>
                </a:schemeClr>
              </a:solidFill>
              <a:ln>
                <a:solidFill>
                  <a:schemeClr val="accent1">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pivots!$A$100:$A$103</c:f>
              <c:strCache>
                <c:ptCount val="3"/>
                <c:pt idx="0">
                  <c:v>Cincinnati</c:v>
                </c:pt>
                <c:pt idx="1">
                  <c:v>Cleveland</c:v>
                </c:pt>
                <c:pt idx="2">
                  <c:v>Columbus</c:v>
                </c:pt>
              </c:strCache>
            </c:strRef>
          </c:cat>
          <c:val>
            <c:numRef>
              <c:f>pivots!$C$100:$C$103</c:f>
              <c:numCache>
                <c:formatCode>#,##0</c:formatCode>
                <c:ptCount val="3"/>
                <c:pt idx="0">
                  <c:v>132</c:v>
                </c:pt>
                <c:pt idx="1">
                  <c:v>63</c:v>
                </c:pt>
                <c:pt idx="2">
                  <c:v>206</c:v>
                </c:pt>
              </c:numCache>
            </c:numRef>
          </c:val>
          <c:extLst>
            <c:ext xmlns:c16="http://schemas.microsoft.com/office/drawing/2014/chart" uri="{C3380CC4-5D6E-409C-BE32-E72D297353CC}">
              <c16:uniqueId val="{00000001-2A85-40BF-9590-BD9DE92603C9}"/>
            </c:ext>
          </c:extLst>
        </c:ser>
        <c:dLbls>
          <c:showLegendKey val="0"/>
          <c:showVal val="0"/>
          <c:showCatName val="0"/>
          <c:showSerName val="0"/>
          <c:showPercent val="0"/>
          <c:showBubbleSize val="0"/>
        </c:dLbls>
        <c:gapWidth val="35"/>
        <c:overlap val="100"/>
        <c:axId val="694073984"/>
        <c:axId val="694073024"/>
      </c:barChart>
      <c:catAx>
        <c:axId val="69407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3024"/>
        <c:crosses val="autoZero"/>
        <c:auto val="1"/>
        <c:lblAlgn val="ctr"/>
        <c:lblOffset val="100"/>
        <c:noMultiLvlLbl val="0"/>
      </c:catAx>
      <c:valAx>
        <c:axId val="694073024"/>
        <c:scaling>
          <c:orientation val="minMax"/>
        </c:scaling>
        <c:delete val="1"/>
        <c:axPos val="l"/>
        <c:numFmt formatCode="0%" sourceLinked="1"/>
        <c:majorTickMark val="out"/>
        <c:minorTickMark val="none"/>
        <c:tickLblPos val="nextTo"/>
        <c:crossAx val="69407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gs>
        <a:gs pos="74000">
          <a:schemeClr val="bg1"/>
        </a:gs>
        <a:gs pos="83000">
          <a:schemeClr val="accent5">
            <a:lumMod val="60000"/>
            <a:lumOff val="40000"/>
          </a:schemeClr>
        </a:gs>
        <a:gs pos="100000">
          <a:schemeClr val="accent5">
            <a:lumMod val="40000"/>
            <a:lumOff val="6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centre.xlsx]pivots!rep satsification</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pivots!$B$111</c:f>
              <c:strCache>
                <c:ptCount val="1"/>
                <c:pt idx="0">
                  <c:v>Total</c:v>
                </c:pt>
              </c:strCache>
            </c:strRef>
          </c:tx>
          <c:spPr>
            <a:solidFill>
              <a:schemeClr val="accent4"/>
            </a:solidFill>
            <a:ln>
              <a:noFill/>
            </a:ln>
            <a:effectLst/>
          </c:spPr>
          <c:invertIfNegative val="0"/>
          <c:cat>
            <c:strRef>
              <c:f>pivots!$A$112:$A$118</c:f>
              <c:strCache>
                <c:ptCount val="6"/>
                <c:pt idx="0">
                  <c:v>0</c:v>
                </c:pt>
                <c:pt idx="1">
                  <c:v>1</c:v>
                </c:pt>
                <c:pt idx="2">
                  <c:v>2</c:v>
                </c:pt>
                <c:pt idx="3">
                  <c:v>3</c:v>
                </c:pt>
                <c:pt idx="4">
                  <c:v>4</c:v>
                </c:pt>
                <c:pt idx="5">
                  <c:v>5</c:v>
                </c:pt>
              </c:strCache>
            </c:strRef>
          </c:cat>
          <c:val>
            <c:numRef>
              <c:f>pivots!$B$112:$B$118</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63F4-48AC-A738-FFE848F8F354}"/>
            </c:ext>
          </c:extLst>
        </c:ser>
        <c:dLbls>
          <c:showLegendKey val="0"/>
          <c:showVal val="0"/>
          <c:showCatName val="0"/>
          <c:showSerName val="0"/>
          <c:showPercent val="0"/>
          <c:showBubbleSize val="0"/>
        </c:dLbls>
        <c:gapWidth val="10"/>
        <c:overlap val="100"/>
        <c:axId val="877772672"/>
        <c:axId val="877769792"/>
      </c:barChart>
      <c:catAx>
        <c:axId val="87777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69792"/>
        <c:crosses val="autoZero"/>
        <c:auto val="1"/>
        <c:lblAlgn val="ctr"/>
        <c:lblOffset val="100"/>
        <c:noMultiLvlLbl val="0"/>
      </c:catAx>
      <c:valAx>
        <c:axId val="877769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gs>
        <a:gs pos="74000">
          <a:schemeClr val="bg1"/>
        </a:gs>
        <a:gs pos="83000">
          <a:schemeClr val="accent5">
            <a:lumMod val="60000"/>
            <a:lumOff val="40000"/>
          </a:schemeClr>
        </a:gs>
        <a:gs pos="100000">
          <a:schemeClr val="accent5">
            <a:lumMod val="40000"/>
            <a:lumOff val="6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centre.xlsx]s1&amp;2!PivotTable2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's1&amp;2'!$B$3</c:f>
              <c:strCache>
                <c:ptCount val="1"/>
                <c:pt idx="0">
                  <c:v>Average of Satisfaction Rating</c:v>
                </c:pt>
              </c:strCache>
            </c:strRef>
          </c:tx>
          <c:spPr>
            <a:solidFill>
              <a:schemeClr val="accent1"/>
            </a:solidFill>
            <a:ln>
              <a:noFill/>
            </a:ln>
            <a:effectLst/>
          </c:spPr>
          <c:cat>
            <c:strRef>
              <c:f>'s1&amp;2'!$A$4:$A$19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's1&amp;2'!$B$4:$B$19</c:f>
              <c:numCache>
                <c:formatCode>0.0</c:formatCode>
                <c:ptCount val="15"/>
                <c:pt idx="0">
                  <c:v>3.8307692307692309</c:v>
                </c:pt>
                <c:pt idx="1">
                  <c:v>4.0730158730158736</c:v>
                </c:pt>
                <c:pt idx="2">
                  <c:v>4.0179999999999998</c:v>
                </c:pt>
                <c:pt idx="3">
                  <c:v>3.976829268292684</c:v>
                </c:pt>
                <c:pt idx="4">
                  <c:v>3.9797468354430396</c:v>
                </c:pt>
                <c:pt idx="5">
                  <c:v>3.7774193548387092</c:v>
                </c:pt>
                <c:pt idx="6">
                  <c:v>3.8522388059701487</c:v>
                </c:pt>
                <c:pt idx="7">
                  <c:v>3.901694915254236</c:v>
                </c:pt>
                <c:pt idx="8">
                  <c:v>3.62608695652174</c:v>
                </c:pt>
                <c:pt idx="9">
                  <c:v>3.863888888888888</c:v>
                </c:pt>
                <c:pt idx="10">
                  <c:v>3.9837837837837853</c:v>
                </c:pt>
                <c:pt idx="11">
                  <c:v>4.1300000000000008</c:v>
                </c:pt>
                <c:pt idx="12">
                  <c:v>3.7753623188405814</c:v>
                </c:pt>
                <c:pt idx="13">
                  <c:v>3.609999999999999</c:v>
                </c:pt>
                <c:pt idx="14">
                  <c:v>3.8389830508474563</c:v>
                </c:pt>
              </c:numCache>
            </c:numRef>
          </c:val>
          <c:extLst>
            <c:ext xmlns:c16="http://schemas.microsoft.com/office/drawing/2014/chart" uri="{C3380CC4-5D6E-409C-BE32-E72D297353CC}">
              <c16:uniqueId val="{00000000-0C04-4AC0-A8FE-59DF271A5939}"/>
            </c:ext>
          </c:extLst>
        </c:ser>
        <c:ser>
          <c:idx val="1"/>
          <c:order val="1"/>
          <c:tx>
            <c:strRef>
              <c:f>'s1&amp;2'!$C$3</c:f>
              <c:strCache>
                <c:ptCount val="1"/>
                <c:pt idx="0">
                  <c:v>Count of Call number</c:v>
                </c:pt>
              </c:strCache>
            </c:strRef>
          </c:tx>
          <c:spPr>
            <a:solidFill>
              <a:schemeClr val="accent2"/>
            </a:solidFill>
            <a:ln>
              <a:noFill/>
            </a:ln>
            <a:effectLst/>
          </c:spPr>
          <c:cat>
            <c:strRef>
              <c:f>'s1&amp;2'!$A$4:$A$19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's1&amp;2'!$C$4:$C$19</c:f>
              <c:numCache>
                <c:formatCode>General</c:formatCode>
                <c:ptCount val="15"/>
                <c:pt idx="0">
                  <c:v>65</c:v>
                </c:pt>
                <c:pt idx="1">
                  <c:v>63</c:v>
                </c:pt>
                <c:pt idx="2">
                  <c:v>50</c:v>
                </c:pt>
                <c:pt idx="3">
                  <c:v>82</c:v>
                </c:pt>
                <c:pt idx="4">
                  <c:v>79</c:v>
                </c:pt>
                <c:pt idx="5">
                  <c:v>62</c:v>
                </c:pt>
                <c:pt idx="6">
                  <c:v>67</c:v>
                </c:pt>
                <c:pt idx="7">
                  <c:v>59</c:v>
                </c:pt>
                <c:pt idx="8">
                  <c:v>69</c:v>
                </c:pt>
                <c:pt idx="9">
                  <c:v>72</c:v>
                </c:pt>
                <c:pt idx="10">
                  <c:v>74</c:v>
                </c:pt>
                <c:pt idx="11">
                  <c:v>70</c:v>
                </c:pt>
                <c:pt idx="12">
                  <c:v>69</c:v>
                </c:pt>
                <c:pt idx="13">
                  <c:v>60</c:v>
                </c:pt>
                <c:pt idx="14">
                  <c:v>59</c:v>
                </c:pt>
              </c:numCache>
            </c:numRef>
          </c:val>
          <c:extLst>
            <c:ext xmlns:c16="http://schemas.microsoft.com/office/drawing/2014/chart" uri="{C3380CC4-5D6E-409C-BE32-E72D297353CC}">
              <c16:uniqueId val="{00000001-0C04-4AC0-A8FE-59DF271A5939}"/>
            </c:ext>
          </c:extLst>
        </c:ser>
        <c:dLbls>
          <c:showLegendKey val="0"/>
          <c:showVal val="0"/>
          <c:showCatName val="0"/>
          <c:showSerName val="0"/>
          <c:showPercent val="0"/>
          <c:showBubbleSize val="0"/>
        </c:dLbls>
        <c:axId val="321352144"/>
        <c:axId val="321355504"/>
      </c:areaChart>
      <c:catAx>
        <c:axId val="321352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55504"/>
        <c:crosses val="autoZero"/>
        <c:auto val="1"/>
        <c:lblAlgn val="ctr"/>
        <c:lblOffset val="100"/>
        <c:noMultiLvlLbl val="0"/>
      </c:catAx>
      <c:valAx>
        <c:axId val="321355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52144"/>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centre.xlsx]s3!PivotTable3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's3'!$B$3</c:f>
              <c:strCache>
                <c:ptCount val="1"/>
                <c:pt idx="0">
                  <c:v>Total</c:v>
                </c:pt>
              </c:strCache>
            </c:strRef>
          </c:tx>
          <c:spPr>
            <a:solidFill>
              <a:schemeClr val="accent1"/>
            </a:solidFill>
            <a:ln>
              <a:noFill/>
            </a:ln>
            <a:effectLst/>
          </c:spPr>
          <c:invertIfNegative val="0"/>
          <c:cat>
            <c:multiLvlStrRef>
              <c:f>'s3'!$A$4:$A$26</c:f>
              <c:multiLvlStrCache>
                <c:ptCount val="20"/>
                <c:lvl>
                  <c:pt idx="0">
                    <c:v>C0005</c:v>
                  </c:pt>
                  <c:pt idx="1">
                    <c:v>C0013</c:v>
                  </c:pt>
                  <c:pt idx="2">
                    <c:v>C0009</c:v>
                  </c:pt>
                  <c:pt idx="3">
                    <c:v>C0010</c:v>
                  </c:pt>
                  <c:pt idx="4">
                    <c:v>C0008</c:v>
                  </c:pt>
                  <c:pt idx="5">
                    <c:v>C0007</c:v>
                  </c:pt>
                  <c:pt idx="6">
                    <c:v>C0004</c:v>
                  </c:pt>
                  <c:pt idx="7">
                    <c:v>C0003</c:v>
                  </c:pt>
                  <c:pt idx="8">
                    <c:v>C0002</c:v>
                  </c:pt>
                  <c:pt idx="9">
                    <c:v>C0001</c:v>
                  </c:pt>
                  <c:pt idx="10">
                    <c:v>C0013</c:v>
                  </c:pt>
                  <c:pt idx="11">
                    <c:v>C0007</c:v>
                  </c:pt>
                  <c:pt idx="12">
                    <c:v>C0011</c:v>
                  </c:pt>
                  <c:pt idx="13">
                    <c:v>C0006</c:v>
                  </c:pt>
                  <c:pt idx="14">
                    <c:v>C0014</c:v>
                  </c:pt>
                  <c:pt idx="15">
                    <c:v>C0010</c:v>
                  </c:pt>
                  <c:pt idx="16">
                    <c:v>C0012</c:v>
                  </c:pt>
                  <c:pt idx="17">
                    <c:v>C0005</c:v>
                  </c:pt>
                  <c:pt idx="18">
                    <c:v>C0015</c:v>
                  </c:pt>
                  <c:pt idx="19">
                    <c:v>C0001</c:v>
                  </c:pt>
                </c:lvl>
                <c:lvl>
                  <c:pt idx="0">
                    <c:v>2023</c:v>
                  </c:pt>
                  <c:pt idx="10">
                    <c:v>2024</c:v>
                  </c:pt>
                </c:lvl>
              </c:multiLvlStrCache>
            </c:multiLvlStrRef>
          </c:cat>
          <c:val>
            <c:numRef>
              <c:f>'s3'!$B$4:$B$26</c:f>
              <c:numCache>
                <c:formatCode>[$$-C09]#,##0.00</c:formatCode>
                <c:ptCount val="20"/>
                <c:pt idx="0">
                  <c:v>1256</c:v>
                </c:pt>
                <c:pt idx="1">
                  <c:v>777</c:v>
                </c:pt>
                <c:pt idx="2">
                  <c:v>773</c:v>
                </c:pt>
                <c:pt idx="3">
                  <c:v>762</c:v>
                </c:pt>
                <c:pt idx="4">
                  <c:v>732</c:v>
                </c:pt>
                <c:pt idx="5">
                  <c:v>710</c:v>
                </c:pt>
                <c:pt idx="6">
                  <c:v>649</c:v>
                </c:pt>
                <c:pt idx="7">
                  <c:v>615</c:v>
                </c:pt>
                <c:pt idx="8">
                  <c:v>609</c:v>
                </c:pt>
                <c:pt idx="9">
                  <c:v>557</c:v>
                </c:pt>
                <c:pt idx="10">
                  <c:v>1086</c:v>
                </c:pt>
                <c:pt idx="11">
                  <c:v>716</c:v>
                </c:pt>
                <c:pt idx="12">
                  <c:v>686</c:v>
                </c:pt>
                <c:pt idx="13">
                  <c:v>675</c:v>
                </c:pt>
                <c:pt idx="14">
                  <c:v>576</c:v>
                </c:pt>
                <c:pt idx="15">
                  <c:v>552</c:v>
                </c:pt>
                <c:pt idx="16">
                  <c:v>513</c:v>
                </c:pt>
                <c:pt idx="17">
                  <c:v>466</c:v>
                </c:pt>
                <c:pt idx="18">
                  <c:v>443</c:v>
                </c:pt>
                <c:pt idx="19">
                  <c:v>430</c:v>
                </c:pt>
              </c:numCache>
            </c:numRef>
          </c:val>
          <c:extLst>
            <c:ext xmlns:c16="http://schemas.microsoft.com/office/drawing/2014/chart" uri="{C3380CC4-5D6E-409C-BE32-E72D297353CC}">
              <c16:uniqueId val="{00000000-6A37-4793-B915-2CA173714EAC}"/>
            </c:ext>
          </c:extLst>
        </c:ser>
        <c:dLbls>
          <c:showLegendKey val="0"/>
          <c:showVal val="0"/>
          <c:showCatName val="0"/>
          <c:showSerName val="0"/>
          <c:showPercent val="0"/>
          <c:showBubbleSize val="0"/>
        </c:dLbls>
        <c:gapWidth val="219"/>
        <c:overlap val="-27"/>
        <c:axId val="479848528"/>
        <c:axId val="479846608"/>
      </c:barChart>
      <c:catAx>
        <c:axId val="4798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46608"/>
        <c:crosses val="autoZero"/>
        <c:auto val="1"/>
        <c:lblAlgn val="ctr"/>
        <c:lblOffset val="100"/>
        <c:noMultiLvlLbl val="0"/>
      </c:catAx>
      <c:valAx>
        <c:axId val="479846608"/>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centre.xlsx]Sheet6!PivotTable5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5E1F-4311-A2DF-25B1EA02B320}"/>
            </c:ext>
          </c:extLst>
        </c:ser>
        <c:dLbls>
          <c:showLegendKey val="0"/>
          <c:showVal val="0"/>
          <c:showCatName val="0"/>
          <c:showSerName val="0"/>
          <c:showPercent val="0"/>
          <c:showBubbleSize val="0"/>
        </c:dLbls>
        <c:gapWidth val="219"/>
        <c:overlap val="-27"/>
        <c:axId val="874556256"/>
        <c:axId val="874557216"/>
      </c:barChart>
      <c:catAx>
        <c:axId val="8745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557216"/>
        <c:crosses val="autoZero"/>
        <c:auto val="1"/>
        <c:lblAlgn val="ctr"/>
        <c:lblOffset val="100"/>
        <c:noMultiLvlLbl val="0"/>
      </c:catAx>
      <c:valAx>
        <c:axId val="87455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5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centre.xlsx]Sheet6!PivotTable6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9203849518812"/>
          <c:y val="0.22450240594925636"/>
          <c:w val="0.71659492563429572"/>
          <c:h val="0.53774387576552929"/>
        </c:manualLayout>
      </c:layout>
      <c:areaChart>
        <c:grouping val="standard"/>
        <c:varyColors val="0"/>
        <c:ser>
          <c:idx val="0"/>
          <c:order val="0"/>
          <c:tx>
            <c:strRef>
              <c:f>Sheet6!$B$25</c:f>
              <c:strCache>
                <c:ptCount val="1"/>
                <c:pt idx="0">
                  <c:v>Total</c:v>
                </c:pt>
              </c:strCache>
            </c:strRef>
          </c:tx>
          <c:spPr>
            <a:solidFill>
              <a:schemeClr val="accent1"/>
            </a:solidFill>
            <a:ln>
              <a:noFill/>
            </a:ln>
            <a:effectLst/>
          </c:spPr>
          <c:cat>
            <c:strRef>
              <c:f>Sheet6!$A$26:$A$38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Sheet6!$B$26:$B$38</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E65A-40CE-91EC-60E44ABA392C}"/>
            </c:ext>
          </c:extLst>
        </c:ser>
        <c:dLbls>
          <c:showLegendKey val="0"/>
          <c:showVal val="0"/>
          <c:showCatName val="0"/>
          <c:showSerName val="0"/>
          <c:showPercent val="0"/>
          <c:showBubbleSize val="0"/>
        </c:dLbls>
        <c:axId val="837558304"/>
        <c:axId val="837568384"/>
      </c:areaChart>
      <c:catAx>
        <c:axId val="83755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68384"/>
        <c:crosses val="autoZero"/>
        <c:auto val="1"/>
        <c:lblAlgn val="ctr"/>
        <c:lblOffset val="100"/>
        <c:noMultiLvlLbl val="0"/>
      </c:catAx>
      <c:valAx>
        <c:axId val="83756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58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call centre.xlsx]s8!PivotTable2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's8'!$B$3:$B$4</c:f>
              <c:strCache>
                <c:ptCount val="1"/>
                <c:pt idx="0">
                  <c:v>0</c:v>
                </c:pt>
              </c:strCache>
            </c:strRef>
          </c:tx>
          <c:spPr>
            <a:solidFill>
              <a:schemeClr val="accent1"/>
            </a:solidFill>
            <a:ln>
              <a:noFill/>
            </a:ln>
            <a:effectLst/>
          </c:spPr>
          <c:invertIfNegative val="0"/>
          <c:cat>
            <c:strRef>
              <c:f>'s8'!$A$5:$A$10</c:f>
              <c:strCache>
                <c:ptCount val="5"/>
                <c:pt idx="0">
                  <c:v>Under 10 mins</c:v>
                </c:pt>
                <c:pt idx="1">
                  <c:v>10 to 30 mins</c:v>
                </c:pt>
                <c:pt idx="2">
                  <c:v>30 to 60 mins</c:v>
                </c:pt>
                <c:pt idx="3">
                  <c:v>1 to 2 hours</c:v>
                </c:pt>
                <c:pt idx="4">
                  <c:v>More than 2 hours</c:v>
                </c:pt>
              </c:strCache>
            </c:strRef>
          </c:cat>
          <c:val>
            <c:numRef>
              <c:f>'s8'!$B$5:$B$10</c:f>
              <c:numCache>
                <c:formatCode>0.00%</c:formatCode>
                <c:ptCount val="5"/>
                <c:pt idx="0">
                  <c:v>0</c:v>
                </c:pt>
                <c:pt idx="1">
                  <c:v>0</c:v>
                </c:pt>
                <c:pt idx="2">
                  <c:v>0</c:v>
                </c:pt>
                <c:pt idx="3">
                  <c:v>0</c:v>
                </c:pt>
                <c:pt idx="4">
                  <c:v>4.2194092827004216E-3</c:v>
                </c:pt>
              </c:numCache>
            </c:numRef>
          </c:val>
          <c:extLst>
            <c:ext xmlns:c16="http://schemas.microsoft.com/office/drawing/2014/chart" uri="{C3380CC4-5D6E-409C-BE32-E72D297353CC}">
              <c16:uniqueId val="{00000000-AC80-40A8-A524-7A53CEDBB065}"/>
            </c:ext>
          </c:extLst>
        </c:ser>
        <c:ser>
          <c:idx val="1"/>
          <c:order val="1"/>
          <c:tx>
            <c:strRef>
              <c:f>'s8'!$C$3:$C$4</c:f>
              <c:strCache>
                <c:ptCount val="1"/>
                <c:pt idx="0">
                  <c:v>1</c:v>
                </c:pt>
              </c:strCache>
            </c:strRef>
          </c:tx>
          <c:spPr>
            <a:solidFill>
              <a:schemeClr val="accent2"/>
            </a:solidFill>
            <a:ln>
              <a:noFill/>
            </a:ln>
            <a:effectLst/>
          </c:spPr>
          <c:invertIfNegative val="0"/>
          <c:cat>
            <c:strRef>
              <c:f>'s8'!$A$5:$A$10</c:f>
              <c:strCache>
                <c:ptCount val="5"/>
                <c:pt idx="0">
                  <c:v>Under 10 mins</c:v>
                </c:pt>
                <c:pt idx="1">
                  <c:v>10 to 30 mins</c:v>
                </c:pt>
                <c:pt idx="2">
                  <c:v>30 to 60 mins</c:v>
                </c:pt>
                <c:pt idx="3">
                  <c:v>1 to 2 hours</c:v>
                </c:pt>
                <c:pt idx="4">
                  <c:v>More than 2 hours</c:v>
                </c:pt>
              </c:strCache>
            </c:strRef>
          </c:cat>
          <c:val>
            <c:numRef>
              <c:f>'s8'!$C$5:$C$10</c:f>
              <c:numCache>
                <c:formatCode>0.00%</c:formatCode>
                <c:ptCount val="5"/>
                <c:pt idx="0">
                  <c:v>0</c:v>
                </c:pt>
                <c:pt idx="1">
                  <c:v>0</c:v>
                </c:pt>
                <c:pt idx="2">
                  <c:v>0</c:v>
                </c:pt>
                <c:pt idx="3">
                  <c:v>9.5419847328244278E-3</c:v>
                </c:pt>
                <c:pt idx="4">
                  <c:v>1.2658227848101266E-2</c:v>
                </c:pt>
              </c:numCache>
            </c:numRef>
          </c:val>
          <c:extLst>
            <c:ext xmlns:c16="http://schemas.microsoft.com/office/drawing/2014/chart" uri="{C3380CC4-5D6E-409C-BE32-E72D297353CC}">
              <c16:uniqueId val="{00000001-AC80-40A8-A524-7A53CEDBB065}"/>
            </c:ext>
          </c:extLst>
        </c:ser>
        <c:ser>
          <c:idx val="2"/>
          <c:order val="2"/>
          <c:tx>
            <c:strRef>
              <c:f>'s8'!$D$3:$D$4</c:f>
              <c:strCache>
                <c:ptCount val="1"/>
                <c:pt idx="0">
                  <c:v>2</c:v>
                </c:pt>
              </c:strCache>
            </c:strRef>
          </c:tx>
          <c:spPr>
            <a:solidFill>
              <a:schemeClr val="accent3"/>
            </a:solidFill>
            <a:ln>
              <a:noFill/>
            </a:ln>
            <a:effectLst/>
          </c:spPr>
          <c:invertIfNegative val="0"/>
          <c:cat>
            <c:strRef>
              <c:f>'s8'!$A$5:$A$10</c:f>
              <c:strCache>
                <c:ptCount val="5"/>
                <c:pt idx="0">
                  <c:v>Under 10 mins</c:v>
                </c:pt>
                <c:pt idx="1">
                  <c:v>10 to 30 mins</c:v>
                </c:pt>
                <c:pt idx="2">
                  <c:v>30 to 60 mins</c:v>
                </c:pt>
                <c:pt idx="3">
                  <c:v>1 to 2 hours</c:v>
                </c:pt>
                <c:pt idx="4">
                  <c:v>More than 2 hours</c:v>
                </c:pt>
              </c:strCache>
            </c:strRef>
          </c:cat>
          <c:val>
            <c:numRef>
              <c:f>'s8'!$D$5:$D$10</c:f>
              <c:numCache>
                <c:formatCode>0.00%</c:formatCode>
                <c:ptCount val="5"/>
                <c:pt idx="0">
                  <c:v>0</c:v>
                </c:pt>
                <c:pt idx="1">
                  <c:v>7.8431372549019607E-2</c:v>
                </c:pt>
                <c:pt idx="2">
                  <c:v>7.2625698324022353E-2</c:v>
                </c:pt>
                <c:pt idx="3">
                  <c:v>5.3435114503816793E-2</c:v>
                </c:pt>
                <c:pt idx="4">
                  <c:v>5.9071729957805907E-2</c:v>
                </c:pt>
              </c:numCache>
            </c:numRef>
          </c:val>
          <c:extLst>
            <c:ext xmlns:c16="http://schemas.microsoft.com/office/drawing/2014/chart" uri="{C3380CC4-5D6E-409C-BE32-E72D297353CC}">
              <c16:uniqueId val="{00000002-AC80-40A8-A524-7A53CEDBB065}"/>
            </c:ext>
          </c:extLst>
        </c:ser>
        <c:dLbls>
          <c:showLegendKey val="0"/>
          <c:showVal val="0"/>
          <c:showCatName val="0"/>
          <c:showSerName val="0"/>
          <c:showPercent val="0"/>
          <c:showBubbleSize val="0"/>
        </c:dLbls>
        <c:gapWidth val="219"/>
        <c:overlap val="-27"/>
        <c:axId val="1319248640"/>
        <c:axId val="1319245760"/>
      </c:barChart>
      <c:lineChart>
        <c:grouping val="standard"/>
        <c:varyColors val="0"/>
        <c:ser>
          <c:idx val="3"/>
          <c:order val="3"/>
          <c:tx>
            <c:strRef>
              <c:f>'s8'!$E$3:$E$4</c:f>
              <c:strCache>
                <c:ptCount val="1"/>
                <c:pt idx="0">
                  <c:v>3</c:v>
                </c:pt>
              </c:strCache>
            </c:strRef>
          </c:tx>
          <c:spPr>
            <a:ln w="28575" cap="rnd">
              <a:solidFill>
                <a:schemeClr val="accent4"/>
              </a:solidFill>
              <a:round/>
            </a:ln>
            <a:effectLst/>
          </c:spPr>
          <c:marker>
            <c:symbol val="none"/>
          </c:marker>
          <c:cat>
            <c:strRef>
              <c:f>'s8'!$A$5:$A$10</c:f>
              <c:strCache>
                <c:ptCount val="5"/>
                <c:pt idx="0">
                  <c:v>Under 10 mins</c:v>
                </c:pt>
                <c:pt idx="1">
                  <c:v>10 to 30 mins</c:v>
                </c:pt>
                <c:pt idx="2">
                  <c:v>30 to 60 mins</c:v>
                </c:pt>
                <c:pt idx="3">
                  <c:v>1 to 2 hours</c:v>
                </c:pt>
                <c:pt idx="4">
                  <c:v>More than 2 hours</c:v>
                </c:pt>
              </c:strCache>
            </c:strRef>
          </c:cat>
          <c:val>
            <c:numRef>
              <c:f>'s8'!$E$5:$E$10</c:f>
              <c:numCache>
                <c:formatCode>0.00%</c:formatCode>
                <c:ptCount val="5"/>
                <c:pt idx="0">
                  <c:v>0.22222222222222221</c:v>
                </c:pt>
                <c:pt idx="1">
                  <c:v>0.11764705882352941</c:v>
                </c:pt>
                <c:pt idx="2">
                  <c:v>0.19553072625698323</c:v>
                </c:pt>
                <c:pt idx="3">
                  <c:v>0.20229007633587787</c:v>
                </c:pt>
                <c:pt idx="4">
                  <c:v>0.20253164556962025</c:v>
                </c:pt>
              </c:numCache>
            </c:numRef>
          </c:val>
          <c:smooth val="0"/>
          <c:extLst>
            <c:ext xmlns:c16="http://schemas.microsoft.com/office/drawing/2014/chart" uri="{C3380CC4-5D6E-409C-BE32-E72D297353CC}">
              <c16:uniqueId val="{00000003-AC80-40A8-A524-7A53CEDBB065}"/>
            </c:ext>
          </c:extLst>
        </c:ser>
        <c:ser>
          <c:idx val="4"/>
          <c:order val="4"/>
          <c:tx>
            <c:strRef>
              <c:f>'s8'!$F$3:$F$4</c:f>
              <c:strCache>
                <c:ptCount val="1"/>
                <c:pt idx="0">
                  <c:v>4</c:v>
                </c:pt>
              </c:strCache>
            </c:strRef>
          </c:tx>
          <c:spPr>
            <a:ln w="28575" cap="rnd">
              <a:solidFill>
                <a:schemeClr val="accent5"/>
              </a:solidFill>
              <a:round/>
            </a:ln>
            <a:effectLst/>
          </c:spPr>
          <c:marker>
            <c:symbol val="none"/>
          </c:marker>
          <c:cat>
            <c:strRef>
              <c:f>'s8'!$A$5:$A$10</c:f>
              <c:strCache>
                <c:ptCount val="5"/>
                <c:pt idx="0">
                  <c:v>Under 10 mins</c:v>
                </c:pt>
                <c:pt idx="1">
                  <c:v>10 to 30 mins</c:v>
                </c:pt>
                <c:pt idx="2">
                  <c:v>30 to 60 mins</c:v>
                </c:pt>
                <c:pt idx="3">
                  <c:v>1 to 2 hours</c:v>
                </c:pt>
                <c:pt idx="4">
                  <c:v>More than 2 hours</c:v>
                </c:pt>
              </c:strCache>
            </c:strRef>
          </c:cat>
          <c:val>
            <c:numRef>
              <c:f>'s8'!$F$5:$F$10</c:f>
              <c:numCache>
                <c:formatCode>0.00%</c:formatCode>
                <c:ptCount val="5"/>
                <c:pt idx="0">
                  <c:v>0.55555555555555558</c:v>
                </c:pt>
                <c:pt idx="1">
                  <c:v>0.50980392156862742</c:v>
                </c:pt>
                <c:pt idx="2">
                  <c:v>0.41899441340782123</c:v>
                </c:pt>
                <c:pt idx="3">
                  <c:v>0.42938931297709926</c:v>
                </c:pt>
                <c:pt idx="4">
                  <c:v>0.40928270042194093</c:v>
                </c:pt>
              </c:numCache>
            </c:numRef>
          </c:val>
          <c:smooth val="0"/>
          <c:extLst>
            <c:ext xmlns:c16="http://schemas.microsoft.com/office/drawing/2014/chart" uri="{C3380CC4-5D6E-409C-BE32-E72D297353CC}">
              <c16:uniqueId val="{00000004-AC80-40A8-A524-7A53CEDBB065}"/>
            </c:ext>
          </c:extLst>
        </c:ser>
        <c:ser>
          <c:idx val="5"/>
          <c:order val="5"/>
          <c:tx>
            <c:strRef>
              <c:f>'s8'!$G$3:$G$4</c:f>
              <c:strCache>
                <c:ptCount val="1"/>
                <c:pt idx="0">
                  <c:v>5</c:v>
                </c:pt>
              </c:strCache>
            </c:strRef>
          </c:tx>
          <c:spPr>
            <a:ln w="28575" cap="rnd">
              <a:solidFill>
                <a:schemeClr val="accent6"/>
              </a:solidFill>
              <a:round/>
            </a:ln>
            <a:effectLst/>
          </c:spPr>
          <c:marker>
            <c:symbol val="none"/>
          </c:marker>
          <c:cat>
            <c:strRef>
              <c:f>'s8'!$A$5:$A$10</c:f>
              <c:strCache>
                <c:ptCount val="5"/>
                <c:pt idx="0">
                  <c:v>Under 10 mins</c:v>
                </c:pt>
                <c:pt idx="1">
                  <c:v>10 to 30 mins</c:v>
                </c:pt>
                <c:pt idx="2">
                  <c:v>30 to 60 mins</c:v>
                </c:pt>
                <c:pt idx="3">
                  <c:v>1 to 2 hours</c:v>
                </c:pt>
                <c:pt idx="4">
                  <c:v>More than 2 hours</c:v>
                </c:pt>
              </c:strCache>
            </c:strRef>
          </c:cat>
          <c:val>
            <c:numRef>
              <c:f>'s8'!$G$5:$G$10</c:f>
              <c:numCache>
                <c:formatCode>0.00%</c:formatCode>
                <c:ptCount val="5"/>
                <c:pt idx="0">
                  <c:v>0.22222222222222221</c:v>
                </c:pt>
                <c:pt idx="1">
                  <c:v>0.29411764705882354</c:v>
                </c:pt>
                <c:pt idx="2">
                  <c:v>0.31284916201117319</c:v>
                </c:pt>
                <c:pt idx="3">
                  <c:v>0.30534351145038169</c:v>
                </c:pt>
                <c:pt idx="4">
                  <c:v>0.31223628691983124</c:v>
                </c:pt>
              </c:numCache>
            </c:numRef>
          </c:val>
          <c:smooth val="0"/>
          <c:extLst>
            <c:ext xmlns:c16="http://schemas.microsoft.com/office/drawing/2014/chart" uri="{C3380CC4-5D6E-409C-BE32-E72D297353CC}">
              <c16:uniqueId val="{00000005-AC80-40A8-A524-7A53CEDBB065}"/>
            </c:ext>
          </c:extLst>
        </c:ser>
        <c:dLbls>
          <c:showLegendKey val="0"/>
          <c:showVal val="0"/>
          <c:showCatName val="0"/>
          <c:showSerName val="0"/>
          <c:showPercent val="0"/>
          <c:showBubbleSize val="0"/>
        </c:dLbls>
        <c:marker val="1"/>
        <c:smooth val="0"/>
        <c:axId val="1319248640"/>
        <c:axId val="1319245760"/>
      </c:lineChart>
      <c:catAx>
        <c:axId val="131924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45760"/>
        <c:crosses val="autoZero"/>
        <c:auto val="1"/>
        <c:lblAlgn val="ctr"/>
        <c:lblOffset val="100"/>
        <c:noMultiLvlLbl val="0"/>
      </c:catAx>
      <c:valAx>
        <c:axId val="1319245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4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chart" Target="../charts/chart9.xml"/><Relationship Id="rId7" Type="http://schemas.openxmlformats.org/officeDocument/2006/relationships/image" Target="../media/image7.svg"/><Relationship Id="rId12" Type="http://schemas.openxmlformats.org/officeDocument/2006/relationships/image" Target="../media/image12.png"/><Relationship Id="rId2" Type="http://schemas.openxmlformats.org/officeDocument/2006/relationships/chart" Target="../charts/chart8.xml"/><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450850</xdr:colOff>
      <xdr:row>6</xdr:row>
      <xdr:rowOff>171451</xdr:rowOff>
    </xdr:from>
    <xdr:to>
      <xdr:col>7</xdr:col>
      <xdr:colOff>436996</xdr:colOff>
      <xdr:row>15</xdr:row>
      <xdr:rowOff>146051</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E7B366BE-0C3E-9B8E-741D-F17B5F1A4EB6}"/>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3765550" y="1314451"/>
              <a:ext cx="18288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368300</xdr:colOff>
      <xdr:row>22</xdr:row>
      <xdr:rowOff>161925</xdr:rowOff>
    </xdr:from>
    <xdr:to>
      <xdr:col>9</xdr:col>
      <xdr:colOff>133350</xdr:colOff>
      <xdr:row>36</xdr:row>
      <xdr:rowOff>25400</xdr:rowOff>
    </xdr:to>
    <xdr:graphicFrame macro="">
      <xdr:nvGraphicFramePr>
        <xdr:cNvPr id="3" name="Chart 2">
          <a:extLst>
            <a:ext uri="{FF2B5EF4-FFF2-40B4-BE49-F238E27FC236}">
              <a16:creationId xmlns:a16="http://schemas.microsoft.com/office/drawing/2014/main" id="{8F3D5F05-E17C-EF6E-19BE-01CD018E1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43</xdr:row>
      <xdr:rowOff>31750</xdr:rowOff>
    </xdr:from>
    <xdr:to>
      <xdr:col>5</xdr:col>
      <xdr:colOff>717550</xdr:colOff>
      <xdr:row>52</xdr:row>
      <xdr:rowOff>142874</xdr:rowOff>
    </xdr:to>
    <xdr:graphicFrame macro="">
      <xdr:nvGraphicFramePr>
        <xdr:cNvPr id="4" name="Chart 3">
          <a:extLst>
            <a:ext uri="{FF2B5EF4-FFF2-40B4-BE49-F238E27FC236}">
              <a16:creationId xmlns:a16="http://schemas.microsoft.com/office/drawing/2014/main" id="{45F4E266-2F26-DE71-2A2A-FBE33287A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663575</xdr:colOff>
      <xdr:row>69</xdr:row>
      <xdr:rowOff>123825</xdr:rowOff>
    </xdr:from>
    <xdr:to>
      <xdr:col>5</xdr:col>
      <xdr:colOff>146050</xdr:colOff>
      <xdr:row>81</xdr:row>
      <xdr:rowOff>0</xdr:rowOff>
    </xdr:to>
    <xdr:graphicFrame macro="">
      <xdr:nvGraphicFramePr>
        <xdr:cNvPr id="5" name="Chart 4">
          <a:extLst>
            <a:ext uri="{FF2B5EF4-FFF2-40B4-BE49-F238E27FC236}">
              <a16:creationId xmlns:a16="http://schemas.microsoft.com/office/drawing/2014/main" id="{9E507775-BA00-0E0F-B0F9-E99F2A85A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180975</xdr:colOff>
      <xdr:row>69</xdr:row>
      <xdr:rowOff>111125</xdr:rowOff>
    </xdr:from>
    <xdr:to>
      <xdr:col>8</xdr:col>
      <xdr:colOff>730250</xdr:colOff>
      <xdr:row>83</xdr:row>
      <xdr:rowOff>187325</xdr:rowOff>
    </xdr:to>
    <xdr:graphicFrame macro="">
      <xdr:nvGraphicFramePr>
        <xdr:cNvPr id="7" name="Chart 6">
          <a:extLst>
            <a:ext uri="{FF2B5EF4-FFF2-40B4-BE49-F238E27FC236}">
              <a16:creationId xmlns:a16="http://schemas.microsoft.com/office/drawing/2014/main" id="{CC0AE575-B130-F469-7FCB-68BBD99B7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165100</xdr:colOff>
      <xdr:row>89</xdr:row>
      <xdr:rowOff>9525</xdr:rowOff>
    </xdr:from>
    <xdr:to>
      <xdr:col>6</xdr:col>
      <xdr:colOff>463550</xdr:colOff>
      <xdr:row>104</xdr:row>
      <xdr:rowOff>127000</xdr:rowOff>
    </xdr:to>
    <xdr:graphicFrame macro="">
      <xdr:nvGraphicFramePr>
        <xdr:cNvPr id="9" name="Chart 8">
          <a:extLst>
            <a:ext uri="{FF2B5EF4-FFF2-40B4-BE49-F238E27FC236}">
              <a16:creationId xmlns:a16="http://schemas.microsoft.com/office/drawing/2014/main" id="{B379531E-F1AD-CF9E-685D-865D14DD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26940</xdr:colOff>
      <xdr:row>107</xdr:row>
      <xdr:rowOff>146916</xdr:rowOff>
    </xdr:from>
    <xdr:to>
      <xdr:col>7</xdr:col>
      <xdr:colOff>646931</xdr:colOff>
      <xdr:row>118</xdr:row>
      <xdr:rowOff>131042</xdr:rowOff>
    </xdr:to>
    <xdr:graphicFrame macro="">
      <xdr:nvGraphicFramePr>
        <xdr:cNvPr id="10" name="Chart 9">
          <a:extLst>
            <a:ext uri="{FF2B5EF4-FFF2-40B4-BE49-F238E27FC236}">
              <a16:creationId xmlns:a16="http://schemas.microsoft.com/office/drawing/2014/main" id="{5C97FE5E-B2F3-48EC-16F0-D1BF3F10C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120649</xdr:colOff>
      <xdr:row>1</xdr:row>
      <xdr:rowOff>31750</xdr:rowOff>
    </xdr:from>
    <xdr:to>
      <xdr:col>1</xdr:col>
      <xdr:colOff>762000</xdr:colOff>
      <xdr:row>1</xdr:row>
      <xdr:rowOff>165100</xdr:rowOff>
    </xdr:to>
    <xdr:pic>
      <xdr:nvPicPr>
        <xdr:cNvPr id="3" name="Picture 2" descr="Silhouette of side of face">
          <a:extLst>
            <a:ext uri="{FF2B5EF4-FFF2-40B4-BE49-F238E27FC236}">
              <a16:creationId xmlns:a16="http://schemas.microsoft.com/office/drawing/2014/main" id="{E912F542-EDC6-F425-3085-59E18D2807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8482" t="5026" r="18055" b="45575"/>
        <a:stretch>
          <a:fillRect/>
        </a:stretch>
      </xdr:blipFill>
      <xdr:spPr>
        <a:xfrm>
          <a:off x="984249" y="222250"/>
          <a:ext cx="641351" cy="133350"/>
        </a:xfrm>
        <a:prstGeom prst="rect">
          <a:avLst/>
        </a:prstGeom>
      </xdr:spPr>
    </xdr:pic>
    <xdr:clientData/>
  </xdr:twoCellAnchor>
  <xdr:twoCellAnchor>
    <xdr:from>
      <xdr:col>1</xdr:col>
      <xdr:colOff>120649</xdr:colOff>
      <xdr:row>2</xdr:row>
      <xdr:rowOff>31750</xdr:rowOff>
    </xdr:from>
    <xdr:to>
      <xdr:col>1</xdr:col>
      <xdr:colOff>762000</xdr:colOff>
      <xdr:row>2</xdr:row>
      <xdr:rowOff>177800</xdr:rowOff>
    </xdr:to>
    <xdr:pic>
      <xdr:nvPicPr>
        <xdr:cNvPr id="2" name="Picture 1" descr="Silhouette of side of face">
          <a:extLst>
            <a:ext uri="{FF2B5EF4-FFF2-40B4-BE49-F238E27FC236}">
              <a16:creationId xmlns:a16="http://schemas.microsoft.com/office/drawing/2014/main" id="{DF0409BD-ED46-4DFD-A26B-DF3BEA7A2F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8482" t="5026" r="18055" b="45575"/>
        <a:stretch>
          <a:fillRect/>
        </a:stretch>
      </xdr:blipFill>
      <xdr:spPr>
        <a:xfrm>
          <a:off x="984249" y="412750"/>
          <a:ext cx="641351" cy="146050"/>
        </a:xfrm>
        <a:prstGeom prst="rect">
          <a:avLst/>
        </a:prstGeom>
      </xdr:spPr>
    </xdr:pic>
    <xdr:clientData/>
  </xdr:twoCellAnchor>
  <xdr:twoCellAnchor>
    <xdr:from>
      <xdr:col>1</xdr:col>
      <xdr:colOff>120649</xdr:colOff>
      <xdr:row>5</xdr:row>
      <xdr:rowOff>31750</xdr:rowOff>
    </xdr:from>
    <xdr:to>
      <xdr:col>1</xdr:col>
      <xdr:colOff>762000</xdr:colOff>
      <xdr:row>5</xdr:row>
      <xdr:rowOff>165100</xdr:rowOff>
    </xdr:to>
    <xdr:pic>
      <xdr:nvPicPr>
        <xdr:cNvPr id="6" name="Picture 5" descr="Silhouette of side of face">
          <a:extLst>
            <a:ext uri="{FF2B5EF4-FFF2-40B4-BE49-F238E27FC236}">
              <a16:creationId xmlns:a16="http://schemas.microsoft.com/office/drawing/2014/main" id="{EFF60F2A-54AB-44F4-8D20-E676AAAA789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8482" t="5026" r="18055" b="45575"/>
        <a:stretch>
          <a:fillRect/>
        </a:stretch>
      </xdr:blipFill>
      <xdr:spPr>
        <a:xfrm>
          <a:off x="984249" y="222250"/>
          <a:ext cx="641351" cy="133350"/>
        </a:xfrm>
        <a:prstGeom prst="rect">
          <a:avLst/>
        </a:prstGeom>
      </xdr:spPr>
    </xdr:pic>
    <xdr:clientData/>
  </xdr:twoCellAnchor>
  <xdr:twoCellAnchor>
    <xdr:from>
      <xdr:col>1</xdr:col>
      <xdr:colOff>188832</xdr:colOff>
      <xdr:row>3</xdr:row>
      <xdr:rowOff>31750</xdr:rowOff>
    </xdr:from>
    <xdr:to>
      <xdr:col>1</xdr:col>
      <xdr:colOff>733630</xdr:colOff>
      <xdr:row>3</xdr:row>
      <xdr:rowOff>139700</xdr:rowOff>
    </xdr:to>
    <xdr:pic>
      <xdr:nvPicPr>
        <xdr:cNvPr id="8" name="Picture 7" descr="People on tables">
          <a:extLst>
            <a:ext uri="{FF2B5EF4-FFF2-40B4-BE49-F238E27FC236}">
              <a16:creationId xmlns:a16="http://schemas.microsoft.com/office/drawing/2014/main" id="{8E99548D-F6AE-358F-3B77-5677E82C9EF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874" r="21874"/>
        <a:stretch>
          <a:fillRect/>
        </a:stretch>
      </xdr:blipFill>
      <xdr:spPr>
        <a:xfrm>
          <a:off x="1052432" y="603250"/>
          <a:ext cx="544798" cy="107950"/>
        </a:xfrm>
        <a:prstGeom prst="rect">
          <a:avLst/>
        </a:prstGeom>
      </xdr:spPr>
    </xdr:pic>
    <xdr:clientData/>
  </xdr:twoCellAnchor>
  <xdr:twoCellAnchor>
    <xdr:from>
      <xdr:col>1</xdr:col>
      <xdr:colOff>120649</xdr:colOff>
      <xdr:row>4</xdr:row>
      <xdr:rowOff>31750</xdr:rowOff>
    </xdr:from>
    <xdr:to>
      <xdr:col>1</xdr:col>
      <xdr:colOff>762000</xdr:colOff>
      <xdr:row>4</xdr:row>
      <xdr:rowOff>165100</xdr:rowOff>
    </xdr:to>
    <xdr:pic>
      <xdr:nvPicPr>
        <xdr:cNvPr id="9" name="Picture 8" descr="Silhouette of side of face">
          <a:extLst>
            <a:ext uri="{FF2B5EF4-FFF2-40B4-BE49-F238E27FC236}">
              <a16:creationId xmlns:a16="http://schemas.microsoft.com/office/drawing/2014/main" id="{B39D20E9-AA5D-4532-BF1E-E69ED65BE8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8482" t="5026" r="18055" b="45575"/>
        <a:stretch>
          <a:fillRect/>
        </a:stretch>
      </xdr:blipFill>
      <xdr:spPr>
        <a:xfrm>
          <a:off x="984249" y="603250"/>
          <a:ext cx="641351" cy="133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153147</xdr:colOff>
      <xdr:row>22</xdr:row>
      <xdr:rowOff>62935</xdr:rowOff>
    </xdr:from>
    <xdr:to>
      <xdr:col>9</xdr:col>
      <xdr:colOff>324883</xdr:colOff>
      <xdr:row>39</xdr:row>
      <xdr:rowOff>173182</xdr:rowOff>
    </xdr:to>
    <xdr:sp macro="" textlink="">
      <xdr:nvSpPr>
        <xdr:cNvPr id="48" name="Rectangle 47">
          <a:extLst>
            <a:ext uri="{FF2B5EF4-FFF2-40B4-BE49-F238E27FC236}">
              <a16:creationId xmlns:a16="http://schemas.microsoft.com/office/drawing/2014/main" id="{A8ED7FE1-CD14-061C-391B-1B1661681CD4}"/>
            </a:ext>
          </a:extLst>
        </xdr:cNvPr>
        <xdr:cNvSpPr/>
      </xdr:nvSpPr>
      <xdr:spPr>
        <a:xfrm>
          <a:off x="3579194" y="4404563"/>
          <a:ext cx="4454294" cy="33738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301767</xdr:colOff>
      <xdr:row>22</xdr:row>
      <xdr:rowOff>89647</xdr:rowOff>
    </xdr:from>
    <xdr:to>
      <xdr:col>7</xdr:col>
      <xdr:colOff>652884</xdr:colOff>
      <xdr:row>39</xdr:row>
      <xdr:rowOff>141940</xdr:rowOff>
    </xdr:to>
    <xdr:graphicFrame macro="">
      <xdr:nvGraphicFramePr>
        <xdr:cNvPr id="46" name="Chart 45">
          <a:extLst>
            <a:ext uri="{FF2B5EF4-FFF2-40B4-BE49-F238E27FC236}">
              <a16:creationId xmlns:a16="http://schemas.microsoft.com/office/drawing/2014/main" id="{FF8E6941-8F30-46CA-B7CD-1E141222D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477553</xdr:colOff>
      <xdr:row>24</xdr:row>
      <xdr:rowOff>26714</xdr:rowOff>
    </xdr:from>
    <xdr:to>
      <xdr:col>9</xdr:col>
      <xdr:colOff>335612</xdr:colOff>
      <xdr:row>38</xdr:row>
      <xdr:rowOff>50620</xdr:rowOff>
    </xdr:to>
    <xdr:graphicFrame macro="">
      <xdr:nvGraphicFramePr>
        <xdr:cNvPr id="47" name="Chart 46">
          <a:extLst>
            <a:ext uri="{FF2B5EF4-FFF2-40B4-BE49-F238E27FC236}">
              <a16:creationId xmlns:a16="http://schemas.microsoft.com/office/drawing/2014/main" id="{9AB44DDF-1F2A-455A-83BC-2E6657C72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500530</xdr:colOff>
      <xdr:row>5</xdr:row>
      <xdr:rowOff>134471</xdr:rowOff>
    </xdr:from>
    <xdr:to>
      <xdr:col>10</xdr:col>
      <xdr:colOff>545353</xdr:colOff>
      <xdr:row>15</xdr:row>
      <xdr:rowOff>129800</xdr:rowOff>
    </xdr:to>
    <xdr:graphicFrame macro="">
      <xdr:nvGraphicFramePr>
        <xdr:cNvPr id="44" name="Chart 43">
          <a:extLst>
            <a:ext uri="{FF2B5EF4-FFF2-40B4-BE49-F238E27FC236}">
              <a16:creationId xmlns:a16="http://schemas.microsoft.com/office/drawing/2014/main" id="{7B6C433C-008F-40AD-8DEF-053AFBF4E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812800</xdr:colOff>
      <xdr:row>4</xdr:row>
      <xdr:rowOff>0</xdr:rowOff>
    </xdr:from>
    <xdr:to>
      <xdr:col>4</xdr:col>
      <xdr:colOff>57150</xdr:colOff>
      <xdr:row>9</xdr:row>
      <xdr:rowOff>127000</xdr:rowOff>
    </xdr:to>
    <xdr:sp macro="" textlink="pivots!A4">
      <xdr:nvSpPr>
        <xdr:cNvPr id="4" name="Rectangle 3">
          <a:extLst>
            <a:ext uri="{FF2B5EF4-FFF2-40B4-BE49-F238E27FC236}">
              <a16:creationId xmlns:a16="http://schemas.microsoft.com/office/drawing/2014/main" id="{74AEA7E9-5A28-4CBC-0075-ECA2A27219AB}"/>
            </a:ext>
          </a:extLst>
        </xdr:cNvPr>
        <xdr:cNvSpPr/>
      </xdr:nvSpPr>
      <xdr:spPr>
        <a:xfrm>
          <a:off x="1679388" y="582706"/>
          <a:ext cx="1844115" cy="1098176"/>
        </a:xfrm>
        <a:prstGeom prst="rect">
          <a:avLst/>
        </a:prstGeom>
        <a:solidFill>
          <a:schemeClr val="accent5"/>
        </a:solidFill>
        <a:ln>
          <a:noFill/>
        </a:ln>
        <a:effectLst>
          <a:outerShdw blurRad="254000" dist="127000" dir="2700000" algn="tl" rotWithShape="0">
            <a:prstClr val="black">
              <a:alpha val="5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52719F-BC34-4871-BAC3-D2ED1A160EA0}" type="TxLink">
            <a:rPr lang="en-US" sz="2800" b="0" i="0" u="none" strike="noStrike">
              <a:solidFill>
                <a:schemeClr val="bg1"/>
              </a:solidFill>
              <a:latin typeface="Tempus Sans ITC"/>
            </a:rPr>
            <a:pPr algn="ctr"/>
            <a:t>1,000</a:t>
          </a:fld>
          <a:endParaRPr lang="en-IN" sz="2800">
            <a:solidFill>
              <a:schemeClr val="bg1"/>
            </a:solidFill>
          </a:endParaRPr>
        </a:p>
      </xdr:txBody>
    </xdr:sp>
    <xdr:clientData/>
  </xdr:twoCellAnchor>
  <xdr:twoCellAnchor>
    <xdr:from>
      <xdr:col>2</xdr:col>
      <xdr:colOff>361950</xdr:colOff>
      <xdr:row>4</xdr:row>
      <xdr:rowOff>158750</xdr:rowOff>
    </xdr:from>
    <xdr:to>
      <xdr:col>2</xdr:col>
      <xdr:colOff>825500</xdr:colOff>
      <xdr:row>6</xdr:row>
      <xdr:rowOff>25400</xdr:rowOff>
    </xdr:to>
    <xdr:sp macro="" textlink="">
      <xdr:nvSpPr>
        <xdr:cNvPr id="6" name="TextBox 5">
          <a:extLst>
            <a:ext uri="{FF2B5EF4-FFF2-40B4-BE49-F238E27FC236}">
              <a16:creationId xmlns:a16="http://schemas.microsoft.com/office/drawing/2014/main" id="{1D7B4ED3-6EF4-346A-8815-29B03E6F04BC}"/>
            </a:ext>
          </a:extLst>
        </xdr:cNvPr>
        <xdr:cNvSpPr txBox="1"/>
      </xdr:nvSpPr>
      <xdr:spPr>
        <a:xfrm>
          <a:off x="2089150" y="730250"/>
          <a:ext cx="463550" cy="24765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calls</a:t>
          </a:r>
        </a:p>
        <a:p>
          <a:endParaRPr lang="en-IN" sz="1100"/>
        </a:p>
      </xdr:txBody>
    </xdr:sp>
    <xdr:clientData/>
  </xdr:twoCellAnchor>
  <xdr:twoCellAnchor editAs="oneCell">
    <xdr:from>
      <xdr:col>1</xdr:col>
      <xdr:colOff>851460</xdr:colOff>
      <xdr:row>4</xdr:row>
      <xdr:rowOff>103783</xdr:rowOff>
    </xdr:from>
    <xdr:to>
      <xdr:col>2</xdr:col>
      <xdr:colOff>259166</xdr:colOff>
      <xdr:row>6</xdr:row>
      <xdr:rowOff>33</xdr:rowOff>
    </xdr:to>
    <xdr:pic>
      <xdr:nvPicPr>
        <xdr:cNvPr id="8" name="Graphic 7" descr="Receiver with solid fill">
          <a:extLst>
            <a:ext uri="{FF2B5EF4-FFF2-40B4-BE49-F238E27FC236}">
              <a16:creationId xmlns:a16="http://schemas.microsoft.com/office/drawing/2014/main" id="{EC1C9468-EC98-4C8C-BD1A-ED037129F4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884712">
          <a:off x="1715060" y="675283"/>
          <a:ext cx="271306" cy="270565"/>
        </a:xfrm>
        <a:prstGeom prst="rect">
          <a:avLst/>
        </a:prstGeom>
      </xdr:spPr>
    </xdr:pic>
    <xdr:clientData/>
  </xdr:twoCellAnchor>
  <xdr:twoCellAnchor>
    <xdr:from>
      <xdr:col>2</xdr:col>
      <xdr:colOff>374650</xdr:colOff>
      <xdr:row>8</xdr:row>
      <xdr:rowOff>69850</xdr:rowOff>
    </xdr:from>
    <xdr:to>
      <xdr:col>3</xdr:col>
      <xdr:colOff>381000</xdr:colOff>
      <xdr:row>9</xdr:row>
      <xdr:rowOff>57150</xdr:rowOff>
    </xdr:to>
    <xdr:sp macro="" textlink="pivots!A12">
      <xdr:nvSpPr>
        <xdr:cNvPr id="9" name="TextBox 8">
          <a:extLst>
            <a:ext uri="{FF2B5EF4-FFF2-40B4-BE49-F238E27FC236}">
              <a16:creationId xmlns:a16="http://schemas.microsoft.com/office/drawing/2014/main" id="{41F40DE2-1B73-FCF6-6ECA-D782E4227FD4}"/>
            </a:ext>
          </a:extLst>
        </xdr:cNvPr>
        <xdr:cNvSpPr txBox="1"/>
      </xdr:nvSpPr>
      <xdr:spPr>
        <a:xfrm>
          <a:off x="2101850" y="1403350"/>
          <a:ext cx="869950" cy="1778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954EAA-629D-4432-A5F7-DD41BB6A5B4E}" type="TxLink">
            <a:rPr lang="en-US" sz="1100" b="0" i="0" u="none" strike="noStrike">
              <a:solidFill>
                <a:schemeClr val="bg1"/>
              </a:solidFill>
              <a:latin typeface="Tempus Sans ITC"/>
            </a:rPr>
            <a:pPr/>
            <a:t>207</a:t>
          </a:fld>
          <a:endParaRPr lang="en-IN" sz="1100">
            <a:solidFill>
              <a:schemeClr val="bg1"/>
            </a:solidFill>
          </a:endParaRPr>
        </a:p>
      </xdr:txBody>
    </xdr:sp>
    <xdr:clientData/>
  </xdr:twoCellAnchor>
  <xdr:twoCellAnchor>
    <xdr:from>
      <xdr:col>2</xdr:col>
      <xdr:colOff>0</xdr:colOff>
      <xdr:row>11</xdr:row>
      <xdr:rowOff>0</xdr:rowOff>
    </xdr:from>
    <xdr:to>
      <xdr:col>4</xdr:col>
      <xdr:colOff>110938</xdr:colOff>
      <xdr:row>16</xdr:row>
      <xdr:rowOff>127000</xdr:rowOff>
    </xdr:to>
    <xdr:sp macro="" textlink="pivots!B4">
      <xdr:nvSpPr>
        <xdr:cNvPr id="10" name="Rectangle 9">
          <a:extLst>
            <a:ext uri="{FF2B5EF4-FFF2-40B4-BE49-F238E27FC236}">
              <a16:creationId xmlns:a16="http://schemas.microsoft.com/office/drawing/2014/main" id="{075075C7-7383-47D4-A47B-1656CE861800}"/>
            </a:ext>
          </a:extLst>
        </xdr:cNvPr>
        <xdr:cNvSpPr/>
      </xdr:nvSpPr>
      <xdr:spPr>
        <a:xfrm>
          <a:off x="1733176" y="1942353"/>
          <a:ext cx="1844115" cy="1098176"/>
        </a:xfrm>
        <a:prstGeom prst="rect">
          <a:avLst/>
        </a:prstGeom>
        <a:solidFill>
          <a:schemeClr val="accent5"/>
        </a:solidFill>
        <a:ln>
          <a:noFill/>
        </a:ln>
        <a:effectLst>
          <a:outerShdw blurRad="254000" dist="127000" dir="2700000" algn="tl" rotWithShape="0">
            <a:prstClr val="black">
              <a:alpha val="5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F48E43C-31B3-4A89-8139-143E8D231A6B}" type="TxLink">
            <a:rPr lang="en-US" sz="2800" b="0" i="0" u="none" strike="noStrike">
              <a:solidFill>
                <a:schemeClr val="bg1"/>
              </a:solidFill>
              <a:latin typeface="Tempus Sans ITC"/>
              <a:ea typeface="+mn-ea"/>
              <a:cs typeface="+mn-cs"/>
            </a:rPr>
            <a:pPr marL="0" indent="0" algn="ctr"/>
            <a:t>$96,623</a:t>
          </a:fld>
          <a:endParaRPr lang="en-IN" sz="2800" b="0" i="0" u="none" strike="noStrike">
            <a:solidFill>
              <a:schemeClr val="bg1"/>
            </a:solidFill>
            <a:latin typeface="Tempus Sans ITC"/>
            <a:ea typeface="+mn-ea"/>
            <a:cs typeface="+mn-cs"/>
          </a:endParaRPr>
        </a:p>
      </xdr:txBody>
    </xdr:sp>
    <xdr:clientData/>
  </xdr:twoCellAnchor>
  <xdr:twoCellAnchor>
    <xdr:from>
      <xdr:col>2</xdr:col>
      <xdr:colOff>415738</xdr:colOff>
      <xdr:row>11</xdr:row>
      <xdr:rowOff>164354</xdr:rowOff>
    </xdr:from>
    <xdr:to>
      <xdr:col>3</xdr:col>
      <xdr:colOff>522941</xdr:colOff>
      <xdr:row>12</xdr:row>
      <xdr:rowOff>171825</xdr:rowOff>
    </xdr:to>
    <xdr:sp macro="" textlink="">
      <xdr:nvSpPr>
        <xdr:cNvPr id="11" name="TextBox 10">
          <a:extLst>
            <a:ext uri="{FF2B5EF4-FFF2-40B4-BE49-F238E27FC236}">
              <a16:creationId xmlns:a16="http://schemas.microsoft.com/office/drawing/2014/main" id="{CD36780D-1C39-41A4-AD1C-09373477824F}"/>
            </a:ext>
          </a:extLst>
        </xdr:cNvPr>
        <xdr:cNvSpPr txBox="1"/>
      </xdr:nvSpPr>
      <xdr:spPr>
        <a:xfrm>
          <a:off x="2148914" y="2106707"/>
          <a:ext cx="973792" cy="201706"/>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Amount</a:t>
          </a:r>
        </a:p>
        <a:p>
          <a:endParaRPr lang="en-IN" sz="1100"/>
        </a:p>
      </xdr:txBody>
    </xdr:sp>
    <xdr:clientData/>
  </xdr:twoCellAnchor>
  <xdr:twoCellAnchor>
    <xdr:from>
      <xdr:col>2</xdr:col>
      <xdr:colOff>428438</xdr:colOff>
      <xdr:row>15</xdr:row>
      <xdr:rowOff>69850</xdr:rowOff>
    </xdr:from>
    <xdr:to>
      <xdr:col>3</xdr:col>
      <xdr:colOff>434788</xdr:colOff>
      <xdr:row>16</xdr:row>
      <xdr:rowOff>57150</xdr:rowOff>
    </xdr:to>
    <xdr:sp macro="" textlink="pivots!B12">
      <xdr:nvSpPr>
        <xdr:cNvPr id="13" name="TextBox 12">
          <a:extLst>
            <a:ext uri="{FF2B5EF4-FFF2-40B4-BE49-F238E27FC236}">
              <a16:creationId xmlns:a16="http://schemas.microsoft.com/office/drawing/2014/main" id="{465A8155-B956-4E50-873D-ACA1B17D267C}"/>
            </a:ext>
          </a:extLst>
        </xdr:cNvPr>
        <xdr:cNvSpPr txBox="1"/>
      </xdr:nvSpPr>
      <xdr:spPr>
        <a:xfrm>
          <a:off x="2161614" y="2789144"/>
          <a:ext cx="872939" cy="18153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F0F96-0A98-4EFF-90DF-F527FE055145}" type="TxLink">
            <a:rPr lang="en-US" sz="1100" b="0" i="0" u="none" strike="noStrike">
              <a:solidFill>
                <a:schemeClr val="bg1"/>
              </a:solidFill>
              <a:latin typeface="Tempus Sans ITC"/>
            </a:rPr>
            <a:pPr/>
            <a:t>$20,872</a:t>
          </a:fld>
          <a:endParaRPr lang="en-IN" sz="1100">
            <a:solidFill>
              <a:schemeClr val="bg1"/>
            </a:solidFill>
          </a:endParaRPr>
        </a:p>
      </xdr:txBody>
    </xdr:sp>
    <xdr:clientData/>
  </xdr:twoCellAnchor>
  <xdr:twoCellAnchor>
    <xdr:from>
      <xdr:col>2</xdr:col>
      <xdr:colOff>0</xdr:colOff>
      <xdr:row>18</xdr:row>
      <xdr:rowOff>0</xdr:rowOff>
    </xdr:from>
    <xdr:to>
      <xdr:col>4</xdr:col>
      <xdr:colOff>110938</xdr:colOff>
      <xdr:row>24</xdr:row>
      <xdr:rowOff>44302</xdr:rowOff>
    </xdr:to>
    <xdr:sp macro="" textlink="pivots!C4">
      <xdr:nvSpPr>
        <xdr:cNvPr id="14" name="Rectangle 13">
          <a:extLst>
            <a:ext uri="{FF2B5EF4-FFF2-40B4-BE49-F238E27FC236}">
              <a16:creationId xmlns:a16="http://schemas.microsoft.com/office/drawing/2014/main" id="{A6FBB21A-E7A0-4018-99A2-421F4ED393B5}"/>
            </a:ext>
          </a:extLst>
        </xdr:cNvPr>
        <xdr:cNvSpPr/>
      </xdr:nvSpPr>
      <xdr:spPr>
        <a:xfrm>
          <a:off x="1713023" y="3263605"/>
          <a:ext cx="1823962" cy="1196162"/>
        </a:xfrm>
        <a:prstGeom prst="rect">
          <a:avLst/>
        </a:prstGeom>
        <a:solidFill>
          <a:schemeClr val="accent5"/>
        </a:solidFill>
        <a:ln>
          <a:noFill/>
        </a:ln>
        <a:effectLst>
          <a:outerShdw blurRad="254000" dist="127000" dir="2700000" algn="tl" rotWithShape="0">
            <a:prstClr val="black">
              <a:alpha val="5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F72CC9-35DE-4826-9D51-6FC925A09610}" type="TxLink">
            <a:rPr lang="en-US" sz="2000" b="0" i="0" u="none" strike="noStrike">
              <a:solidFill>
                <a:schemeClr val="bg1"/>
              </a:solidFill>
              <a:latin typeface="Tempus Sans ITC"/>
            </a:rPr>
            <a:pPr algn="ctr"/>
            <a:t>89,846</a:t>
          </a:fld>
          <a:endParaRPr lang="en-IN" sz="2000">
            <a:solidFill>
              <a:schemeClr val="bg1"/>
            </a:solidFill>
          </a:endParaRPr>
        </a:p>
      </xdr:txBody>
    </xdr:sp>
    <xdr:clientData/>
  </xdr:twoCellAnchor>
  <xdr:twoCellAnchor>
    <xdr:from>
      <xdr:col>2</xdr:col>
      <xdr:colOff>415737</xdr:colOff>
      <xdr:row>18</xdr:row>
      <xdr:rowOff>158750</xdr:rowOff>
    </xdr:from>
    <xdr:to>
      <xdr:col>3</xdr:col>
      <xdr:colOff>455705</xdr:colOff>
      <xdr:row>19</xdr:row>
      <xdr:rowOff>149412</xdr:rowOff>
    </xdr:to>
    <xdr:sp macro="" textlink="">
      <xdr:nvSpPr>
        <xdr:cNvPr id="15" name="TextBox 14">
          <a:extLst>
            <a:ext uri="{FF2B5EF4-FFF2-40B4-BE49-F238E27FC236}">
              <a16:creationId xmlns:a16="http://schemas.microsoft.com/office/drawing/2014/main" id="{054AA97A-4BC0-4FA4-BF18-0C8EE5CDB24A}"/>
            </a:ext>
          </a:extLst>
        </xdr:cNvPr>
        <xdr:cNvSpPr txBox="1"/>
      </xdr:nvSpPr>
      <xdr:spPr>
        <a:xfrm>
          <a:off x="2148913" y="3460750"/>
          <a:ext cx="906557" cy="184897"/>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Duration</a:t>
          </a:r>
        </a:p>
        <a:p>
          <a:endParaRPr lang="en-IN" sz="1100"/>
        </a:p>
      </xdr:txBody>
    </xdr:sp>
    <xdr:clientData/>
  </xdr:twoCellAnchor>
  <xdr:twoCellAnchor>
    <xdr:from>
      <xdr:col>2</xdr:col>
      <xdr:colOff>428438</xdr:colOff>
      <xdr:row>22</xdr:row>
      <xdr:rowOff>69850</xdr:rowOff>
    </xdr:from>
    <xdr:to>
      <xdr:col>3</xdr:col>
      <xdr:colOff>434788</xdr:colOff>
      <xdr:row>23</xdr:row>
      <xdr:rowOff>57150</xdr:rowOff>
    </xdr:to>
    <xdr:sp macro="" textlink="pivots!C12">
      <xdr:nvSpPr>
        <xdr:cNvPr id="17" name="TextBox 16">
          <a:extLst>
            <a:ext uri="{FF2B5EF4-FFF2-40B4-BE49-F238E27FC236}">
              <a16:creationId xmlns:a16="http://schemas.microsoft.com/office/drawing/2014/main" id="{192077EF-37CD-4CE5-9612-E5D260BBA8DA}"/>
            </a:ext>
          </a:extLst>
        </xdr:cNvPr>
        <xdr:cNvSpPr txBox="1"/>
      </xdr:nvSpPr>
      <xdr:spPr>
        <a:xfrm>
          <a:off x="2161614" y="4148791"/>
          <a:ext cx="872939" cy="18153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2A3EEA-0E3F-4F17-B528-8D6F5BBAE7E4}" type="TxLink">
            <a:rPr lang="en-US" sz="1100" b="0" i="0" u="none" strike="noStrike">
              <a:solidFill>
                <a:schemeClr val="bg1"/>
              </a:solidFill>
              <a:latin typeface="Tempus Sans ITC"/>
            </a:rPr>
            <a:pPr/>
            <a:t>17,696</a:t>
          </a:fld>
          <a:endParaRPr lang="en-IN" sz="1100">
            <a:solidFill>
              <a:schemeClr val="bg1"/>
            </a:solidFill>
          </a:endParaRPr>
        </a:p>
      </xdr:txBody>
    </xdr:sp>
    <xdr:clientData/>
  </xdr:twoCellAnchor>
  <xdr:twoCellAnchor>
    <xdr:from>
      <xdr:col>1</xdr:col>
      <xdr:colOff>782675</xdr:colOff>
      <xdr:row>25</xdr:row>
      <xdr:rowOff>0</xdr:rowOff>
    </xdr:from>
    <xdr:to>
      <xdr:col>4</xdr:col>
      <xdr:colOff>96172</xdr:colOff>
      <xdr:row>31</xdr:row>
      <xdr:rowOff>59070</xdr:rowOff>
    </xdr:to>
    <xdr:sp macro="" textlink="pivots!D4">
      <xdr:nvSpPr>
        <xdr:cNvPr id="18" name="Rectangle 17">
          <a:extLst>
            <a:ext uri="{FF2B5EF4-FFF2-40B4-BE49-F238E27FC236}">
              <a16:creationId xmlns:a16="http://schemas.microsoft.com/office/drawing/2014/main" id="{2B90D776-AC2D-41DF-9558-F2ED2B5C5882}"/>
            </a:ext>
          </a:extLst>
        </xdr:cNvPr>
        <xdr:cNvSpPr/>
      </xdr:nvSpPr>
      <xdr:spPr>
        <a:xfrm>
          <a:off x="1639187" y="4607442"/>
          <a:ext cx="1883032" cy="1210930"/>
        </a:xfrm>
        <a:prstGeom prst="rect">
          <a:avLst/>
        </a:prstGeom>
        <a:solidFill>
          <a:schemeClr val="accent5"/>
        </a:solidFill>
        <a:ln>
          <a:noFill/>
        </a:ln>
        <a:effectLst>
          <a:outerShdw blurRad="254000" dist="127000" dir="2700000" algn="tl" rotWithShape="0">
            <a:prstClr val="black">
              <a:alpha val="5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43ED44-6DFD-41F1-B657-624E3CBFADFB}" type="TxLink">
            <a:rPr lang="en-US" sz="2000" b="0" i="0" u="none" strike="noStrike">
              <a:solidFill>
                <a:schemeClr val="bg1"/>
              </a:solidFill>
              <a:latin typeface="Tempus Sans ITC"/>
            </a:rPr>
            <a:pPr algn="ctr"/>
            <a:t>3.9</a:t>
          </a:fld>
          <a:endParaRPr lang="en-IN" sz="2000">
            <a:solidFill>
              <a:schemeClr val="bg1"/>
            </a:solidFill>
          </a:endParaRPr>
        </a:p>
      </xdr:txBody>
    </xdr:sp>
    <xdr:clientData/>
  </xdr:twoCellAnchor>
  <xdr:twoCellAnchor>
    <xdr:from>
      <xdr:col>2</xdr:col>
      <xdr:colOff>415738</xdr:colOff>
      <xdr:row>25</xdr:row>
      <xdr:rowOff>158750</xdr:rowOff>
    </xdr:from>
    <xdr:to>
      <xdr:col>3</xdr:col>
      <xdr:colOff>470647</xdr:colOff>
      <xdr:row>27</xdr:row>
      <xdr:rowOff>7470</xdr:rowOff>
    </xdr:to>
    <xdr:sp macro="" textlink="">
      <xdr:nvSpPr>
        <xdr:cNvPr id="19" name="TextBox 18">
          <a:extLst>
            <a:ext uri="{FF2B5EF4-FFF2-40B4-BE49-F238E27FC236}">
              <a16:creationId xmlns:a16="http://schemas.microsoft.com/office/drawing/2014/main" id="{55210A0F-2D51-4FB8-9D8F-B7565A89C381}"/>
            </a:ext>
          </a:extLst>
        </xdr:cNvPr>
        <xdr:cNvSpPr txBox="1"/>
      </xdr:nvSpPr>
      <xdr:spPr>
        <a:xfrm>
          <a:off x="2148914" y="4820397"/>
          <a:ext cx="921498" cy="237191"/>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Avergae</a:t>
          </a:r>
        </a:p>
      </xdr:txBody>
    </xdr:sp>
    <xdr:clientData/>
  </xdr:twoCellAnchor>
  <xdr:twoCellAnchor>
    <xdr:from>
      <xdr:col>2</xdr:col>
      <xdr:colOff>428438</xdr:colOff>
      <xdr:row>29</xdr:row>
      <xdr:rowOff>69850</xdr:rowOff>
    </xdr:from>
    <xdr:to>
      <xdr:col>3</xdr:col>
      <xdr:colOff>434788</xdr:colOff>
      <xdr:row>30</xdr:row>
      <xdr:rowOff>57149</xdr:rowOff>
    </xdr:to>
    <xdr:sp macro="" textlink="pivots!D12">
      <xdr:nvSpPr>
        <xdr:cNvPr id="21" name="TextBox 20">
          <a:extLst>
            <a:ext uri="{FF2B5EF4-FFF2-40B4-BE49-F238E27FC236}">
              <a16:creationId xmlns:a16="http://schemas.microsoft.com/office/drawing/2014/main" id="{DC0B2039-EABE-4612-9DC9-55C144E09E50}"/>
            </a:ext>
          </a:extLst>
        </xdr:cNvPr>
        <xdr:cNvSpPr txBox="1"/>
      </xdr:nvSpPr>
      <xdr:spPr>
        <a:xfrm>
          <a:off x="2161614" y="5508438"/>
          <a:ext cx="872939" cy="18153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EF3ECE-524D-49BD-84F6-7CC1DE0D53F1}" type="TxLink">
            <a:rPr lang="en-US" sz="1100" b="0" i="0" u="none" strike="noStrike">
              <a:solidFill>
                <a:schemeClr val="bg1"/>
              </a:solidFill>
              <a:latin typeface="Tempus Sans ITC"/>
            </a:rPr>
            <a:pPr/>
            <a:t>3.9</a:t>
          </a:fld>
          <a:endParaRPr lang="en-IN" sz="1100">
            <a:solidFill>
              <a:schemeClr val="bg1"/>
            </a:solidFill>
          </a:endParaRPr>
        </a:p>
      </xdr:txBody>
    </xdr:sp>
    <xdr:clientData/>
  </xdr:twoCellAnchor>
  <xdr:twoCellAnchor>
    <xdr:from>
      <xdr:col>2</xdr:col>
      <xdr:colOff>0</xdr:colOff>
      <xdr:row>32</xdr:row>
      <xdr:rowOff>162442</xdr:rowOff>
    </xdr:from>
    <xdr:to>
      <xdr:col>4</xdr:col>
      <xdr:colOff>110938</xdr:colOff>
      <xdr:row>39</xdr:row>
      <xdr:rowOff>103372</xdr:rowOff>
    </xdr:to>
    <xdr:sp macro="" textlink="pivots!E4">
      <xdr:nvSpPr>
        <xdr:cNvPr id="22" name="Rectangle 21">
          <a:extLst>
            <a:ext uri="{FF2B5EF4-FFF2-40B4-BE49-F238E27FC236}">
              <a16:creationId xmlns:a16="http://schemas.microsoft.com/office/drawing/2014/main" id="{94EA7310-97A7-42C5-A799-E19A5B38E1E4}"/>
            </a:ext>
          </a:extLst>
        </xdr:cNvPr>
        <xdr:cNvSpPr/>
      </xdr:nvSpPr>
      <xdr:spPr>
        <a:xfrm>
          <a:off x="1713023" y="6113721"/>
          <a:ext cx="1823962" cy="1284767"/>
        </a:xfrm>
        <a:prstGeom prst="rect">
          <a:avLst/>
        </a:prstGeom>
        <a:solidFill>
          <a:schemeClr val="accent5"/>
        </a:solidFill>
        <a:ln>
          <a:noFill/>
        </a:ln>
        <a:effectLst>
          <a:outerShdw blurRad="254000" dist="127000" dir="2700000" algn="tl" rotWithShape="0">
            <a:prstClr val="black">
              <a:alpha val="5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788164-26DF-450F-9C23-6A07B534172B}" type="TxLink">
            <a:rPr lang="en-US" sz="2000" b="0" i="0" u="none" strike="noStrike">
              <a:solidFill>
                <a:schemeClr val="bg1"/>
              </a:solidFill>
              <a:latin typeface="Tempus Sans ITC"/>
            </a:rPr>
            <a:pPr algn="ctr"/>
            <a:t>307</a:t>
          </a:fld>
          <a:endParaRPr lang="en-IN" sz="2000">
            <a:solidFill>
              <a:schemeClr val="bg1"/>
            </a:solidFill>
          </a:endParaRPr>
        </a:p>
      </xdr:txBody>
    </xdr:sp>
    <xdr:clientData/>
  </xdr:twoCellAnchor>
  <xdr:twoCellAnchor>
    <xdr:from>
      <xdr:col>2</xdr:col>
      <xdr:colOff>415737</xdr:colOff>
      <xdr:row>32</xdr:row>
      <xdr:rowOff>158749</xdr:rowOff>
    </xdr:from>
    <xdr:to>
      <xdr:col>3</xdr:col>
      <xdr:colOff>485587</xdr:colOff>
      <xdr:row>34</xdr:row>
      <xdr:rowOff>29881</xdr:rowOff>
    </xdr:to>
    <xdr:sp macro="" textlink="">
      <xdr:nvSpPr>
        <xdr:cNvPr id="23" name="TextBox 22">
          <a:extLst>
            <a:ext uri="{FF2B5EF4-FFF2-40B4-BE49-F238E27FC236}">
              <a16:creationId xmlns:a16="http://schemas.microsoft.com/office/drawing/2014/main" id="{22473A71-04BB-40E6-BB49-F7420F45A965}"/>
            </a:ext>
          </a:extLst>
        </xdr:cNvPr>
        <xdr:cNvSpPr txBox="1"/>
      </xdr:nvSpPr>
      <xdr:spPr>
        <a:xfrm>
          <a:off x="2148913" y="6180043"/>
          <a:ext cx="936439" cy="259603"/>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happy</a:t>
          </a:r>
          <a:r>
            <a:rPr lang="en-IN" sz="1100" baseline="0">
              <a:solidFill>
                <a:schemeClr val="bg1"/>
              </a:solidFill>
            </a:rPr>
            <a:t> callers</a:t>
          </a:r>
          <a:endParaRPr lang="en-IN" sz="1100">
            <a:solidFill>
              <a:schemeClr val="bg1"/>
            </a:solidFill>
          </a:endParaRPr>
        </a:p>
        <a:p>
          <a:endParaRPr lang="en-IN" sz="1100"/>
        </a:p>
      </xdr:txBody>
    </xdr:sp>
    <xdr:clientData/>
  </xdr:twoCellAnchor>
  <xdr:twoCellAnchor>
    <xdr:from>
      <xdr:col>2</xdr:col>
      <xdr:colOff>428438</xdr:colOff>
      <xdr:row>37</xdr:row>
      <xdr:rowOff>73837</xdr:rowOff>
    </xdr:from>
    <xdr:to>
      <xdr:col>3</xdr:col>
      <xdr:colOff>434788</xdr:colOff>
      <xdr:row>38</xdr:row>
      <xdr:rowOff>162440</xdr:rowOff>
    </xdr:to>
    <xdr:sp macro="" textlink="pivots!E12">
      <xdr:nvSpPr>
        <xdr:cNvPr id="25" name="TextBox 24">
          <a:extLst>
            <a:ext uri="{FF2B5EF4-FFF2-40B4-BE49-F238E27FC236}">
              <a16:creationId xmlns:a16="http://schemas.microsoft.com/office/drawing/2014/main" id="{6AD616FF-E3AE-49AA-A4DF-8F6BEED12101}"/>
            </a:ext>
          </a:extLst>
        </xdr:cNvPr>
        <xdr:cNvSpPr txBox="1"/>
      </xdr:nvSpPr>
      <xdr:spPr>
        <a:xfrm>
          <a:off x="2141461" y="6985000"/>
          <a:ext cx="862862" cy="28058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A152BA-0BF2-4580-8EA6-AB3C3E548323}" type="TxLink">
            <a:rPr lang="en-US" sz="1100" b="0" i="0" u="none" strike="noStrike">
              <a:solidFill>
                <a:schemeClr val="bg1"/>
              </a:solidFill>
              <a:latin typeface="Tempus Sans ITC"/>
            </a:rPr>
            <a:pPr/>
            <a:t>60</a:t>
          </a:fld>
          <a:endParaRPr lang="en-IN" sz="1100">
            <a:solidFill>
              <a:schemeClr val="bg1"/>
            </a:solidFill>
          </a:endParaRPr>
        </a:p>
      </xdr:txBody>
    </xdr:sp>
    <xdr:clientData/>
  </xdr:twoCellAnchor>
  <xdr:twoCellAnchor editAs="oneCell">
    <xdr:from>
      <xdr:col>2</xdr:col>
      <xdr:colOff>59766</xdr:colOff>
      <xdr:row>11</xdr:row>
      <xdr:rowOff>89649</xdr:rowOff>
    </xdr:from>
    <xdr:to>
      <xdr:col>2</xdr:col>
      <xdr:colOff>418354</xdr:colOff>
      <xdr:row>13</xdr:row>
      <xdr:rowOff>29883</xdr:rowOff>
    </xdr:to>
    <xdr:pic>
      <xdr:nvPicPr>
        <xdr:cNvPr id="33" name="Graphic 32" descr="Shopping cart with solid fill">
          <a:extLst>
            <a:ext uri="{FF2B5EF4-FFF2-40B4-BE49-F238E27FC236}">
              <a16:creationId xmlns:a16="http://schemas.microsoft.com/office/drawing/2014/main" id="{5344F625-2524-2D9C-525A-88E93C4B444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92942" y="2032002"/>
          <a:ext cx="358588" cy="328704"/>
        </a:xfrm>
        <a:prstGeom prst="rect">
          <a:avLst/>
        </a:prstGeom>
      </xdr:spPr>
    </xdr:pic>
    <xdr:clientData/>
  </xdr:twoCellAnchor>
  <xdr:twoCellAnchor editAs="oneCell">
    <xdr:from>
      <xdr:col>2</xdr:col>
      <xdr:colOff>60353</xdr:colOff>
      <xdr:row>32</xdr:row>
      <xdr:rowOff>171824</xdr:rowOff>
    </xdr:from>
    <xdr:to>
      <xdr:col>2</xdr:col>
      <xdr:colOff>418354</xdr:colOff>
      <xdr:row>34</xdr:row>
      <xdr:rowOff>89647</xdr:rowOff>
    </xdr:to>
    <xdr:pic>
      <xdr:nvPicPr>
        <xdr:cNvPr id="37" name="Graphic 36" descr="Smiling with hearts face with solid fill with solid fill">
          <a:extLst>
            <a:ext uri="{FF2B5EF4-FFF2-40B4-BE49-F238E27FC236}">
              <a16:creationId xmlns:a16="http://schemas.microsoft.com/office/drawing/2014/main" id="{F83E7C99-842B-22DE-D6CA-A949F9A07CA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93529" y="6193118"/>
          <a:ext cx="358001" cy="306294"/>
        </a:xfrm>
        <a:prstGeom prst="rect">
          <a:avLst/>
        </a:prstGeom>
      </xdr:spPr>
    </xdr:pic>
    <xdr:clientData/>
  </xdr:twoCellAnchor>
  <xdr:twoCellAnchor editAs="oneCell">
    <xdr:from>
      <xdr:col>2</xdr:col>
      <xdr:colOff>141941</xdr:colOff>
      <xdr:row>18</xdr:row>
      <xdr:rowOff>156883</xdr:rowOff>
    </xdr:from>
    <xdr:to>
      <xdr:col>2</xdr:col>
      <xdr:colOff>455706</xdr:colOff>
      <xdr:row>20</xdr:row>
      <xdr:rowOff>44823</xdr:rowOff>
    </xdr:to>
    <xdr:pic>
      <xdr:nvPicPr>
        <xdr:cNvPr id="39" name="Graphic 38" descr="Hourglass Finished with solid fill">
          <a:extLst>
            <a:ext uri="{FF2B5EF4-FFF2-40B4-BE49-F238E27FC236}">
              <a16:creationId xmlns:a16="http://schemas.microsoft.com/office/drawing/2014/main" id="{4229C26A-3390-81AA-572F-6FCE927A2D6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75117" y="3458883"/>
          <a:ext cx="313765" cy="276411"/>
        </a:xfrm>
        <a:prstGeom prst="rect">
          <a:avLst/>
        </a:prstGeom>
      </xdr:spPr>
    </xdr:pic>
    <xdr:clientData/>
  </xdr:twoCellAnchor>
  <xdr:twoCellAnchor editAs="oneCell">
    <xdr:from>
      <xdr:col>2</xdr:col>
      <xdr:colOff>82178</xdr:colOff>
      <xdr:row>25</xdr:row>
      <xdr:rowOff>97118</xdr:rowOff>
    </xdr:from>
    <xdr:to>
      <xdr:col>2</xdr:col>
      <xdr:colOff>418354</xdr:colOff>
      <xdr:row>26</xdr:row>
      <xdr:rowOff>119530</xdr:rowOff>
    </xdr:to>
    <xdr:pic>
      <xdr:nvPicPr>
        <xdr:cNvPr id="41" name="Graphic 40" descr="Bullseye with solid fill">
          <a:extLst>
            <a:ext uri="{FF2B5EF4-FFF2-40B4-BE49-F238E27FC236}">
              <a16:creationId xmlns:a16="http://schemas.microsoft.com/office/drawing/2014/main" id="{D91A22AF-3B4E-42AE-ADA8-672BE1032CB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15354" y="4758765"/>
          <a:ext cx="336176" cy="216647"/>
        </a:xfrm>
        <a:prstGeom prst="rect">
          <a:avLst/>
        </a:prstGeom>
      </xdr:spPr>
    </xdr:pic>
    <xdr:clientData/>
  </xdr:twoCellAnchor>
  <xdr:twoCellAnchor editAs="oneCell">
    <xdr:from>
      <xdr:col>9</xdr:col>
      <xdr:colOff>634999</xdr:colOff>
      <xdr:row>18</xdr:row>
      <xdr:rowOff>73150</xdr:rowOff>
    </xdr:from>
    <xdr:to>
      <xdr:col>10</xdr:col>
      <xdr:colOff>915580</xdr:colOff>
      <xdr:row>27</xdr:row>
      <xdr:rowOff>73835</xdr:rowOff>
    </xdr:to>
    <mc:AlternateContent xmlns:mc="http://schemas.openxmlformats.org/markup-compatibility/2006" xmlns:a14="http://schemas.microsoft.com/office/drawing/2010/main">
      <mc:Choice Requires="a14">
        <xdr:graphicFrame macro="">
          <xdr:nvGraphicFramePr>
            <xdr:cNvPr id="42" name="Representative 3">
              <a:extLst>
                <a:ext uri="{FF2B5EF4-FFF2-40B4-BE49-F238E27FC236}">
                  <a16:creationId xmlns:a16="http://schemas.microsoft.com/office/drawing/2014/main" id="{35BEBF23-4EE2-4994-BE0F-3BDE97B5F4A3}"/>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8063022" y="3646871"/>
              <a:ext cx="1166628" cy="1728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351118</xdr:colOff>
      <xdr:row>3</xdr:row>
      <xdr:rowOff>186765</xdr:rowOff>
    </xdr:from>
    <xdr:to>
      <xdr:col>8</xdr:col>
      <xdr:colOff>523315</xdr:colOff>
      <xdr:row>16</xdr:row>
      <xdr:rowOff>192182</xdr:rowOff>
    </xdr:to>
    <xdr:graphicFrame macro="">
      <xdr:nvGraphicFramePr>
        <xdr:cNvPr id="45" name="Chart 44">
          <a:extLst>
            <a:ext uri="{FF2B5EF4-FFF2-40B4-BE49-F238E27FC236}">
              <a16:creationId xmlns:a16="http://schemas.microsoft.com/office/drawing/2014/main" id="{35702C18-EAB2-484D-9B68-3BD7A7813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1048488</xdr:colOff>
      <xdr:row>4</xdr:row>
      <xdr:rowOff>132907</xdr:rowOff>
    </xdr:from>
    <xdr:to>
      <xdr:col>14</xdr:col>
      <xdr:colOff>21929</xdr:colOff>
      <xdr:row>16</xdr:row>
      <xdr:rowOff>170720</xdr:rowOff>
    </xdr:to>
    <xdr:graphicFrame macro="">
      <xdr:nvGraphicFramePr>
        <xdr:cNvPr id="2" name="Chart 1">
          <a:extLst>
            <a:ext uri="{FF2B5EF4-FFF2-40B4-BE49-F238E27FC236}">
              <a16:creationId xmlns:a16="http://schemas.microsoft.com/office/drawing/2014/main" id="{341CC817-DD33-49DA-A8A9-79FB5CDA9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339428</xdr:colOff>
      <xdr:row>4</xdr:row>
      <xdr:rowOff>136038</xdr:rowOff>
    </xdr:from>
    <xdr:to>
      <xdr:col>17</xdr:col>
      <xdr:colOff>801470</xdr:colOff>
      <xdr:row>16</xdr:row>
      <xdr:rowOff>145659</xdr:rowOff>
    </xdr:to>
    <xdr:graphicFrame macro="">
      <xdr:nvGraphicFramePr>
        <xdr:cNvPr id="24" name="Chart 23">
          <a:extLst>
            <a:ext uri="{FF2B5EF4-FFF2-40B4-BE49-F238E27FC236}">
              <a16:creationId xmlns:a16="http://schemas.microsoft.com/office/drawing/2014/main" id="{63B473E2-B4C4-409E-979D-3AE3F3F89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317500</xdr:colOff>
      <xdr:row>2</xdr:row>
      <xdr:rowOff>114300</xdr:rowOff>
    </xdr:from>
    <xdr:to>
      <xdr:col>6</xdr:col>
      <xdr:colOff>933450</xdr:colOff>
      <xdr:row>17</xdr:row>
      <xdr:rowOff>95250</xdr:rowOff>
    </xdr:to>
    <xdr:graphicFrame macro="">
      <xdr:nvGraphicFramePr>
        <xdr:cNvPr id="2" name="Chart 1">
          <a:extLst>
            <a:ext uri="{FF2B5EF4-FFF2-40B4-BE49-F238E27FC236}">
              <a16:creationId xmlns:a16="http://schemas.microsoft.com/office/drawing/2014/main" id="{38A7AF38-CDCB-A39F-E366-E592F867F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69850</xdr:colOff>
      <xdr:row>1</xdr:row>
      <xdr:rowOff>88901</xdr:rowOff>
    </xdr:from>
    <xdr:to>
      <xdr:col>3</xdr:col>
      <xdr:colOff>177800</xdr:colOff>
      <xdr:row>10</xdr:row>
      <xdr:rowOff>38101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C8F1B16E-14F0-3445-C314-3DF63B3FC2C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489200" y="273051"/>
              <a:ext cx="971550" cy="166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450850</xdr:colOff>
      <xdr:row>1</xdr:row>
      <xdr:rowOff>69850</xdr:rowOff>
    </xdr:from>
    <xdr:to>
      <xdr:col>8</xdr:col>
      <xdr:colOff>209550</xdr:colOff>
      <xdr:row>10</xdr:row>
      <xdr:rowOff>158750</xdr:rowOff>
    </xdr:to>
    <xdr:graphicFrame macro="">
      <xdr:nvGraphicFramePr>
        <xdr:cNvPr id="3" name="Chart 2">
          <a:extLst>
            <a:ext uri="{FF2B5EF4-FFF2-40B4-BE49-F238E27FC236}">
              <a16:creationId xmlns:a16="http://schemas.microsoft.com/office/drawing/2014/main" id="{8C2CD6E8-9E6E-B52F-DC45-31E448DA3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44450</xdr:colOff>
      <xdr:row>1</xdr:row>
      <xdr:rowOff>139700</xdr:rowOff>
    </xdr:from>
    <xdr:to>
      <xdr:col>10</xdr:col>
      <xdr:colOff>349250</xdr:colOff>
      <xdr:row>16</xdr:row>
      <xdr:rowOff>120650</xdr:rowOff>
    </xdr:to>
    <xdr:graphicFrame macro="">
      <xdr:nvGraphicFramePr>
        <xdr:cNvPr id="2" name="Chart 1">
          <a:extLst>
            <a:ext uri="{FF2B5EF4-FFF2-40B4-BE49-F238E27FC236}">
              <a16:creationId xmlns:a16="http://schemas.microsoft.com/office/drawing/2014/main" id="{34944785-4DD8-AB8A-078A-239FA68EA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454959</xdr:colOff>
      <xdr:row>3</xdr:row>
      <xdr:rowOff>89647</xdr:rowOff>
    </xdr:from>
    <xdr:to>
      <xdr:col>13</xdr:col>
      <xdr:colOff>569469</xdr:colOff>
      <xdr:row>13</xdr:row>
      <xdr:rowOff>82177</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F738F33B-35E0-BE67-4411-9A865087DCB5}"/>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282777" y="643829"/>
              <a:ext cx="1835728" cy="183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444500</xdr:colOff>
      <xdr:row>28</xdr:row>
      <xdr:rowOff>169718</xdr:rowOff>
    </xdr:from>
    <xdr:to>
      <xdr:col>14</xdr:col>
      <xdr:colOff>121227</xdr:colOff>
      <xdr:row>43</xdr:row>
      <xdr:rowOff>142009</xdr:rowOff>
    </xdr:to>
    <xdr:graphicFrame macro="">
      <xdr:nvGraphicFramePr>
        <xdr:cNvPr id="5" name="Chart 4">
          <a:extLst>
            <a:ext uri="{FF2B5EF4-FFF2-40B4-BE49-F238E27FC236}">
              <a16:creationId xmlns:a16="http://schemas.microsoft.com/office/drawing/2014/main" id="{848AE17B-1E19-F7F7-2438-7CA134D6B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152400</xdr:colOff>
      <xdr:row>2</xdr:row>
      <xdr:rowOff>0</xdr:rowOff>
    </xdr:from>
    <xdr:to>
      <xdr:col>12</xdr:col>
      <xdr:colOff>228600</xdr:colOff>
      <xdr:row>14</xdr:row>
      <xdr:rowOff>63500</xdr:rowOff>
    </xdr:to>
    <xdr:graphicFrame macro="">
      <xdr:nvGraphicFramePr>
        <xdr:cNvPr id="2" name="Chart 1">
          <a:extLst>
            <a:ext uri="{FF2B5EF4-FFF2-40B4-BE49-F238E27FC236}">
              <a16:creationId xmlns:a16="http://schemas.microsoft.com/office/drawing/2014/main" id="{C8C87EE7-3AC0-DF06-9842-032BC215C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sh Tyagi" refreshedDate="45890.798940624998" createdVersion="8" refreshedVersion="8" minRefreshableVersion="3" recordCount="1000" xr:uid="{218B3CCD-4CDE-46AE-B079-18A512524196}">
  <cacheSource type="worksheet">
    <worksheetSource name="calls"/>
  </cacheSource>
  <cacheFields count="14">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5">
        <n v="116"/>
        <n v="119"/>
        <n v="68"/>
        <n v="128"/>
        <n v="49"/>
        <n v="84"/>
        <n v="103"/>
        <n v="31"/>
        <n v="44"/>
        <n v="102"/>
        <n v="135"/>
        <n v="98"/>
        <n v="139"/>
        <n v="48"/>
        <n v="176"/>
        <n v="99"/>
        <n v="28"/>
        <n v="54"/>
        <n v="38"/>
        <n v="67"/>
        <n v="58"/>
        <n v="73"/>
        <n v="81"/>
        <n v="155"/>
        <n v="80"/>
        <n v="82"/>
        <n v="29"/>
        <n v="160"/>
        <n v="105"/>
        <n v="75"/>
        <n v="94"/>
        <n v="90"/>
        <n v="106"/>
        <n v="74"/>
        <n v="89"/>
        <n v="132"/>
        <n v="9"/>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3"/>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FY" numFmtId="0">
      <sharedItems containsSemiMixedTypes="0" containsString="0" containsNumber="1" containsInteger="1" minValue="2023" maxValue="2024" count="2">
        <n v="2023"/>
        <n v="2024"/>
      </sharedItems>
    </cacheField>
    <cacheField name="Day of week2" numFmtId="0">
      <sharedItems count="7">
        <s v="Sunday"/>
        <s v="Monday"/>
        <s v="Tuesday"/>
        <s v="Wednesday"/>
        <s v="Thursday"/>
        <s v="Friday"/>
        <s v="Saturday"/>
      </sharedItems>
    </cacheField>
    <cacheField name="Duration2" numFmtId="0" databaseField="0">
      <fieldGroup base="2">
        <discretePr count="165">
          <x v="3"/>
          <x v="3"/>
          <x v="3"/>
          <x v="4"/>
          <x v="2"/>
          <x v="3"/>
          <x v="3"/>
          <x v="2"/>
          <x v="2"/>
          <x v="3"/>
          <x v="4"/>
          <x v="3"/>
          <x v="4"/>
          <x v="2"/>
          <x v="4"/>
          <x v="3"/>
          <x v="2"/>
          <x v="2"/>
          <x v="2"/>
          <x v="3"/>
          <x v="2"/>
          <x v="3"/>
          <x v="3"/>
          <x v="4"/>
          <x v="3"/>
          <x v="3"/>
          <x v="2"/>
          <x v="4"/>
          <x v="3"/>
          <x v="3"/>
          <x v="3"/>
          <x v="3"/>
          <x v="3"/>
          <x v="3"/>
          <x v="3"/>
          <x v="4"/>
          <x v="5"/>
          <x v="4"/>
          <x v="3"/>
          <x v="2"/>
          <x v="4"/>
          <x v="3"/>
          <x v="3"/>
          <x v="4"/>
          <x v="2"/>
          <x v="3"/>
          <x v="3"/>
          <x v="3"/>
          <x v="3"/>
          <x v="4"/>
          <x v="3"/>
          <x v="3"/>
          <x v="4"/>
          <x v="3"/>
          <x v="2"/>
          <x v="4"/>
          <x v="4"/>
          <x v="4"/>
          <x v="3"/>
          <x v="3"/>
          <x v="2"/>
          <x v="4"/>
          <x v="2"/>
          <x v="3"/>
          <x v="2"/>
          <x v="4"/>
          <x v="3"/>
          <x v="3"/>
          <x v="2"/>
          <x v="3"/>
          <x v="4"/>
          <x v="2"/>
          <x v="4"/>
          <x v="2"/>
          <x v="3"/>
          <x v="3"/>
          <x v="4"/>
          <x v="3"/>
          <x v="2"/>
          <x v="1"/>
          <x v="2"/>
          <x v="2"/>
          <x v="2"/>
          <x v="3"/>
          <x v="3"/>
          <x v="4"/>
          <x v="3"/>
          <x v="4"/>
          <x v="4"/>
          <x v="4"/>
          <x v="3"/>
          <x v="0"/>
          <x v="4"/>
          <x v="2"/>
          <x v="4"/>
          <x v="3"/>
          <x v="3"/>
          <x v="3"/>
          <x v="2"/>
          <x v="3"/>
          <x v="1"/>
          <x v="2"/>
          <x v="3"/>
          <x v="2"/>
          <x v="4"/>
          <x v="1"/>
          <x v="3"/>
          <x v="3"/>
          <x v="2"/>
          <x v="2"/>
          <x v="4"/>
          <x v="4"/>
          <x v="1"/>
          <x v="4"/>
          <x v="3"/>
          <x v="4"/>
          <x v="4"/>
          <x v="4"/>
          <x v="3"/>
          <x v="4"/>
          <x v="4"/>
          <x v="3"/>
          <x v="2"/>
          <x v="4"/>
          <x v="2"/>
          <x v="4"/>
          <x v="2"/>
          <x v="0"/>
          <x v="4"/>
          <x v="2"/>
          <x v="3"/>
          <x v="3"/>
          <x v="3"/>
          <x v="1"/>
          <x v="4"/>
          <x v="3"/>
          <x v="2"/>
          <x v="4"/>
          <x v="2"/>
          <x v="1"/>
          <x v="4"/>
          <x v="1"/>
          <x v="3"/>
          <x v="2"/>
          <x v="2"/>
          <x v="2"/>
          <x v="2"/>
          <x v="3"/>
          <x v="2"/>
          <x v="4"/>
          <x v="4"/>
          <x v="4"/>
          <x v="4"/>
          <x v="4"/>
          <x v="4"/>
          <x v="0"/>
          <x v="4"/>
          <x v="3"/>
          <x v="1"/>
          <x v="1"/>
          <x v="0"/>
          <x v="4"/>
          <x v="4"/>
          <x v="0"/>
          <x v="0"/>
        </discretePr>
        <groupItems count="6">
          <s v="Group1"/>
          <s v="Group2"/>
          <s v="Group3"/>
          <s v="Group4"/>
          <s v="Group5"/>
          <n v="9"/>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8727820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5890.882771064818" backgroundQuery="1" createdVersion="8" refreshedVersion="8" minRefreshableVersion="3" recordCount="0" supportSubquery="1" supportAdvancedDrill="1" xr:uid="{899AEE38-A5CB-4C80-B0B7-941467F9EF58}">
  <cacheSource type="external" connectionId="5"/>
  <cacheFields count="5">
    <cacheField name="[Measures].[Call cnt]" caption="Call cnt" numFmtId="0" hierarchy="24" level="32767"/>
    <cacheField name="[Measures].[TOT amt]" caption="TOT amt" numFmtId="0" hierarchy="25" level="32767"/>
    <cacheField name="[Measures].[tot dur..]" caption="tot dur.." numFmtId="0" hierarchy="26" level="32767"/>
    <cacheField name="[Measures].[avg rating]" caption="avg rating" numFmtId="0" hierarchy="27" level="32767"/>
    <cacheField name="[Measures].[5*call]" caption="5*call" numFmtId="0" hierarchy="28"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0"/>
      </fieldsUsage>
    </cacheHierarchy>
    <cacheHierarchy uniqueName="[Measures].[TOT amt]" caption="TOT amt" measure="1" displayFolder="" measureGroup="calls" count="0" oneField="1">
      <fieldsUsage count="1">
        <fieldUsage x="1"/>
      </fieldsUsage>
    </cacheHierarchy>
    <cacheHierarchy uniqueName="[Measures].[tot dur..]" caption="tot dur.."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5891.50579664352" backgroundQuery="1" createdVersion="8" refreshedVersion="8" minRefreshableVersion="3" recordCount="0" supportSubquery="1" supportAdvancedDrill="1" xr:uid="{877FCDA4-8B6C-482C-929E-FB70AA6999AE}">
  <cacheSource type="external" connectionId="5"/>
  <cacheFields count="3">
    <cacheField name="[customer].[City].[City]" caption="City" numFmtId="0" hierarchy="22" level="1">
      <sharedItems count="3">
        <s v="Cincinnati"/>
        <s v="Cleveland"/>
        <s v="Columbus"/>
      </sharedItems>
    </cacheField>
    <cacheField name="[customer].[Gedner].[Gedner]" caption="Gedner" numFmtId="0" hierarchy="20" level="1">
      <sharedItems containsBlank="1" count="3">
        <s v="Female"/>
        <s v="Male"/>
        <m u="1"/>
      </sharedItems>
    </cacheField>
    <cacheField name="[Measures].[Call cnt]" caption="Call cnt" numFmtId="0" hierarchy="24"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2"/>
      </fieldsUsage>
    </cacheHierarchy>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5891.536320601852" backgroundQuery="1" createdVersion="8" refreshedVersion="8" minRefreshableVersion="3" recordCount="0" supportSubquery="1" supportAdvancedDrill="1" xr:uid="{9E65C18A-5627-45BE-8044-33964CE7E9F2}">
  <cacheSource type="external" connectionId="5"/>
  <cacheFields count="3">
    <cacheField name="[calls].[Representative].[Representative]" caption="Representative" numFmtId="0" hierarchy="3" level="1">
      <sharedItems count="1">
        <s v="R01"/>
      </sharedItems>
    </cacheField>
    <cacheField name="[Measures].[Call cnt]" caption="Call cnt" numFmtId="0" hierarchy="24" level="32767"/>
    <cacheField name="[Measures].[TOT amt]" caption="TOT amt" numFmtId="0" hierarchy="25"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1"/>
      </fieldsUsage>
    </cacheHierarchy>
    <cacheHierarchy uniqueName="[Measures].[TOT amt]" caption="TOT amt" measure="1" displayFolder="" measureGroup="calls" count="0" oneField="1">
      <fieldsUsage count="1">
        <fieldUsage x="2"/>
      </fieldsUsage>
    </cacheHierarchy>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5891.543570254631" backgroundQuery="1" createdVersion="8" refreshedVersion="8" minRefreshableVersion="3" recordCount="0" supportSubquery="1" supportAdvancedDrill="1" xr:uid="{6E30A532-B128-4812-9844-FCBF0253B841}">
  <cacheSource type="external" connectionId="5"/>
  <cacheFields count="4">
    <cacheField name="[customer].[City].[City]" caption="City" numFmtId="0" hierarchy="22" level="1">
      <sharedItems containsBlank="1" count="4">
        <s v="Cincinnati"/>
        <s v="Cleveland"/>
        <s v="Columbus"/>
        <m/>
      </sharedItems>
    </cacheField>
    <cacheField name="[customer].[Customer ID].[Customer ID]" caption="Customer ID" numFmtId="0" hierarchy="19" level="1">
      <sharedItems count="14">
        <s v="C0003"/>
        <s v="C0004"/>
        <s v="C0011"/>
        <s v="C0012"/>
        <s v="C0002"/>
        <s v="C0007"/>
        <s v="C0008"/>
        <s v="C0010"/>
        <s v="C0013"/>
        <s v="C0001"/>
        <s v="C0005"/>
        <s v="C0006"/>
        <s v="C0009"/>
        <s v="C0014"/>
      </sharedItems>
    </cacheField>
    <cacheField name="[calls].[Representative].[Representative]" caption="Representative" numFmtId="0" hierarchy="3" level="1">
      <sharedItems count="5">
        <s v="R01"/>
        <s v="R02"/>
        <s v="R03"/>
        <s v="R04"/>
        <s v="R05"/>
      </sharedItems>
    </cacheField>
    <cacheField name="[Measures].[TOT amt]" caption="TOT amt" numFmtId="0" hierarchy="25"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fieldsUsage count="2">
        <fieldUsage x="-1"/>
        <fieldUsage x="1"/>
      </fieldsUsage>
    </cacheHierarchy>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cacheHierarchy uniqueName="[Measures].[TOT amt]" caption="TOT amt" measure="1" displayFolder="" measureGroup="calls" count="0" oneField="1">
      <fieldsUsage count="1">
        <fieldUsage x="3"/>
      </fieldsUsage>
    </cacheHierarchy>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6118.939407060185" backgroundQuery="1" createdVersion="8" refreshedVersion="8" minRefreshableVersion="3" recordCount="0" supportSubquery="1" supportAdvancedDrill="1" xr:uid="{BB52FE7B-7AEE-406F-8991-A1437FF0DA2D}">
  <cacheSource type="external" connectionId="5"/>
  <cacheFields count="6">
    <cacheField name="[Measures].[Call cnt]" caption="Call cnt" numFmtId="0" hierarchy="24" level="32767"/>
    <cacheField name="[Measures].[TOT amt]" caption="TOT amt" numFmtId="0" hierarchy="25" level="32767"/>
    <cacheField name="[Measures].[tot dur..]" caption="tot dur.." numFmtId="0" hierarchy="26" level="32767"/>
    <cacheField name="[Measures].[avg rating]" caption="avg rating" numFmtId="0" hierarchy="27" level="32767"/>
    <cacheField name="[Measures].[5*call]" caption="5*call" numFmtId="0" hierarchy="28" level="32767"/>
    <cacheField name="[calls].[Representative].[Representative]" caption="Representative" numFmtId="0" hierarchy="3" level="1">
      <sharedItems containsSemiMixedTypes="0" containsNonDate="0" containsString="0"/>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0"/>
      </fieldsUsage>
    </cacheHierarchy>
    <cacheHierarchy uniqueName="[Measures].[TOT amt]" caption="TOT amt" measure="1" displayFolder="" measureGroup="calls" count="0" oneField="1">
      <fieldsUsage count="1">
        <fieldUsage x="1"/>
      </fieldsUsage>
    </cacheHierarchy>
    <cacheHierarchy uniqueName="[Measures].[tot dur..]" caption="tot dur.."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6118.939407523147" backgroundQuery="1" createdVersion="8" refreshedVersion="8" minRefreshableVersion="3" recordCount="0" supportSubquery="1" supportAdvancedDrill="1" xr:uid="{7F7FDE56-F4EA-46BE-9A7E-E082CD4E09A3}">
  <cacheSource type="external" connectionId="5"/>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8" level="1">
      <sharedItems count="12">
        <s v="Jan"/>
        <s v="Feb"/>
        <s v="Mar"/>
        <s v="Apr"/>
        <s v="May"/>
        <s v="Jun"/>
        <s v="Jul"/>
        <s v="Aug"/>
        <s v="Sep"/>
        <s v="Oct"/>
        <s v="Nov"/>
        <s v="Dec"/>
      </sharedItems>
    </cacheField>
    <cacheField name="[Measures].[Call cnt]" caption="Call cnt" numFmtId="0" hierarchy="24"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3"/>
      </fieldsUsage>
    </cacheHierarchy>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6118.939408101854" backgroundQuery="1" createdVersion="8" refreshedVersion="8" minRefreshableVersion="3" recordCount="0" supportSubquery="1" supportAdvancedDrill="1" xr:uid="{59FD86F3-67A0-4CEB-B81A-95C7FF409084}">
  <cacheSource type="external" connectionId="5"/>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10" level="1">
      <sharedItems count="7">
        <s v="Friday"/>
        <s v="Monday"/>
        <s v="Saturday"/>
        <s v="Sunday"/>
        <s v="Thursday"/>
        <s v="Tuesday"/>
        <s v="Wednesday"/>
      </sharedItems>
    </cacheField>
    <cacheField name="[Measures].[Call cnt]" caption="Call cnt" numFmtId="0" hierarchy="24"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2"/>
      </fieldsUsage>
    </cacheHierarchy>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6118.939408680555" backgroundQuery="1" createdVersion="8" refreshedVersion="8" minRefreshableVersion="3" recordCount="0" supportSubquery="1" supportAdvancedDrill="1" xr:uid="{EC21053A-865C-442A-872F-0E177CA136E0}">
  <cacheSource type="external" connectionId="5"/>
  <cacheFields count="1">
    <cacheField name="[calls].[Representative].[Representative]" caption="Representative" numFmtId="0" hierarchy="3" level="1">
      <sharedItems count="1">
        <s v="R03"/>
      </sharedItems>
    </cacheField>
  </cacheFields>
  <cacheHierarchies count="34">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avg satisfication]" caption="avg satisfication" attribute="1" defaultMemberUniqueName="[calls].[avg satisfication].[All]" allUniqueName="[calls].[avg satisfication].[All]" dimensionUniqueName="[calls]" displayFolder="" count="2" memberValueDatatype="5" unbalanced="0"/>
    <cacheHierarchy uniqueName="[calls].[flag reps]" caption="flag reps" attribute="1" defaultMemberUniqueName="[calls].[flag reps].[All]" allUniqueName="[calls].[flag reps].[All]" dimensionUniqueName="[calls]" displayFolder="" count="2" memberValueDatatype="13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2"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2"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2" memberValueDatatype="5" unbalanced="0"/>
    <cacheHierarchy uniqueName="[calls].[call count]" caption="call count" attribute="1" defaultMemberUniqueName="[calls].[call count].[All]" allUniqueName="[calls].[call count].[All]" dimensionUniqueName="[calls]" displayFolder="" count="2" memberValueDatatype="20" unbalanced="0"/>
    <cacheHierarchy uniqueName="[calls].[call to purchase ratio]" caption="call to purchase ratio" attribute="1" defaultMemberUniqueName="[calls].[call to purchase ratio].[All]" allUniqueName="[calls].[call to purchase ratio].[All]" dimensionUniqueName="[calls]" displayFolder="" count="2" memberValueDatatype="5"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Customer ID]" caption="Customer ID" attribute="1" defaultMemberUniqueName="[customer].[Customer ID].[All]" allUniqueName="[customer].[Customer ID].[All]" dimensionUniqueName="[customer]" displayFolder="" count="2" memberValueDatatype="130" unbalanced="0"/>
    <cacheHierarchy uniqueName="[customer].[Gedner]" caption="Gedner" attribute="1" defaultMemberUniqueName="[customer].[Gedner].[All]" allUniqueName="[customer].[Gedner].[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City]" caption="City" attribute="1" defaultMemberUniqueName="[customer].[City].[All]" allUniqueName="[customer].[City].[All]" dimensionUniqueName="[customer]"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nt]" caption="Call cnt" measure="1" displayFolder="" measureGroup="calls" count="0"/>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6118.939409259256" backgroundQuery="1" createdVersion="8" refreshedVersion="8" minRefreshableVersion="3" recordCount="0" supportSubquery="1" supportAdvancedDrill="1" xr:uid="{35AD3DD7-81FA-41BF-86B4-2434F3CCC0E8}">
  <cacheSource type="external" connectionId="5"/>
  <cacheFields count="4">
    <cacheField name="[customer].[Gedner].[Gedner]" caption="Gedner" numFmtId="0" hierarchy="20" level="1">
      <sharedItems containsBlank="1" count="3">
        <s v="Female"/>
        <s v="Male"/>
        <m u="1"/>
      </sharedItems>
    </cacheField>
    <cacheField name="[Measures].[Call cnt]" caption="Call cnt" numFmtId="0" hierarchy="24" level="32767"/>
    <cacheField name="[calls].[Rating rounded].[Rating rounded]" caption="Rating rounded" numFmtId="0" hierarchy="12"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nt]" caption="Call cnt" measure="1" displayFolder="" measureGroup="calls" count="0" oneField="1">
      <fieldsUsage count="1">
        <fieldUsage x="1"/>
      </fieldsUsage>
    </cacheHierarchy>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9"/>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ash Tyagi" refreshedDate="45890.882765277776" backgroundQuery="1" createdVersion="3" refreshedVersion="8" minRefreshableVersion="3" recordCount="0" supportSubquery="1" supportAdvancedDrill="1" xr:uid="{245467BA-1047-43B3-84B8-2A63B0DE4205}">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avg satisfication]" caption="avg satisfication" attribute="1" defaultMemberUniqueName="[calls].[avg satisfication].[All]" allUniqueName="[calls].[avg satisfication].[All]" dimensionUniqueName="[calls]" displayFolder="" count="0" memberValueDatatype="5" unbalanced="0"/>
    <cacheHierarchy uniqueName="[calls].[flag reps]" caption="flag reps" attribute="1" defaultMemberUniqueName="[calls].[flag reps].[All]" allUniqueName="[calls].[flag reps].[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count no. of class per person]" caption="count no. of class per person" attribute="1" defaultMemberUniqueName="[calls].[count no. of class per person].[All]" allUniqueName="[calls].[count no. of class per person].[All]" dimensionUniqueName="[calls]" displayFolder="" count="0" memberValueDatatype="20" unbalanced="0"/>
    <cacheHierarchy uniqueName="[calls].[Average purchase per call]" caption="Average purchase per call" attribute="1" defaultMemberUniqueName="[calls].[Average purchase per call].[All]" allUniqueName="[calls].[Average purchase per call].[All]" dimensionUniqueName="[calls]" displayFolder="" count="0" memberValueDatatype="20" unbalanced="0"/>
    <cacheHierarchy uniqueName="[calls].[&quot;time wasters&quot;column ratio]" caption="&quot;time wasters&quot;column ratio" attribute="1" defaultMemberUniqueName="[calls].[&quot;time wasters&quot;column ratio].[All]" allUniqueName="[calls].[&quot;time wasters&quot;column ratio].[All]" dimensionUniqueName="[calls]" displayFolder="" count="0" memberValueDatatype="5" unbalanced="0"/>
    <cacheHierarchy uniqueName="[calls].[call count]" caption="call count" attribute="1" defaultMemberUniqueName="[calls].[call count].[All]" allUniqueName="[calls].[call count].[All]" dimensionUniqueName="[calls]" displayFolder="" count="0" memberValueDatatype="20" unbalanced="0"/>
    <cacheHierarchy uniqueName="[calls].[call to purchase ratio]" caption="call to purchase ratio" attribute="1" defaultMemberUniqueName="[calls].[call to purchase ratio].[All]" allUniqueName="[calls].[call to purchase ratio].[All]" dimensionUniqueName="[calls]" displayFolder="" count="0" memberValueDatatype="5"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nt]" caption="Call cnt" measure="1" displayFolder="" measureGroup="calls" count="0"/>
    <cacheHierarchy uniqueName="[Measures].[TOT amt]" caption="TOT amt" measure="1" displayFolder="" measureGroup="calls" count="0"/>
    <cacheHierarchy uniqueName="[Measures].[tot dur..]" caption="tot dur.." measure="1" displayFolder="" measureGroup="calls" count="0"/>
    <cacheHierarchy uniqueName="[Measures].[avg rating]" caption="avg rating"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17674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n v="4.9000000000000004"/>
    <x v="0"/>
    <x v="0"/>
    <x v="0"/>
    <x v="0"/>
  </r>
  <r>
    <x v="1"/>
    <x v="1"/>
    <x v="1"/>
    <x v="0"/>
    <x v="0"/>
    <n v="135"/>
    <n v="2.9"/>
    <x v="0"/>
    <x v="1"/>
    <x v="0"/>
    <x v="0"/>
  </r>
  <r>
    <x v="2"/>
    <x v="2"/>
    <x v="2"/>
    <x v="1"/>
    <x v="0"/>
    <n v="66"/>
    <n v="4.7"/>
    <x v="0"/>
    <x v="0"/>
    <x v="0"/>
    <x v="0"/>
  </r>
  <r>
    <x v="3"/>
    <x v="3"/>
    <x v="1"/>
    <x v="1"/>
    <x v="0"/>
    <n v="22"/>
    <n v="2.9"/>
    <x v="0"/>
    <x v="1"/>
    <x v="0"/>
    <x v="0"/>
  </r>
  <r>
    <x v="4"/>
    <x v="4"/>
    <x v="3"/>
    <x v="2"/>
    <x v="1"/>
    <n v="31"/>
    <n v="2.8"/>
    <x v="1"/>
    <x v="1"/>
    <x v="0"/>
    <x v="1"/>
  </r>
  <r>
    <x v="5"/>
    <x v="4"/>
    <x v="4"/>
    <x v="1"/>
    <x v="2"/>
    <n v="135"/>
    <n v="4.8"/>
    <x v="2"/>
    <x v="0"/>
    <x v="0"/>
    <x v="2"/>
  </r>
  <r>
    <x v="6"/>
    <x v="5"/>
    <x v="5"/>
    <x v="0"/>
    <x v="2"/>
    <n v="60"/>
    <n v="4.7"/>
    <x v="0"/>
    <x v="0"/>
    <x v="0"/>
    <x v="2"/>
  </r>
  <r>
    <x v="7"/>
    <x v="0"/>
    <x v="6"/>
    <x v="3"/>
    <x v="2"/>
    <n v="148"/>
    <n v="4.4000000000000004"/>
    <x v="0"/>
    <x v="2"/>
    <x v="0"/>
    <x v="2"/>
  </r>
  <r>
    <x v="8"/>
    <x v="2"/>
    <x v="7"/>
    <x v="1"/>
    <x v="2"/>
    <n v="135"/>
    <n v="3.6"/>
    <x v="2"/>
    <x v="2"/>
    <x v="0"/>
    <x v="2"/>
  </r>
  <r>
    <x v="9"/>
    <x v="6"/>
    <x v="8"/>
    <x v="4"/>
    <x v="2"/>
    <n v="105"/>
    <n v="2.9"/>
    <x v="2"/>
    <x v="1"/>
    <x v="0"/>
    <x v="2"/>
  </r>
  <r>
    <x v="10"/>
    <x v="4"/>
    <x v="9"/>
    <x v="1"/>
    <x v="2"/>
    <n v="69"/>
    <n v="4.9000000000000004"/>
    <x v="0"/>
    <x v="0"/>
    <x v="0"/>
    <x v="2"/>
  </r>
  <r>
    <x v="11"/>
    <x v="7"/>
    <x v="10"/>
    <x v="0"/>
    <x v="2"/>
    <n v="46"/>
    <n v="3.4"/>
    <x v="1"/>
    <x v="1"/>
    <x v="0"/>
    <x v="2"/>
  </r>
  <r>
    <x v="12"/>
    <x v="8"/>
    <x v="11"/>
    <x v="1"/>
    <x v="3"/>
    <n v="108"/>
    <n v="3.5"/>
    <x v="0"/>
    <x v="2"/>
    <x v="0"/>
    <x v="3"/>
  </r>
  <r>
    <x v="13"/>
    <x v="6"/>
    <x v="12"/>
    <x v="1"/>
    <x v="3"/>
    <n v="96"/>
    <n v="4"/>
    <x v="1"/>
    <x v="2"/>
    <x v="0"/>
    <x v="3"/>
  </r>
  <r>
    <x v="14"/>
    <x v="7"/>
    <x v="13"/>
    <x v="2"/>
    <x v="3"/>
    <n v="68"/>
    <n v="4.9000000000000004"/>
    <x v="2"/>
    <x v="0"/>
    <x v="0"/>
    <x v="3"/>
  </r>
  <r>
    <x v="15"/>
    <x v="6"/>
    <x v="14"/>
    <x v="0"/>
    <x v="4"/>
    <n v="24"/>
    <n v="4.8"/>
    <x v="1"/>
    <x v="0"/>
    <x v="0"/>
    <x v="4"/>
  </r>
  <r>
    <x v="16"/>
    <x v="6"/>
    <x v="15"/>
    <x v="2"/>
    <x v="4"/>
    <n v="195"/>
    <n v="3.9"/>
    <x v="0"/>
    <x v="2"/>
    <x v="0"/>
    <x v="4"/>
  </r>
  <r>
    <x v="17"/>
    <x v="9"/>
    <x v="16"/>
    <x v="4"/>
    <x v="4"/>
    <n v="28"/>
    <n v="3.8"/>
    <x v="3"/>
    <x v="2"/>
    <x v="0"/>
    <x v="4"/>
  </r>
  <r>
    <x v="18"/>
    <x v="5"/>
    <x v="17"/>
    <x v="1"/>
    <x v="4"/>
    <n v="170"/>
    <n v="4.3"/>
    <x v="2"/>
    <x v="2"/>
    <x v="0"/>
    <x v="4"/>
  </r>
  <r>
    <x v="19"/>
    <x v="10"/>
    <x v="13"/>
    <x v="0"/>
    <x v="5"/>
    <n v="30"/>
    <n v="4.4000000000000004"/>
    <x v="2"/>
    <x v="2"/>
    <x v="0"/>
    <x v="5"/>
  </r>
  <r>
    <x v="20"/>
    <x v="1"/>
    <x v="3"/>
    <x v="0"/>
    <x v="5"/>
    <n v="72"/>
    <n v="5"/>
    <x v="1"/>
    <x v="0"/>
    <x v="0"/>
    <x v="5"/>
  </r>
  <r>
    <x v="21"/>
    <x v="1"/>
    <x v="18"/>
    <x v="3"/>
    <x v="6"/>
    <n v="92"/>
    <n v="4.9000000000000004"/>
    <x v="2"/>
    <x v="0"/>
    <x v="0"/>
    <x v="6"/>
  </r>
  <r>
    <x v="22"/>
    <x v="0"/>
    <x v="19"/>
    <x v="3"/>
    <x v="7"/>
    <n v="165"/>
    <n v="4.5"/>
    <x v="0"/>
    <x v="0"/>
    <x v="0"/>
    <x v="0"/>
  </r>
  <r>
    <x v="23"/>
    <x v="11"/>
    <x v="20"/>
    <x v="1"/>
    <x v="7"/>
    <n v="140"/>
    <n v="2.1"/>
    <x v="2"/>
    <x v="3"/>
    <x v="0"/>
    <x v="0"/>
  </r>
  <r>
    <x v="24"/>
    <x v="6"/>
    <x v="17"/>
    <x v="2"/>
    <x v="7"/>
    <n v="111"/>
    <n v="3.3"/>
    <x v="2"/>
    <x v="1"/>
    <x v="0"/>
    <x v="0"/>
  </r>
  <r>
    <x v="25"/>
    <x v="12"/>
    <x v="16"/>
    <x v="0"/>
    <x v="8"/>
    <n v="63"/>
    <n v="4.0999999999999996"/>
    <x v="3"/>
    <x v="2"/>
    <x v="0"/>
    <x v="1"/>
  </r>
  <r>
    <x v="26"/>
    <x v="8"/>
    <x v="21"/>
    <x v="0"/>
    <x v="8"/>
    <n v="80"/>
    <n v="4.2"/>
    <x v="0"/>
    <x v="2"/>
    <x v="0"/>
    <x v="1"/>
  </r>
  <r>
    <x v="27"/>
    <x v="4"/>
    <x v="22"/>
    <x v="0"/>
    <x v="9"/>
    <n v="50"/>
    <n v="4.5999999999999996"/>
    <x v="0"/>
    <x v="0"/>
    <x v="0"/>
    <x v="2"/>
  </r>
  <r>
    <x v="28"/>
    <x v="9"/>
    <x v="7"/>
    <x v="3"/>
    <x v="9"/>
    <n v="123"/>
    <n v="2.9"/>
    <x v="2"/>
    <x v="1"/>
    <x v="0"/>
    <x v="2"/>
  </r>
  <r>
    <x v="29"/>
    <x v="11"/>
    <x v="23"/>
    <x v="2"/>
    <x v="9"/>
    <n v="110"/>
    <n v="4.8"/>
    <x v="1"/>
    <x v="0"/>
    <x v="0"/>
    <x v="2"/>
  </r>
  <r>
    <x v="30"/>
    <x v="9"/>
    <x v="24"/>
    <x v="0"/>
    <x v="9"/>
    <n v="140"/>
    <n v="4.2"/>
    <x v="0"/>
    <x v="2"/>
    <x v="0"/>
    <x v="2"/>
  </r>
  <r>
    <x v="31"/>
    <x v="4"/>
    <x v="25"/>
    <x v="0"/>
    <x v="10"/>
    <n v="42"/>
    <n v="3.7"/>
    <x v="0"/>
    <x v="2"/>
    <x v="0"/>
    <x v="4"/>
  </r>
  <r>
    <x v="32"/>
    <x v="4"/>
    <x v="26"/>
    <x v="2"/>
    <x v="10"/>
    <n v="170"/>
    <n v="5"/>
    <x v="3"/>
    <x v="0"/>
    <x v="0"/>
    <x v="4"/>
  </r>
  <r>
    <x v="33"/>
    <x v="10"/>
    <x v="27"/>
    <x v="1"/>
    <x v="11"/>
    <n v="105"/>
    <n v="5"/>
    <x v="1"/>
    <x v="0"/>
    <x v="0"/>
    <x v="6"/>
  </r>
  <r>
    <x v="34"/>
    <x v="13"/>
    <x v="28"/>
    <x v="0"/>
    <x v="12"/>
    <n v="125"/>
    <n v="4.8"/>
    <x v="0"/>
    <x v="0"/>
    <x v="0"/>
    <x v="0"/>
  </r>
  <r>
    <x v="35"/>
    <x v="9"/>
    <x v="29"/>
    <x v="4"/>
    <x v="12"/>
    <n v="26"/>
    <n v="2.4"/>
    <x v="0"/>
    <x v="3"/>
    <x v="0"/>
    <x v="0"/>
  </r>
  <r>
    <x v="36"/>
    <x v="11"/>
    <x v="30"/>
    <x v="4"/>
    <x v="13"/>
    <n v="120"/>
    <n v="3.1"/>
    <x v="0"/>
    <x v="1"/>
    <x v="0"/>
    <x v="1"/>
  </r>
  <r>
    <x v="37"/>
    <x v="1"/>
    <x v="31"/>
    <x v="1"/>
    <x v="13"/>
    <n v="132"/>
    <n v="3.2"/>
    <x v="0"/>
    <x v="1"/>
    <x v="0"/>
    <x v="1"/>
  </r>
  <r>
    <x v="38"/>
    <x v="11"/>
    <x v="22"/>
    <x v="3"/>
    <x v="14"/>
    <n v="86"/>
    <n v="2.4"/>
    <x v="0"/>
    <x v="3"/>
    <x v="0"/>
    <x v="2"/>
  </r>
  <r>
    <x v="39"/>
    <x v="9"/>
    <x v="32"/>
    <x v="0"/>
    <x v="14"/>
    <n v="108"/>
    <n v="5"/>
    <x v="0"/>
    <x v="0"/>
    <x v="0"/>
    <x v="2"/>
  </r>
  <r>
    <x v="40"/>
    <x v="1"/>
    <x v="33"/>
    <x v="3"/>
    <x v="14"/>
    <n v="96"/>
    <n v="4.7"/>
    <x v="0"/>
    <x v="0"/>
    <x v="0"/>
    <x v="2"/>
  </r>
  <r>
    <x v="41"/>
    <x v="6"/>
    <x v="28"/>
    <x v="1"/>
    <x v="15"/>
    <n v="80"/>
    <n v="4.7"/>
    <x v="0"/>
    <x v="0"/>
    <x v="0"/>
    <x v="3"/>
  </r>
  <r>
    <x v="42"/>
    <x v="9"/>
    <x v="34"/>
    <x v="0"/>
    <x v="15"/>
    <n v="155"/>
    <n v="4.0999999999999996"/>
    <x v="0"/>
    <x v="2"/>
    <x v="0"/>
    <x v="3"/>
  </r>
  <r>
    <x v="43"/>
    <x v="7"/>
    <x v="35"/>
    <x v="4"/>
    <x v="15"/>
    <n v="168"/>
    <n v="4.0999999999999996"/>
    <x v="1"/>
    <x v="2"/>
    <x v="0"/>
    <x v="3"/>
  </r>
  <r>
    <x v="44"/>
    <x v="13"/>
    <x v="28"/>
    <x v="2"/>
    <x v="15"/>
    <n v="56"/>
    <n v="3.6"/>
    <x v="0"/>
    <x v="2"/>
    <x v="0"/>
    <x v="3"/>
  </r>
  <r>
    <x v="45"/>
    <x v="4"/>
    <x v="36"/>
    <x v="4"/>
    <x v="16"/>
    <n v="32"/>
    <n v="4.4000000000000004"/>
    <x v="3"/>
    <x v="2"/>
    <x v="0"/>
    <x v="4"/>
  </r>
  <r>
    <x v="46"/>
    <x v="3"/>
    <x v="37"/>
    <x v="2"/>
    <x v="16"/>
    <n v="78"/>
    <n v="4.4000000000000004"/>
    <x v="1"/>
    <x v="2"/>
    <x v="0"/>
    <x v="4"/>
  </r>
  <r>
    <x v="47"/>
    <x v="1"/>
    <x v="38"/>
    <x v="0"/>
    <x v="16"/>
    <n v="86"/>
    <n v="4"/>
    <x v="0"/>
    <x v="2"/>
    <x v="0"/>
    <x v="4"/>
  </r>
  <r>
    <x v="48"/>
    <x v="0"/>
    <x v="31"/>
    <x v="1"/>
    <x v="17"/>
    <n v="64"/>
    <n v="3.8"/>
    <x v="0"/>
    <x v="2"/>
    <x v="0"/>
    <x v="5"/>
  </r>
  <r>
    <x v="49"/>
    <x v="12"/>
    <x v="39"/>
    <x v="1"/>
    <x v="17"/>
    <n v="96"/>
    <n v="3.6"/>
    <x v="2"/>
    <x v="2"/>
    <x v="0"/>
    <x v="5"/>
  </r>
  <r>
    <x v="50"/>
    <x v="8"/>
    <x v="40"/>
    <x v="2"/>
    <x v="17"/>
    <n v="72"/>
    <n v="4.3"/>
    <x v="1"/>
    <x v="2"/>
    <x v="0"/>
    <x v="5"/>
  </r>
  <r>
    <x v="51"/>
    <x v="7"/>
    <x v="41"/>
    <x v="3"/>
    <x v="18"/>
    <n v="135"/>
    <n v="3.8"/>
    <x v="0"/>
    <x v="2"/>
    <x v="0"/>
    <x v="6"/>
  </r>
  <r>
    <x v="52"/>
    <x v="7"/>
    <x v="42"/>
    <x v="4"/>
    <x v="18"/>
    <n v="140"/>
    <n v="4.5"/>
    <x v="0"/>
    <x v="0"/>
    <x v="0"/>
    <x v="6"/>
  </r>
  <r>
    <x v="53"/>
    <x v="14"/>
    <x v="43"/>
    <x v="2"/>
    <x v="18"/>
    <n v="69"/>
    <n v="4.5"/>
    <x v="1"/>
    <x v="0"/>
    <x v="0"/>
    <x v="6"/>
  </r>
  <r>
    <x v="54"/>
    <x v="7"/>
    <x v="44"/>
    <x v="0"/>
    <x v="19"/>
    <n v="136"/>
    <n v="4.5999999999999996"/>
    <x v="2"/>
    <x v="0"/>
    <x v="0"/>
    <x v="0"/>
  </r>
  <r>
    <x v="55"/>
    <x v="12"/>
    <x v="45"/>
    <x v="2"/>
    <x v="19"/>
    <n v="28"/>
    <n v="4.5"/>
    <x v="0"/>
    <x v="0"/>
    <x v="0"/>
    <x v="0"/>
  </r>
  <r>
    <x v="56"/>
    <x v="14"/>
    <x v="20"/>
    <x v="1"/>
    <x v="20"/>
    <n v="135"/>
    <n v="3.3"/>
    <x v="2"/>
    <x v="1"/>
    <x v="0"/>
    <x v="1"/>
  </r>
  <r>
    <x v="57"/>
    <x v="11"/>
    <x v="46"/>
    <x v="1"/>
    <x v="20"/>
    <n v="126"/>
    <n v="2.2999999999999998"/>
    <x v="0"/>
    <x v="3"/>
    <x v="0"/>
    <x v="1"/>
  </r>
  <r>
    <x v="58"/>
    <x v="4"/>
    <x v="47"/>
    <x v="0"/>
    <x v="20"/>
    <n v="160"/>
    <n v="4.3"/>
    <x v="0"/>
    <x v="2"/>
    <x v="0"/>
    <x v="1"/>
  </r>
  <r>
    <x v="59"/>
    <x v="14"/>
    <x v="48"/>
    <x v="1"/>
    <x v="21"/>
    <n v="48"/>
    <n v="4.5999999999999996"/>
    <x v="0"/>
    <x v="0"/>
    <x v="0"/>
    <x v="2"/>
  </r>
  <r>
    <x v="60"/>
    <x v="7"/>
    <x v="33"/>
    <x v="2"/>
    <x v="21"/>
    <n v="66"/>
    <n v="4"/>
    <x v="0"/>
    <x v="2"/>
    <x v="0"/>
    <x v="2"/>
  </r>
  <r>
    <x v="61"/>
    <x v="6"/>
    <x v="49"/>
    <x v="3"/>
    <x v="21"/>
    <n v="126"/>
    <n v="2.5"/>
    <x v="1"/>
    <x v="1"/>
    <x v="0"/>
    <x v="2"/>
  </r>
  <r>
    <x v="62"/>
    <x v="11"/>
    <x v="50"/>
    <x v="4"/>
    <x v="21"/>
    <n v="96"/>
    <n v="5"/>
    <x v="0"/>
    <x v="0"/>
    <x v="0"/>
    <x v="2"/>
  </r>
  <r>
    <x v="63"/>
    <x v="7"/>
    <x v="51"/>
    <x v="0"/>
    <x v="22"/>
    <n v="90"/>
    <n v="3.8"/>
    <x v="0"/>
    <x v="2"/>
    <x v="0"/>
    <x v="3"/>
  </r>
  <r>
    <x v="64"/>
    <x v="13"/>
    <x v="52"/>
    <x v="3"/>
    <x v="22"/>
    <n v="105"/>
    <n v="4.4000000000000004"/>
    <x v="1"/>
    <x v="2"/>
    <x v="0"/>
    <x v="3"/>
  </r>
  <r>
    <x v="65"/>
    <x v="1"/>
    <x v="53"/>
    <x v="1"/>
    <x v="23"/>
    <n v="40"/>
    <n v="3.8"/>
    <x v="0"/>
    <x v="2"/>
    <x v="0"/>
    <x v="4"/>
  </r>
  <r>
    <x v="66"/>
    <x v="11"/>
    <x v="54"/>
    <x v="0"/>
    <x v="23"/>
    <n v="60"/>
    <n v="2"/>
    <x v="2"/>
    <x v="3"/>
    <x v="0"/>
    <x v="4"/>
  </r>
  <r>
    <x v="67"/>
    <x v="6"/>
    <x v="55"/>
    <x v="3"/>
    <x v="24"/>
    <n v="215"/>
    <n v="4.0999999999999996"/>
    <x v="1"/>
    <x v="2"/>
    <x v="0"/>
    <x v="5"/>
  </r>
  <r>
    <x v="68"/>
    <x v="2"/>
    <x v="22"/>
    <x v="2"/>
    <x v="24"/>
    <n v="156"/>
    <n v="2.6"/>
    <x v="0"/>
    <x v="1"/>
    <x v="0"/>
    <x v="5"/>
  </r>
  <r>
    <x v="69"/>
    <x v="10"/>
    <x v="56"/>
    <x v="4"/>
    <x v="24"/>
    <n v="54"/>
    <n v="0"/>
    <x v="1"/>
    <x v="4"/>
    <x v="0"/>
    <x v="5"/>
  </r>
  <r>
    <x v="70"/>
    <x v="10"/>
    <x v="57"/>
    <x v="4"/>
    <x v="25"/>
    <n v="160"/>
    <n v="3.9"/>
    <x v="1"/>
    <x v="2"/>
    <x v="0"/>
    <x v="6"/>
  </r>
  <r>
    <x v="71"/>
    <x v="13"/>
    <x v="58"/>
    <x v="2"/>
    <x v="25"/>
    <n v="80"/>
    <n v="4.8"/>
    <x v="0"/>
    <x v="0"/>
    <x v="0"/>
    <x v="6"/>
  </r>
  <r>
    <x v="72"/>
    <x v="7"/>
    <x v="19"/>
    <x v="2"/>
    <x v="25"/>
    <n v="168"/>
    <n v="2.6"/>
    <x v="0"/>
    <x v="1"/>
    <x v="0"/>
    <x v="6"/>
  </r>
  <r>
    <x v="73"/>
    <x v="14"/>
    <x v="59"/>
    <x v="4"/>
    <x v="26"/>
    <n v="42"/>
    <n v="2.6"/>
    <x v="0"/>
    <x v="1"/>
    <x v="0"/>
    <x v="1"/>
  </r>
  <r>
    <x v="74"/>
    <x v="2"/>
    <x v="60"/>
    <x v="2"/>
    <x v="26"/>
    <n v="205"/>
    <n v="3.6"/>
    <x v="2"/>
    <x v="2"/>
    <x v="0"/>
    <x v="1"/>
  </r>
  <r>
    <x v="75"/>
    <x v="4"/>
    <x v="53"/>
    <x v="4"/>
    <x v="26"/>
    <n v="108"/>
    <n v="3.3"/>
    <x v="0"/>
    <x v="1"/>
    <x v="0"/>
    <x v="1"/>
  </r>
  <r>
    <x v="76"/>
    <x v="6"/>
    <x v="61"/>
    <x v="1"/>
    <x v="26"/>
    <n v="78"/>
    <n v="1.9"/>
    <x v="1"/>
    <x v="3"/>
    <x v="0"/>
    <x v="1"/>
  </r>
  <r>
    <x v="77"/>
    <x v="1"/>
    <x v="62"/>
    <x v="4"/>
    <x v="26"/>
    <n v="23"/>
    <n v="4.9000000000000004"/>
    <x v="2"/>
    <x v="0"/>
    <x v="0"/>
    <x v="1"/>
  </r>
  <r>
    <x v="78"/>
    <x v="4"/>
    <x v="63"/>
    <x v="0"/>
    <x v="27"/>
    <n v="99"/>
    <n v="3.6"/>
    <x v="0"/>
    <x v="2"/>
    <x v="0"/>
    <x v="2"/>
  </r>
  <r>
    <x v="79"/>
    <x v="9"/>
    <x v="42"/>
    <x v="4"/>
    <x v="28"/>
    <n v="148"/>
    <n v="4.5"/>
    <x v="0"/>
    <x v="0"/>
    <x v="0"/>
    <x v="3"/>
  </r>
  <r>
    <x v="80"/>
    <x v="6"/>
    <x v="64"/>
    <x v="3"/>
    <x v="28"/>
    <n v="34"/>
    <n v="3.7"/>
    <x v="2"/>
    <x v="2"/>
    <x v="0"/>
    <x v="3"/>
  </r>
  <r>
    <x v="81"/>
    <x v="4"/>
    <x v="65"/>
    <x v="4"/>
    <x v="28"/>
    <n v="86"/>
    <n v="4.8"/>
    <x v="1"/>
    <x v="0"/>
    <x v="0"/>
    <x v="3"/>
  </r>
  <r>
    <x v="82"/>
    <x v="14"/>
    <x v="66"/>
    <x v="0"/>
    <x v="28"/>
    <n v="105"/>
    <n v="3.3"/>
    <x v="0"/>
    <x v="1"/>
    <x v="0"/>
    <x v="3"/>
  </r>
  <r>
    <x v="83"/>
    <x v="1"/>
    <x v="67"/>
    <x v="0"/>
    <x v="28"/>
    <n v="62"/>
    <n v="3.1"/>
    <x v="0"/>
    <x v="1"/>
    <x v="0"/>
    <x v="3"/>
  </r>
  <r>
    <x v="84"/>
    <x v="4"/>
    <x v="65"/>
    <x v="3"/>
    <x v="28"/>
    <n v="90"/>
    <n v="4.0999999999999996"/>
    <x v="1"/>
    <x v="2"/>
    <x v="0"/>
    <x v="3"/>
  </r>
  <r>
    <x v="85"/>
    <x v="3"/>
    <x v="15"/>
    <x v="0"/>
    <x v="29"/>
    <n v="112"/>
    <n v="4.9000000000000004"/>
    <x v="0"/>
    <x v="0"/>
    <x v="0"/>
    <x v="4"/>
  </r>
  <r>
    <x v="86"/>
    <x v="11"/>
    <x v="41"/>
    <x v="0"/>
    <x v="29"/>
    <n v="135"/>
    <n v="4"/>
    <x v="0"/>
    <x v="2"/>
    <x v="0"/>
    <x v="4"/>
  </r>
  <r>
    <x v="87"/>
    <x v="1"/>
    <x v="68"/>
    <x v="1"/>
    <x v="29"/>
    <n v="34"/>
    <n v="2.1"/>
    <x v="2"/>
    <x v="3"/>
    <x v="0"/>
    <x v="4"/>
  </r>
  <r>
    <x v="88"/>
    <x v="14"/>
    <x v="69"/>
    <x v="2"/>
    <x v="29"/>
    <n v="155"/>
    <n v="4.5"/>
    <x v="0"/>
    <x v="0"/>
    <x v="0"/>
    <x v="4"/>
  </r>
  <r>
    <x v="89"/>
    <x v="3"/>
    <x v="70"/>
    <x v="2"/>
    <x v="30"/>
    <n v="124"/>
    <n v="4.9000000000000004"/>
    <x v="1"/>
    <x v="0"/>
    <x v="0"/>
    <x v="6"/>
  </r>
  <r>
    <x v="90"/>
    <x v="11"/>
    <x v="5"/>
    <x v="0"/>
    <x v="30"/>
    <n v="195"/>
    <n v="4.0999999999999996"/>
    <x v="0"/>
    <x v="2"/>
    <x v="0"/>
    <x v="6"/>
  </r>
  <r>
    <x v="91"/>
    <x v="13"/>
    <x v="71"/>
    <x v="2"/>
    <x v="31"/>
    <n v="78"/>
    <n v="4.5"/>
    <x v="2"/>
    <x v="0"/>
    <x v="0"/>
    <x v="0"/>
  </r>
  <r>
    <x v="92"/>
    <x v="5"/>
    <x v="10"/>
    <x v="3"/>
    <x v="32"/>
    <n v="35"/>
    <n v="4.8"/>
    <x v="1"/>
    <x v="0"/>
    <x v="0"/>
    <x v="2"/>
  </r>
  <r>
    <x v="93"/>
    <x v="12"/>
    <x v="72"/>
    <x v="1"/>
    <x v="32"/>
    <n v="123"/>
    <n v="4.5999999999999996"/>
    <x v="1"/>
    <x v="0"/>
    <x v="0"/>
    <x v="2"/>
  </r>
  <r>
    <x v="94"/>
    <x v="2"/>
    <x v="35"/>
    <x v="1"/>
    <x v="32"/>
    <n v="43"/>
    <n v="4.5999999999999996"/>
    <x v="1"/>
    <x v="0"/>
    <x v="0"/>
    <x v="2"/>
  </r>
  <r>
    <x v="95"/>
    <x v="10"/>
    <x v="73"/>
    <x v="0"/>
    <x v="33"/>
    <n v="69"/>
    <n v="4.3"/>
    <x v="2"/>
    <x v="2"/>
    <x v="0"/>
    <x v="3"/>
  </r>
  <r>
    <x v="96"/>
    <x v="12"/>
    <x v="48"/>
    <x v="1"/>
    <x v="33"/>
    <n v="130"/>
    <n v="5"/>
    <x v="0"/>
    <x v="0"/>
    <x v="0"/>
    <x v="3"/>
  </r>
  <r>
    <x v="97"/>
    <x v="0"/>
    <x v="74"/>
    <x v="4"/>
    <x v="33"/>
    <n v="120"/>
    <n v="4"/>
    <x v="0"/>
    <x v="2"/>
    <x v="0"/>
    <x v="3"/>
  </r>
  <r>
    <x v="98"/>
    <x v="13"/>
    <x v="64"/>
    <x v="0"/>
    <x v="34"/>
    <n v="84"/>
    <n v="4.5999999999999996"/>
    <x v="2"/>
    <x v="0"/>
    <x v="0"/>
    <x v="4"/>
  </r>
  <r>
    <x v="99"/>
    <x v="0"/>
    <x v="35"/>
    <x v="4"/>
    <x v="35"/>
    <n v="112"/>
    <n v="4.5"/>
    <x v="1"/>
    <x v="0"/>
    <x v="0"/>
    <x v="5"/>
  </r>
  <r>
    <x v="100"/>
    <x v="7"/>
    <x v="48"/>
    <x v="0"/>
    <x v="35"/>
    <n v="66"/>
    <n v="4.5999999999999996"/>
    <x v="0"/>
    <x v="0"/>
    <x v="0"/>
    <x v="5"/>
  </r>
  <r>
    <x v="101"/>
    <x v="12"/>
    <x v="37"/>
    <x v="2"/>
    <x v="35"/>
    <n v="172"/>
    <n v="2.6"/>
    <x v="1"/>
    <x v="1"/>
    <x v="0"/>
    <x v="5"/>
  </r>
  <r>
    <x v="102"/>
    <x v="9"/>
    <x v="19"/>
    <x v="3"/>
    <x v="36"/>
    <n v="24"/>
    <n v="4.3"/>
    <x v="0"/>
    <x v="2"/>
    <x v="0"/>
    <x v="6"/>
  </r>
  <r>
    <x v="103"/>
    <x v="3"/>
    <x v="75"/>
    <x v="2"/>
    <x v="37"/>
    <n v="43"/>
    <n v="3.9"/>
    <x v="0"/>
    <x v="2"/>
    <x v="0"/>
    <x v="0"/>
  </r>
  <r>
    <x v="104"/>
    <x v="2"/>
    <x v="67"/>
    <x v="1"/>
    <x v="37"/>
    <n v="23"/>
    <n v="5"/>
    <x v="0"/>
    <x v="0"/>
    <x v="0"/>
    <x v="0"/>
  </r>
  <r>
    <x v="105"/>
    <x v="8"/>
    <x v="16"/>
    <x v="4"/>
    <x v="37"/>
    <n v="74"/>
    <n v="3.5"/>
    <x v="3"/>
    <x v="2"/>
    <x v="0"/>
    <x v="0"/>
  </r>
  <r>
    <x v="106"/>
    <x v="1"/>
    <x v="76"/>
    <x v="3"/>
    <x v="38"/>
    <n v="165"/>
    <n v="4.7"/>
    <x v="1"/>
    <x v="0"/>
    <x v="0"/>
    <x v="1"/>
  </r>
  <r>
    <x v="107"/>
    <x v="11"/>
    <x v="65"/>
    <x v="2"/>
    <x v="38"/>
    <n v="34"/>
    <n v="2.9"/>
    <x v="1"/>
    <x v="1"/>
    <x v="0"/>
    <x v="1"/>
  </r>
  <r>
    <x v="108"/>
    <x v="1"/>
    <x v="77"/>
    <x v="4"/>
    <x v="38"/>
    <n v="64"/>
    <n v="3.4"/>
    <x v="0"/>
    <x v="1"/>
    <x v="0"/>
    <x v="1"/>
  </r>
  <r>
    <x v="109"/>
    <x v="2"/>
    <x v="24"/>
    <x v="3"/>
    <x v="39"/>
    <n v="155"/>
    <n v="3.2"/>
    <x v="0"/>
    <x v="1"/>
    <x v="0"/>
    <x v="2"/>
  </r>
  <r>
    <x v="110"/>
    <x v="1"/>
    <x v="48"/>
    <x v="1"/>
    <x v="40"/>
    <n v="120"/>
    <n v="4.8"/>
    <x v="0"/>
    <x v="0"/>
    <x v="0"/>
    <x v="3"/>
  </r>
  <r>
    <x v="111"/>
    <x v="10"/>
    <x v="78"/>
    <x v="4"/>
    <x v="40"/>
    <n v="105"/>
    <n v="3.6"/>
    <x v="3"/>
    <x v="2"/>
    <x v="0"/>
    <x v="3"/>
  </r>
  <r>
    <x v="112"/>
    <x v="4"/>
    <x v="79"/>
    <x v="2"/>
    <x v="40"/>
    <n v="28"/>
    <n v="4.9000000000000004"/>
    <x v="3"/>
    <x v="0"/>
    <x v="0"/>
    <x v="3"/>
  </r>
  <r>
    <x v="113"/>
    <x v="6"/>
    <x v="18"/>
    <x v="3"/>
    <x v="40"/>
    <n v="100"/>
    <n v="4.8"/>
    <x v="2"/>
    <x v="0"/>
    <x v="0"/>
    <x v="3"/>
  </r>
  <r>
    <x v="114"/>
    <x v="7"/>
    <x v="71"/>
    <x v="2"/>
    <x v="40"/>
    <n v="23"/>
    <n v="3.6"/>
    <x v="2"/>
    <x v="2"/>
    <x v="0"/>
    <x v="3"/>
  </r>
  <r>
    <x v="115"/>
    <x v="9"/>
    <x v="80"/>
    <x v="4"/>
    <x v="41"/>
    <n v="70"/>
    <n v="3.9"/>
    <x v="3"/>
    <x v="2"/>
    <x v="0"/>
    <x v="4"/>
  </r>
  <r>
    <x v="116"/>
    <x v="9"/>
    <x v="81"/>
    <x v="4"/>
    <x v="41"/>
    <n v="37"/>
    <n v="1.9"/>
    <x v="2"/>
    <x v="3"/>
    <x v="0"/>
    <x v="4"/>
  </r>
  <r>
    <x v="117"/>
    <x v="8"/>
    <x v="0"/>
    <x v="0"/>
    <x v="41"/>
    <n v="140"/>
    <n v="3.6"/>
    <x v="0"/>
    <x v="2"/>
    <x v="0"/>
    <x v="4"/>
  </r>
  <r>
    <x v="118"/>
    <x v="0"/>
    <x v="15"/>
    <x v="1"/>
    <x v="41"/>
    <n v="78"/>
    <n v="4.0999999999999996"/>
    <x v="0"/>
    <x v="2"/>
    <x v="0"/>
    <x v="4"/>
  </r>
  <r>
    <x v="119"/>
    <x v="1"/>
    <x v="29"/>
    <x v="4"/>
    <x v="42"/>
    <n v="21"/>
    <n v="4.2"/>
    <x v="0"/>
    <x v="2"/>
    <x v="0"/>
    <x v="5"/>
  </r>
  <r>
    <x v="120"/>
    <x v="2"/>
    <x v="82"/>
    <x v="0"/>
    <x v="42"/>
    <n v="88"/>
    <n v="4.3"/>
    <x v="2"/>
    <x v="2"/>
    <x v="0"/>
    <x v="5"/>
  </r>
  <r>
    <x v="121"/>
    <x v="5"/>
    <x v="23"/>
    <x v="0"/>
    <x v="43"/>
    <n v="180"/>
    <n v="2.2000000000000002"/>
    <x v="1"/>
    <x v="3"/>
    <x v="0"/>
    <x v="6"/>
  </r>
  <r>
    <x v="122"/>
    <x v="0"/>
    <x v="2"/>
    <x v="1"/>
    <x v="43"/>
    <n v="22"/>
    <n v="3.3"/>
    <x v="0"/>
    <x v="1"/>
    <x v="0"/>
    <x v="6"/>
  </r>
  <r>
    <x v="123"/>
    <x v="6"/>
    <x v="48"/>
    <x v="1"/>
    <x v="43"/>
    <n v="52"/>
    <n v="4.8"/>
    <x v="0"/>
    <x v="0"/>
    <x v="0"/>
    <x v="6"/>
  </r>
  <r>
    <x v="124"/>
    <x v="11"/>
    <x v="83"/>
    <x v="0"/>
    <x v="44"/>
    <n v="80"/>
    <n v="4"/>
    <x v="0"/>
    <x v="2"/>
    <x v="0"/>
    <x v="0"/>
  </r>
  <r>
    <x v="125"/>
    <x v="4"/>
    <x v="59"/>
    <x v="2"/>
    <x v="44"/>
    <n v="54"/>
    <n v="1.1000000000000001"/>
    <x v="0"/>
    <x v="5"/>
    <x v="0"/>
    <x v="0"/>
  </r>
  <r>
    <x v="126"/>
    <x v="1"/>
    <x v="23"/>
    <x v="2"/>
    <x v="45"/>
    <n v="80"/>
    <n v="3.9"/>
    <x v="1"/>
    <x v="2"/>
    <x v="0"/>
    <x v="1"/>
  </r>
  <r>
    <x v="127"/>
    <x v="11"/>
    <x v="59"/>
    <x v="0"/>
    <x v="46"/>
    <n v="120"/>
    <n v="1.8"/>
    <x v="0"/>
    <x v="3"/>
    <x v="0"/>
    <x v="2"/>
  </r>
  <r>
    <x v="128"/>
    <x v="5"/>
    <x v="49"/>
    <x v="3"/>
    <x v="46"/>
    <n v="150"/>
    <n v="1"/>
    <x v="1"/>
    <x v="5"/>
    <x v="0"/>
    <x v="2"/>
  </r>
  <r>
    <x v="129"/>
    <x v="1"/>
    <x v="34"/>
    <x v="0"/>
    <x v="46"/>
    <n v="90"/>
    <n v="4.3"/>
    <x v="0"/>
    <x v="2"/>
    <x v="0"/>
    <x v="2"/>
  </r>
  <r>
    <x v="130"/>
    <x v="13"/>
    <x v="84"/>
    <x v="4"/>
    <x v="47"/>
    <n v="140"/>
    <n v="3.4"/>
    <x v="0"/>
    <x v="1"/>
    <x v="0"/>
    <x v="3"/>
  </r>
  <r>
    <x v="131"/>
    <x v="6"/>
    <x v="85"/>
    <x v="2"/>
    <x v="47"/>
    <n v="22"/>
    <n v="3.4"/>
    <x v="1"/>
    <x v="1"/>
    <x v="0"/>
    <x v="3"/>
  </r>
  <r>
    <x v="132"/>
    <x v="11"/>
    <x v="86"/>
    <x v="3"/>
    <x v="48"/>
    <n v="150"/>
    <n v="4.0999999999999996"/>
    <x v="0"/>
    <x v="2"/>
    <x v="0"/>
    <x v="4"/>
  </r>
  <r>
    <x v="133"/>
    <x v="14"/>
    <x v="87"/>
    <x v="1"/>
    <x v="49"/>
    <n v="35"/>
    <n v="4.8"/>
    <x v="1"/>
    <x v="0"/>
    <x v="0"/>
    <x v="5"/>
  </r>
  <r>
    <x v="134"/>
    <x v="3"/>
    <x v="88"/>
    <x v="0"/>
    <x v="49"/>
    <n v="200"/>
    <n v="2"/>
    <x v="1"/>
    <x v="3"/>
    <x v="0"/>
    <x v="5"/>
  </r>
  <r>
    <x v="135"/>
    <x v="11"/>
    <x v="84"/>
    <x v="4"/>
    <x v="50"/>
    <n v="150"/>
    <n v="4.5999999999999996"/>
    <x v="0"/>
    <x v="0"/>
    <x v="0"/>
    <x v="6"/>
  </r>
  <r>
    <x v="136"/>
    <x v="9"/>
    <x v="63"/>
    <x v="0"/>
    <x v="50"/>
    <n v="21"/>
    <n v="2.6"/>
    <x v="0"/>
    <x v="1"/>
    <x v="0"/>
    <x v="6"/>
  </r>
  <r>
    <x v="137"/>
    <x v="13"/>
    <x v="89"/>
    <x v="3"/>
    <x v="51"/>
    <n v="46"/>
    <n v="4.9000000000000004"/>
    <x v="1"/>
    <x v="0"/>
    <x v="0"/>
    <x v="0"/>
  </r>
  <r>
    <x v="138"/>
    <x v="12"/>
    <x v="9"/>
    <x v="2"/>
    <x v="51"/>
    <n v="165"/>
    <n v="2.7"/>
    <x v="0"/>
    <x v="1"/>
    <x v="0"/>
    <x v="0"/>
  </r>
  <r>
    <x v="139"/>
    <x v="10"/>
    <x v="90"/>
    <x v="0"/>
    <x v="51"/>
    <n v="84"/>
    <n v="4.0999999999999996"/>
    <x v="0"/>
    <x v="2"/>
    <x v="0"/>
    <x v="0"/>
  </r>
  <r>
    <x v="140"/>
    <x v="1"/>
    <x v="91"/>
    <x v="2"/>
    <x v="52"/>
    <n v="102"/>
    <n v="4.4000000000000004"/>
    <x v="4"/>
    <x v="2"/>
    <x v="0"/>
    <x v="1"/>
  </r>
  <r>
    <x v="141"/>
    <x v="10"/>
    <x v="92"/>
    <x v="0"/>
    <x v="52"/>
    <n v="180"/>
    <n v="4.8"/>
    <x v="1"/>
    <x v="0"/>
    <x v="0"/>
    <x v="1"/>
  </r>
  <r>
    <x v="142"/>
    <x v="9"/>
    <x v="60"/>
    <x v="3"/>
    <x v="53"/>
    <n v="111"/>
    <n v="3"/>
    <x v="2"/>
    <x v="1"/>
    <x v="0"/>
    <x v="2"/>
  </r>
  <r>
    <x v="143"/>
    <x v="9"/>
    <x v="51"/>
    <x v="4"/>
    <x v="53"/>
    <n v="104"/>
    <n v="3.1"/>
    <x v="0"/>
    <x v="1"/>
    <x v="0"/>
    <x v="2"/>
  </r>
  <r>
    <x v="144"/>
    <x v="2"/>
    <x v="93"/>
    <x v="2"/>
    <x v="53"/>
    <n v="80"/>
    <n v="2.6"/>
    <x v="2"/>
    <x v="1"/>
    <x v="0"/>
    <x v="2"/>
  </r>
  <r>
    <x v="145"/>
    <x v="4"/>
    <x v="23"/>
    <x v="4"/>
    <x v="54"/>
    <n v="132"/>
    <n v="4.5999999999999996"/>
    <x v="1"/>
    <x v="0"/>
    <x v="0"/>
    <x v="3"/>
  </r>
  <r>
    <x v="146"/>
    <x v="4"/>
    <x v="31"/>
    <x v="3"/>
    <x v="54"/>
    <n v="170"/>
    <n v="3.7"/>
    <x v="0"/>
    <x v="2"/>
    <x v="0"/>
    <x v="3"/>
  </r>
  <r>
    <x v="147"/>
    <x v="10"/>
    <x v="94"/>
    <x v="1"/>
    <x v="54"/>
    <n v="36"/>
    <n v="3.8"/>
    <x v="1"/>
    <x v="2"/>
    <x v="0"/>
    <x v="3"/>
  </r>
  <r>
    <x v="148"/>
    <x v="8"/>
    <x v="34"/>
    <x v="4"/>
    <x v="54"/>
    <n v="126"/>
    <n v="3.6"/>
    <x v="0"/>
    <x v="2"/>
    <x v="0"/>
    <x v="3"/>
  </r>
  <r>
    <x v="149"/>
    <x v="11"/>
    <x v="72"/>
    <x v="2"/>
    <x v="54"/>
    <n v="215"/>
    <n v="4.4000000000000004"/>
    <x v="1"/>
    <x v="2"/>
    <x v="0"/>
    <x v="3"/>
  </r>
  <r>
    <x v="150"/>
    <x v="8"/>
    <x v="65"/>
    <x v="3"/>
    <x v="54"/>
    <n v="114"/>
    <n v="3.2"/>
    <x v="1"/>
    <x v="1"/>
    <x v="0"/>
    <x v="3"/>
  </r>
  <r>
    <x v="151"/>
    <x v="8"/>
    <x v="62"/>
    <x v="3"/>
    <x v="54"/>
    <n v="99"/>
    <n v="4.7"/>
    <x v="2"/>
    <x v="0"/>
    <x v="0"/>
    <x v="3"/>
  </r>
  <r>
    <x v="152"/>
    <x v="6"/>
    <x v="59"/>
    <x v="3"/>
    <x v="55"/>
    <n v="23"/>
    <n v="4.8"/>
    <x v="0"/>
    <x v="0"/>
    <x v="0"/>
    <x v="4"/>
  </r>
  <r>
    <x v="153"/>
    <x v="3"/>
    <x v="6"/>
    <x v="4"/>
    <x v="55"/>
    <n v="75"/>
    <n v="2.7"/>
    <x v="0"/>
    <x v="1"/>
    <x v="0"/>
    <x v="4"/>
  </r>
  <r>
    <x v="154"/>
    <x v="8"/>
    <x v="11"/>
    <x v="2"/>
    <x v="55"/>
    <n v="100"/>
    <n v="3.8"/>
    <x v="0"/>
    <x v="2"/>
    <x v="0"/>
    <x v="4"/>
  </r>
  <r>
    <x v="155"/>
    <x v="10"/>
    <x v="32"/>
    <x v="1"/>
    <x v="55"/>
    <n v="108"/>
    <n v="4.3"/>
    <x v="0"/>
    <x v="2"/>
    <x v="0"/>
    <x v="4"/>
  </r>
  <r>
    <x v="156"/>
    <x v="1"/>
    <x v="74"/>
    <x v="1"/>
    <x v="55"/>
    <n v="108"/>
    <n v="5"/>
    <x v="0"/>
    <x v="0"/>
    <x v="0"/>
    <x v="4"/>
  </r>
  <r>
    <x v="157"/>
    <x v="3"/>
    <x v="95"/>
    <x v="1"/>
    <x v="55"/>
    <n v="28"/>
    <n v="4.8"/>
    <x v="0"/>
    <x v="0"/>
    <x v="0"/>
    <x v="4"/>
  </r>
  <r>
    <x v="158"/>
    <x v="9"/>
    <x v="96"/>
    <x v="0"/>
    <x v="56"/>
    <n v="70"/>
    <n v="4.9000000000000004"/>
    <x v="0"/>
    <x v="0"/>
    <x v="0"/>
    <x v="5"/>
  </r>
  <r>
    <x v="159"/>
    <x v="2"/>
    <x v="90"/>
    <x v="0"/>
    <x v="56"/>
    <n v="172"/>
    <n v="4.0999999999999996"/>
    <x v="0"/>
    <x v="2"/>
    <x v="0"/>
    <x v="5"/>
  </r>
  <r>
    <x v="160"/>
    <x v="1"/>
    <x v="97"/>
    <x v="2"/>
    <x v="56"/>
    <n v="123"/>
    <n v="4.4000000000000004"/>
    <x v="0"/>
    <x v="2"/>
    <x v="0"/>
    <x v="5"/>
  </r>
  <r>
    <x v="161"/>
    <x v="1"/>
    <x v="98"/>
    <x v="1"/>
    <x v="56"/>
    <n v="93"/>
    <n v="3.4"/>
    <x v="3"/>
    <x v="1"/>
    <x v="0"/>
    <x v="5"/>
  </r>
  <r>
    <x v="162"/>
    <x v="12"/>
    <x v="99"/>
    <x v="0"/>
    <x v="56"/>
    <n v="66"/>
    <n v="4"/>
    <x v="0"/>
    <x v="2"/>
    <x v="0"/>
    <x v="5"/>
  </r>
  <r>
    <x v="163"/>
    <x v="12"/>
    <x v="37"/>
    <x v="1"/>
    <x v="56"/>
    <n v="39"/>
    <n v="2.4"/>
    <x v="1"/>
    <x v="3"/>
    <x v="0"/>
    <x v="5"/>
  </r>
  <r>
    <x v="164"/>
    <x v="0"/>
    <x v="100"/>
    <x v="4"/>
    <x v="56"/>
    <n v="25"/>
    <n v="2.1"/>
    <x v="3"/>
    <x v="3"/>
    <x v="0"/>
    <x v="5"/>
  </r>
  <r>
    <x v="165"/>
    <x v="13"/>
    <x v="96"/>
    <x v="2"/>
    <x v="56"/>
    <n v="68"/>
    <n v="3"/>
    <x v="0"/>
    <x v="1"/>
    <x v="0"/>
    <x v="5"/>
  </r>
  <r>
    <x v="166"/>
    <x v="2"/>
    <x v="16"/>
    <x v="4"/>
    <x v="56"/>
    <n v="84"/>
    <n v="3.2"/>
    <x v="3"/>
    <x v="1"/>
    <x v="0"/>
    <x v="5"/>
  </r>
  <r>
    <x v="167"/>
    <x v="4"/>
    <x v="12"/>
    <x v="1"/>
    <x v="57"/>
    <n v="88"/>
    <n v="3.4"/>
    <x v="1"/>
    <x v="1"/>
    <x v="0"/>
    <x v="6"/>
  </r>
  <r>
    <x v="168"/>
    <x v="10"/>
    <x v="25"/>
    <x v="2"/>
    <x v="57"/>
    <n v="93"/>
    <n v="2.7"/>
    <x v="0"/>
    <x v="1"/>
    <x v="0"/>
    <x v="6"/>
  </r>
  <r>
    <x v="169"/>
    <x v="1"/>
    <x v="58"/>
    <x v="4"/>
    <x v="57"/>
    <n v="128"/>
    <n v="5"/>
    <x v="0"/>
    <x v="0"/>
    <x v="0"/>
    <x v="6"/>
  </r>
  <r>
    <x v="170"/>
    <x v="2"/>
    <x v="29"/>
    <x v="3"/>
    <x v="57"/>
    <n v="40"/>
    <n v="3.4"/>
    <x v="0"/>
    <x v="1"/>
    <x v="0"/>
    <x v="6"/>
  </r>
  <r>
    <x v="171"/>
    <x v="6"/>
    <x v="101"/>
    <x v="4"/>
    <x v="58"/>
    <n v="92"/>
    <n v="4.7"/>
    <x v="2"/>
    <x v="0"/>
    <x v="0"/>
    <x v="0"/>
  </r>
  <r>
    <x v="172"/>
    <x v="8"/>
    <x v="96"/>
    <x v="1"/>
    <x v="58"/>
    <n v="27"/>
    <n v="4.5"/>
    <x v="0"/>
    <x v="0"/>
    <x v="0"/>
    <x v="0"/>
  </r>
  <r>
    <x v="173"/>
    <x v="5"/>
    <x v="37"/>
    <x v="0"/>
    <x v="58"/>
    <n v="140"/>
    <n v="4.0999999999999996"/>
    <x v="1"/>
    <x v="2"/>
    <x v="0"/>
    <x v="0"/>
  </r>
  <r>
    <x v="174"/>
    <x v="12"/>
    <x v="19"/>
    <x v="2"/>
    <x v="58"/>
    <n v="40"/>
    <n v="5"/>
    <x v="0"/>
    <x v="0"/>
    <x v="0"/>
    <x v="0"/>
  </r>
  <r>
    <x v="175"/>
    <x v="14"/>
    <x v="51"/>
    <x v="4"/>
    <x v="58"/>
    <n v="102"/>
    <n v="4.7"/>
    <x v="0"/>
    <x v="0"/>
    <x v="0"/>
    <x v="0"/>
  </r>
  <r>
    <x v="176"/>
    <x v="5"/>
    <x v="97"/>
    <x v="0"/>
    <x v="58"/>
    <n v="42"/>
    <n v="4.2"/>
    <x v="0"/>
    <x v="2"/>
    <x v="0"/>
    <x v="0"/>
  </r>
  <r>
    <x v="177"/>
    <x v="10"/>
    <x v="93"/>
    <x v="1"/>
    <x v="59"/>
    <n v="210"/>
    <n v="3.9"/>
    <x v="2"/>
    <x v="2"/>
    <x v="0"/>
    <x v="1"/>
  </r>
  <r>
    <x v="178"/>
    <x v="5"/>
    <x v="88"/>
    <x v="2"/>
    <x v="59"/>
    <n v="34"/>
    <n v="3"/>
    <x v="1"/>
    <x v="1"/>
    <x v="0"/>
    <x v="1"/>
  </r>
  <r>
    <x v="179"/>
    <x v="12"/>
    <x v="21"/>
    <x v="3"/>
    <x v="59"/>
    <n v="215"/>
    <n v="3.6"/>
    <x v="0"/>
    <x v="2"/>
    <x v="0"/>
    <x v="1"/>
  </r>
  <r>
    <x v="180"/>
    <x v="9"/>
    <x v="63"/>
    <x v="3"/>
    <x v="59"/>
    <n v="32"/>
    <n v="0.7"/>
    <x v="0"/>
    <x v="5"/>
    <x v="0"/>
    <x v="1"/>
  </r>
  <r>
    <x v="181"/>
    <x v="4"/>
    <x v="86"/>
    <x v="1"/>
    <x v="60"/>
    <n v="48"/>
    <n v="4.7"/>
    <x v="0"/>
    <x v="0"/>
    <x v="0"/>
    <x v="2"/>
  </r>
  <r>
    <x v="182"/>
    <x v="5"/>
    <x v="53"/>
    <x v="1"/>
    <x v="60"/>
    <n v="132"/>
    <n v="4.5"/>
    <x v="0"/>
    <x v="0"/>
    <x v="0"/>
    <x v="2"/>
  </r>
  <r>
    <x v="183"/>
    <x v="8"/>
    <x v="6"/>
    <x v="0"/>
    <x v="60"/>
    <n v="172"/>
    <n v="4.3"/>
    <x v="0"/>
    <x v="2"/>
    <x v="0"/>
    <x v="2"/>
  </r>
  <r>
    <x v="184"/>
    <x v="8"/>
    <x v="29"/>
    <x v="0"/>
    <x v="60"/>
    <n v="111"/>
    <n v="3.4"/>
    <x v="0"/>
    <x v="1"/>
    <x v="0"/>
    <x v="2"/>
  </r>
  <r>
    <x v="185"/>
    <x v="7"/>
    <x v="102"/>
    <x v="0"/>
    <x v="60"/>
    <n v="58"/>
    <n v="3.6"/>
    <x v="0"/>
    <x v="2"/>
    <x v="0"/>
    <x v="2"/>
  </r>
  <r>
    <x v="186"/>
    <x v="7"/>
    <x v="103"/>
    <x v="3"/>
    <x v="60"/>
    <n v="68"/>
    <n v="4"/>
    <x v="2"/>
    <x v="2"/>
    <x v="0"/>
    <x v="2"/>
  </r>
  <r>
    <x v="187"/>
    <x v="8"/>
    <x v="104"/>
    <x v="2"/>
    <x v="60"/>
    <n v="160"/>
    <n v="4.5"/>
    <x v="1"/>
    <x v="0"/>
    <x v="0"/>
    <x v="2"/>
  </r>
  <r>
    <x v="188"/>
    <x v="13"/>
    <x v="24"/>
    <x v="4"/>
    <x v="60"/>
    <n v="45"/>
    <n v="3"/>
    <x v="0"/>
    <x v="1"/>
    <x v="0"/>
    <x v="2"/>
  </r>
  <r>
    <x v="189"/>
    <x v="14"/>
    <x v="6"/>
    <x v="1"/>
    <x v="61"/>
    <n v="117"/>
    <n v="3"/>
    <x v="0"/>
    <x v="1"/>
    <x v="0"/>
    <x v="3"/>
  </r>
  <r>
    <x v="190"/>
    <x v="10"/>
    <x v="105"/>
    <x v="0"/>
    <x v="62"/>
    <n v="22"/>
    <n v="1.6"/>
    <x v="3"/>
    <x v="3"/>
    <x v="0"/>
    <x v="4"/>
  </r>
  <r>
    <x v="191"/>
    <x v="14"/>
    <x v="29"/>
    <x v="4"/>
    <x v="62"/>
    <n v="195"/>
    <n v="3"/>
    <x v="0"/>
    <x v="1"/>
    <x v="0"/>
    <x v="4"/>
  </r>
  <r>
    <x v="192"/>
    <x v="7"/>
    <x v="24"/>
    <x v="2"/>
    <x v="62"/>
    <n v="168"/>
    <n v="3.7"/>
    <x v="0"/>
    <x v="2"/>
    <x v="0"/>
    <x v="4"/>
  </r>
  <r>
    <x v="193"/>
    <x v="5"/>
    <x v="106"/>
    <x v="3"/>
    <x v="63"/>
    <n v="46"/>
    <n v="4.9000000000000004"/>
    <x v="0"/>
    <x v="0"/>
    <x v="0"/>
    <x v="5"/>
  </r>
  <r>
    <x v="194"/>
    <x v="1"/>
    <x v="23"/>
    <x v="0"/>
    <x v="63"/>
    <n v="164"/>
    <n v="3.4"/>
    <x v="1"/>
    <x v="1"/>
    <x v="0"/>
    <x v="5"/>
  </r>
  <r>
    <x v="195"/>
    <x v="5"/>
    <x v="47"/>
    <x v="3"/>
    <x v="63"/>
    <n v="48"/>
    <n v="5"/>
    <x v="0"/>
    <x v="0"/>
    <x v="0"/>
    <x v="5"/>
  </r>
  <r>
    <x v="196"/>
    <x v="2"/>
    <x v="28"/>
    <x v="1"/>
    <x v="63"/>
    <n v="96"/>
    <n v="5"/>
    <x v="0"/>
    <x v="0"/>
    <x v="0"/>
    <x v="5"/>
  </r>
  <r>
    <x v="197"/>
    <x v="5"/>
    <x v="51"/>
    <x v="3"/>
    <x v="63"/>
    <n v="105"/>
    <n v="4"/>
    <x v="0"/>
    <x v="2"/>
    <x v="0"/>
    <x v="5"/>
  </r>
  <r>
    <x v="198"/>
    <x v="1"/>
    <x v="41"/>
    <x v="3"/>
    <x v="64"/>
    <n v="44"/>
    <n v="3.6"/>
    <x v="0"/>
    <x v="2"/>
    <x v="0"/>
    <x v="6"/>
  </r>
  <r>
    <x v="199"/>
    <x v="0"/>
    <x v="107"/>
    <x v="2"/>
    <x v="64"/>
    <n v="132"/>
    <n v="3.7"/>
    <x v="0"/>
    <x v="2"/>
    <x v="0"/>
    <x v="6"/>
  </r>
  <r>
    <x v="200"/>
    <x v="2"/>
    <x v="5"/>
    <x v="0"/>
    <x v="64"/>
    <n v="54"/>
    <n v="4.2"/>
    <x v="0"/>
    <x v="2"/>
    <x v="0"/>
    <x v="6"/>
  </r>
  <r>
    <x v="201"/>
    <x v="13"/>
    <x v="108"/>
    <x v="4"/>
    <x v="64"/>
    <n v="129"/>
    <n v="2.1"/>
    <x v="2"/>
    <x v="3"/>
    <x v="0"/>
    <x v="6"/>
  </r>
  <r>
    <x v="202"/>
    <x v="13"/>
    <x v="47"/>
    <x v="3"/>
    <x v="64"/>
    <n v="42"/>
    <n v="4"/>
    <x v="0"/>
    <x v="2"/>
    <x v="0"/>
    <x v="6"/>
  </r>
  <r>
    <x v="203"/>
    <x v="9"/>
    <x v="45"/>
    <x v="3"/>
    <x v="64"/>
    <n v="42"/>
    <n v="4.2"/>
    <x v="0"/>
    <x v="2"/>
    <x v="0"/>
    <x v="6"/>
  </r>
  <r>
    <x v="204"/>
    <x v="7"/>
    <x v="104"/>
    <x v="0"/>
    <x v="64"/>
    <n v="180"/>
    <n v="3.1"/>
    <x v="1"/>
    <x v="1"/>
    <x v="0"/>
    <x v="6"/>
  </r>
  <r>
    <x v="205"/>
    <x v="4"/>
    <x v="21"/>
    <x v="3"/>
    <x v="65"/>
    <n v="34"/>
    <n v="4.8"/>
    <x v="0"/>
    <x v="0"/>
    <x v="0"/>
    <x v="0"/>
  </r>
  <r>
    <x v="206"/>
    <x v="14"/>
    <x v="91"/>
    <x v="4"/>
    <x v="65"/>
    <n v="29"/>
    <n v="4.7"/>
    <x v="4"/>
    <x v="0"/>
    <x v="0"/>
    <x v="0"/>
  </r>
  <r>
    <x v="207"/>
    <x v="12"/>
    <x v="109"/>
    <x v="1"/>
    <x v="65"/>
    <n v="165"/>
    <n v="3.3"/>
    <x v="2"/>
    <x v="1"/>
    <x v="0"/>
    <x v="0"/>
  </r>
  <r>
    <x v="208"/>
    <x v="14"/>
    <x v="110"/>
    <x v="3"/>
    <x v="66"/>
    <n v="32"/>
    <n v="3.7"/>
    <x v="1"/>
    <x v="2"/>
    <x v="0"/>
    <x v="1"/>
  </r>
  <r>
    <x v="209"/>
    <x v="13"/>
    <x v="84"/>
    <x v="2"/>
    <x v="66"/>
    <n v="160"/>
    <n v="4.9000000000000004"/>
    <x v="0"/>
    <x v="0"/>
    <x v="0"/>
    <x v="1"/>
  </r>
  <r>
    <x v="210"/>
    <x v="7"/>
    <x v="111"/>
    <x v="0"/>
    <x v="66"/>
    <n v="140"/>
    <n v="3.5"/>
    <x v="1"/>
    <x v="2"/>
    <x v="0"/>
    <x v="1"/>
  </r>
  <r>
    <x v="211"/>
    <x v="12"/>
    <x v="61"/>
    <x v="0"/>
    <x v="66"/>
    <n v="136"/>
    <n v="4.4000000000000004"/>
    <x v="1"/>
    <x v="2"/>
    <x v="0"/>
    <x v="1"/>
  </r>
  <r>
    <x v="212"/>
    <x v="2"/>
    <x v="106"/>
    <x v="4"/>
    <x v="66"/>
    <n v="66"/>
    <n v="2.8"/>
    <x v="0"/>
    <x v="1"/>
    <x v="0"/>
    <x v="1"/>
  </r>
  <r>
    <x v="213"/>
    <x v="12"/>
    <x v="112"/>
    <x v="2"/>
    <x v="67"/>
    <n v="63"/>
    <n v="4.0999999999999996"/>
    <x v="3"/>
    <x v="2"/>
    <x v="0"/>
    <x v="2"/>
  </r>
  <r>
    <x v="214"/>
    <x v="0"/>
    <x v="113"/>
    <x v="3"/>
    <x v="67"/>
    <n v="44"/>
    <n v="3.5"/>
    <x v="1"/>
    <x v="2"/>
    <x v="0"/>
    <x v="2"/>
  </r>
  <r>
    <x v="215"/>
    <x v="7"/>
    <x v="16"/>
    <x v="1"/>
    <x v="67"/>
    <n v="78"/>
    <n v="3.8"/>
    <x v="3"/>
    <x v="2"/>
    <x v="0"/>
    <x v="2"/>
  </r>
  <r>
    <x v="216"/>
    <x v="7"/>
    <x v="1"/>
    <x v="3"/>
    <x v="67"/>
    <n v="20"/>
    <n v="3.9"/>
    <x v="0"/>
    <x v="2"/>
    <x v="0"/>
    <x v="2"/>
  </r>
  <r>
    <x v="217"/>
    <x v="14"/>
    <x v="83"/>
    <x v="4"/>
    <x v="67"/>
    <n v="84"/>
    <n v="2.5"/>
    <x v="0"/>
    <x v="1"/>
    <x v="0"/>
    <x v="2"/>
  </r>
  <r>
    <x v="218"/>
    <x v="8"/>
    <x v="2"/>
    <x v="4"/>
    <x v="67"/>
    <n v="32"/>
    <n v="4.9000000000000004"/>
    <x v="0"/>
    <x v="0"/>
    <x v="0"/>
    <x v="2"/>
  </r>
  <r>
    <x v="219"/>
    <x v="9"/>
    <x v="114"/>
    <x v="1"/>
    <x v="67"/>
    <n v="132"/>
    <n v="3.4"/>
    <x v="0"/>
    <x v="1"/>
    <x v="0"/>
    <x v="2"/>
  </r>
  <r>
    <x v="220"/>
    <x v="9"/>
    <x v="47"/>
    <x v="0"/>
    <x v="67"/>
    <n v="105"/>
    <n v="3.3"/>
    <x v="0"/>
    <x v="1"/>
    <x v="0"/>
    <x v="2"/>
  </r>
  <r>
    <x v="221"/>
    <x v="1"/>
    <x v="12"/>
    <x v="3"/>
    <x v="68"/>
    <n v="48"/>
    <n v="4.7"/>
    <x v="1"/>
    <x v="0"/>
    <x v="0"/>
    <x v="3"/>
  </r>
  <r>
    <x v="222"/>
    <x v="7"/>
    <x v="44"/>
    <x v="3"/>
    <x v="68"/>
    <n v="64"/>
    <n v="4"/>
    <x v="2"/>
    <x v="2"/>
    <x v="0"/>
    <x v="3"/>
  </r>
  <r>
    <x v="223"/>
    <x v="10"/>
    <x v="87"/>
    <x v="0"/>
    <x v="68"/>
    <n v="44"/>
    <n v="3.8"/>
    <x v="1"/>
    <x v="2"/>
    <x v="0"/>
    <x v="3"/>
  </r>
  <r>
    <x v="224"/>
    <x v="1"/>
    <x v="68"/>
    <x v="1"/>
    <x v="68"/>
    <n v="120"/>
    <n v="3.1"/>
    <x v="2"/>
    <x v="1"/>
    <x v="0"/>
    <x v="3"/>
  </r>
  <r>
    <x v="225"/>
    <x v="10"/>
    <x v="33"/>
    <x v="1"/>
    <x v="68"/>
    <n v="144"/>
    <n v="4.8"/>
    <x v="0"/>
    <x v="0"/>
    <x v="0"/>
    <x v="3"/>
  </r>
  <r>
    <x v="226"/>
    <x v="9"/>
    <x v="83"/>
    <x v="1"/>
    <x v="68"/>
    <n v="87"/>
    <n v="2.7"/>
    <x v="0"/>
    <x v="1"/>
    <x v="0"/>
    <x v="3"/>
  </r>
  <r>
    <x v="227"/>
    <x v="4"/>
    <x v="115"/>
    <x v="4"/>
    <x v="68"/>
    <n v="36"/>
    <n v="3.6"/>
    <x v="1"/>
    <x v="2"/>
    <x v="0"/>
    <x v="3"/>
  </r>
  <r>
    <x v="228"/>
    <x v="9"/>
    <x v="31"/>
    <x v="3"/>
    <x v="69"/>
    <n v="72"/>
    <n v="4.7"/>
    <x v="0"/>
    <x v="0"/>
    <x v="0"/>
    <x v="4"/>
  </r>
  <r>
    <x v="229"/>
    <x v="13"/>
    <x v="76"/>
    <x v="0"/>
    <x v="69"/>
    <n v="150"/>
    <n v="4.4000000000000004"/>
    <x v="1"/>
    <x v="2"/>
    <x v="0"/>
    <x v="4"/>
  </r>
  <r>
    <x v="230"/>
    <x v="3"/>
    <x v="73"/>
    <x v="1"/>
    <x v="69"/>
    <n v="68"/>
    <n v="4.3"/>
    <x v="2"/>
    <x v="2"/>
    <x v="0"/>
    <x v="4"/>
  </r>
  <r>
    <x v="231"/>
    <x v="1"/>
    <x v="30"/>
    <x v="0"/>
    <x v="69"/>
    <n v="99"/>
    <n v="4.9000000000000004"/>
    <x v="0"/>
    <x v="0"/>
    <x v="0"/>
    <x v="4"/>
  </r>
  <r>
    <x v="232"/>
    <x v="4"/>
    <x v="17"/>
    <x v="1"/>
    <x v="69"/>
    <n v="26"/>
    <n v="4.8"/>
    <x v="2"/>
    <x v="0"/>
    <x v="0"/>
    <x v="4"/>
  </r>
  <r>
    <x v="233"/>
    <x v="9"/>
    <x v="38"/>
    <x v="1"/>
    <x v="69"/>
    <n v="88"/>
    <n v="3.2"/>
    <x v="0"/>
    <x v="1"/>
    <x v="0"/>
    <x v="4"/>
  </r>
  <r>
    <x v="234"/>
    <x v="5"/>
    <x v="41"/>
    <x v="1"/>
    <x v="69"/>
    <n v="124"/>
    <n v="3.4"/>
    <x v="0"/>
    <x v="1"/>
    <x v="0"/>
    <x v="4"/>
  </r>
  <r>
    <x v="235"/>
    <x v="10"/>
    <x v="5"/>
    <x v="1"/>
    <x v="69"/>
    <n v="72"/>
    <n v="3.5"/>
    <x v="0"/>
    <x v="2"/>
    <x v="0"/>
    <x v="4"/>
  </r>
  <r>
    <x v="236"/>
    <x v="0"/>
    <x v="102"/>
    <x v="2"/>
    <x v="70"/>
    <n v="125"/>
    <n v="4.9000000000000004"/>
    <x v="0"/>
    <x v="0"/>
    <x v="0"/>
    <x v="5"/>
  </r>
  <r>
    <x v="237"/>
    <x v="6"/>
    <x v="90"/>
    <x v="0"/>
    <x v="70"/>
    <n v="22"/>
    <n v="4.0999999999999996"/>
    <x v="0"/>
    <x v="2"/>
    <x v="0"/>
    <x v="5"/>
  </r>
  <r>
    <x v="238"/>
    <x v="2"/>
    <x v="34"/>
    <x v="3"/>
    <x v="71"/>
    <n v="70"/>
    <n v="4.9000000000000004"/>
    <x v="0"/>
    <x v="0"/>
    <x v="0"/>
    <x v="6"/>
  </r>
  <r>
    <x v="239"/>
    <x v="11"/>
    <x v="101"/>
    <x v="1"/>
    <x v="71"/>
    <n v="24"/>
    <n v="4.3"/>
    <x v="2"/>
    <x v="2"/>
    <x v="0"/>
    <x v="6"/>
  </r>
  <r>
    <x v="240"/>
    <x v="7"/>
    <x v="29"/>
    <x v="4"/>
    <x v="71"/>
    <n v="32"/>
    <n v="4.0999999999999996"/>
    <x v="0"/>
    <x v="2"/>
    <x v="0"/>
    <x v="6"/>
  </r>
  <r>
    <x v="241"/>
    <x v="13"/>
    <x v="32"/>
    <x v="2"/>
    <x v="71"/>
    <n v="112"/>
    <n v="4.4000000000000004"/>
    <x v="0"/>
    <x v="2"/>
    <x v="0"/>
    <x v="6"/>
  </r>
  <r>
    <x v="242"/>
    <x v="6"/>
    <x v="20"/>
    <x v="1"/>
    <x v="72"/>
    <n v="43"/>
    <n v="4.5"/>
    <x v="2"/>
    <x v="0"/>
    <x v="0"/>
    <x v="0"/>
  </r>
  <r>
    <x v="243"/>
    <x v="10"/>
    <x v="5"/>
    <x v="2"/>
    <x v="72"/>
    <n v="22"/>
    <n v="3.5"/>
    <x v="0"/>
    <x v="2"/>
    <x v="0"/>
    <x v="0"/>
  </r>
  <r>
    <x v="244"/>
    <x v="9"/>
    <x v="116"/>
    <x v="2"/>
    <x v="72"/>
    <n v="93"/>
    <n v="4.4000000000000004"/>
    <x v="1"/>
    <x v="2"/>
    <x v="0"/>
    <x v="0"/>
  </r>
  <r>
    <x v="245"/>
    <x v="6"/>
    <x v="19"/>
    <x v="2"/>
    <x v="72"/>
    <n v="45"/>
    <n v="3.5"/>
    <x v="0"/>
    <x v="2"/>
    <x v="0"/>
    <x v="0"/>
  </r>
  <r>
    <x v="246"/>
    <x v="1"/>
    <x v="117"/>
    <x v="2"/>
    <x v="73"/>
    <n v="96"/>
    <n v="3.8"/>
    <x v="1"/>
    <x v="2"/>
    <x v="0"/>
    <x v="1"/>
  </r>
  <r>
    <x v="247"/>
    <x v="1"/>
    <x v="34"/>
    <x v="1"/>
    <x v="73"/>
    <n v="96"/>
    <n v="3.3"/>
    <x v="0"/>
    <x v="1"/>
    <x v="0"/>
    <x v="1"/>
  </r>
  <r>
    <x v="248"/>
    <x v="2"/>
    <x v="108"/>
    <x v="0"/>
    <x v="73"/>
    <n v="31"/>
    <n v="4.4000000000000004"/>
    <x v="2"/>
    <x v="2"/>
    <x v="0"/>
    <x v="1"/>
  </r>
  <r>
    <x v="249"/>
    <x v="4"/>
    <x v="13"/>
    <x v="1"/>
    <x v="73"/>
    <n v="200"/>
    <n v="3.9"/>
    <x v="2"/>
    <x v="2"/>
    <x v="0"/>
    <x v="1"/>
  </r>
  <r>
    <x v="250"/>
    <x v="1"/>
    <x v="71"/>
    <x v="0"/>
    <x v="73"/>
    <n v="99"/>
    <n v="2.7"/>
    <x v="2"/>
    <x v="1"/>
    <x v="0"/>
    <x v="1"/>
  </r>
  <r>
    <x v="251"/>
    <x v="3"/>
    <x v="118"/>
    <x v="4"/>
    <x v="73"/>
    <n v="144"/>
    <n v="2.9"/>
    <x v="0"/>
    <x v="1"/>
    <x v="0"/>
    <x v="1"/>
  </r>
  <r>
    <x v="252"/>
    <x v="2"/>
    <x v="9"/>
    <x v="2"/>
    <x v="74"/>
    <n v="81"/>
    <n v="4"/>
    <x v="0"/>
    <x v="2"/>
    <x v="0"/>
    <x v="2"/>
  </r>
  <r>
    <x v="253"/>
    <x v="3"/>
    <x v="23"/>
    <x v="4"/>
    <x v="74"/>
    <n v="70"/>
    <n v="4.4000000000000004"/>
    <x v="1"/>
    <x v="2"/>
    <x v="0"/>
    <x v="2"/>
  </r>
  <r>
    <x v="254"/>
    <x v="1"/>
    <x v="47"/>
    <x v="4"/>
    <x v="74"/>
    <n v="148"/>
    <n v="5"/>
    <x v="0"/>
    <x v="0"/>
    <x v="0"/>
    <x v="2"/>
  </r>
  <r>
    <x v="255"/>
    <x v="5"/>
    <x v="44"/>
    <x v="2"/>
    <x v="74"/>
    <n v="215"/>
    <n v="4.0999999999999996"/>
    <x v="2"/>
    <x v="2"/>
    <x v="0"/>
    <x v="2"/>
  </r>
  <r>
    <x v="256"/>
    <x v="5"/>
    <x v="111"/>
    <x v="1"/>
    <x v="74"/>
    <n v="124"/>
    <n v="4.4000000000000004"/>
    <x v="1"/>
    <x v="2"/>
    <x v="0"/>
    <x v="2"/>
  </r>
  <r>
    <x v="257"/>
    <x v="10"/>
    <x v="97"/>
    <x v="3"/>
    <x v="74"/>
    <n v="168"/>
    <n v="4.0999999999999996"/>
    <x v="0"/>
    <x v="2"/>
    <x v="0"/>
    <x v="2"/>
  </r>
  <r>
    <x v="258"/>
    <x v="12"/>
    <x v="85"/>
    <x v="0"/>
    <x v="74"/>
    <n v="90"/>
    <n v="4.5"/>
    <x v="1"/>
    <x v="0"/>
    <x v="0"/>
    <x v="2"/>
  </r>
  <r>
    <x v="259"/>
    <x v="12"/>
    <x v="20"/>
    <x v="2"/>
    <x v="75"/>
    <n v="176"/>
    <n v="4.2"/>
    <x v="2"/>
    <x v="2"/>
    <x v="0"/>
    <x v="3"/>
  </r>
  <r>
    <x v="260"/>
    <x v="4"/>
    <x v="47"/>
    <x v="4"/>
    <x v="75"/>
    <n v="87"/>
    <n v="4.5999999999999996"/>
    <x v="0"/>
    <x v="0"/>
    <x v="0"/>
    <x v="3"/>
  </r>
  <r>
    <x v="261"/>
    <x v="9"/>
    <x v="44"/>
    <x v="1"/>
    <x v="75"/>
    <n v="128"/>
    <n v="4.5"/>
    <x v="2"/>
    <x v="0"/>
    <x v="0"/>
    <x v="3"/>
  </r>
  <r>
    <x v="262"/>
    <x v="14"/>
    <x v="92"/>
    <x v="4"/>
    <x v="75"/>
    <n v="120"/>
    <n v="4.0999999999999996"/>
    <x v="1"/>
    <x v="2"/>
    <x v="0"/>
    <x v="3"/>
  </r>
  <r>
    <x v="263"/>
    <x v="8"/>
    <x v="58"/>
    <x v="3"/>
    <x v="75"/>
    <n v="130"/>
    <n v="4.8"/>
    <x v="0"/>
    <x v="0"/>
    <x v="0"/>
    <x v="3"/>
  </r>
  <r>
    <x v="264"/>
    <x v="11"/>
    <x v="85"/>
    <x v="1"/>
    <x v="75"/>
    <n v="172"/>
    <n v="3.1"/>
    <x v="1"/>
    <x v="1"/>
    <x v="0"/>
    <x v="3"/>
  </r>
  <r>
    <x v="265"/>
    <x v="6"/>
    <x v="37"/>
    <x v="1"/>
    <x v="75"/>
    <n v="58"/>
    <n v="4.9000000000000004"/>
    <x v="1"/>
    <x v="0"/>
    <x v="0"/>
    <x v="3"/>
  </r>
  <r>
    <x v="266"/>
    <x v="5"/>
    <x v="75"/>
    <x v="3"/>
    <x v="76"/>
    <n v="86"/>
    <n v="4.0999999999999996"/>
    <x v="0"/>
    <x v="2"/>
    <x v="0"/>
    <x v="4"/>
  </r>
  <r>
    <x v="267"/>
    <x v="12"/>
    <x v="113"/>
    <x v="3"/>
    <x v="77"/>
    <n v="31"/>
    <n v="4.4000000000000004"/>
    <x v="1"/>
    <x v="2"/>
    <x v="0"/>
    <x v="5"/>
  </r>
  <r>
    <x v="268"/>
    <x v="2"/>
    <x v="107"/>
    <x v="4"/>
    <x v="77"/>
    <n v="72"/>
    <n v="4.4000000000000004"/>
    <x v="0"/>
    <x v="2"/>
    <x v="0"/>
    <x v="5"/>
  </r>
  <r>
    <x v="269"/>
    <x v="12"/>
    <x v="119"/>
    <x v="0"/>
    <x v="78"/>
    <n v="27"/>
    <n v="3"/>
    <x v="1"/>
    <x v="1"/>
    <x v="0"/>
    <x v="6"/>
  </r>
  <r>
    <x v="270"/>
    <x v="14"/>
    <x v="77"/>
    <x v="1"/>
    <x v="78"/>
    <n v="110"/>
    <n v="4.4000000000000004"/>
    <x v="0"/>
    <x v="2"/>
    <x v="0"/>
    <x v="6"/>
  </r>
  <r>
    <x v="271"/>
    <x v="10"/>
    <x v="53"/>
    <x v="4"/>
    <x v="78"/>
    <n v="126"/>
    <n v="3.7"/>
    <x v="0"/>
    <x v="2"/>
    <x v="0"/>
    <x v="6"/>
  </r>
  <r>
    <x v="272"/>
    <x v="9"/>
    <x v="40"/>
    <x v="0"/>
    <x v="78"/>
    <n v="60"/>
    <n v="3.9"/>
    <x v="1"/>
    <x v="2"/>
    <x v="0"/>
    <x v="6"/>
  </r>
  <r>
    <x v="273"/>
    <x v="12"/>
    <x v="82"/>
    <x v="4"/>
    <x v="78"/>
    <n v="35"/>
    <n v="3.5"/>
    <x v="2"/>
    <x v="2"/>
    <x v="0"/>
    <x v="6"/>
  </r>
  <r>
    <x v="274"/>
    <x v="1"/>
    <x v="97"/>
    <x v="1"/>
    <x v="78"/>
    <n v="81"/>
    <n v="3.5"/>
    <x v="0"/>
    <x v="2"/>
    <x v="0"/>
    <x v="6"/>
  </r>
  <r>
    <x v="275"/>
    <x v="0"/>
    <x v="27"/>
    <x v="0"/>
    <x v="78"/>
    <n v="116"/>
    <n v="3.4"/>
    <x v="1"/>
    <x v="1"/>
    <x v="0"/>
    <x v="6"/>
  </r>
  <r>
    <x v="276"/>
    <x v="4"/>
    <x v="120"/>
    <x v="2"/>
    <x v="78"/>
    <n v="60"/>
    <n v="4.5"/>
    <x v="1"/>
    <x v="0"/>
    <x v="0"/>
    <x v="6"/>
  </r>
  <r>
    <x v="277"/>
    <x v="10"/>
    <x v="121"/>
    <x v="0"/>
    <x v="79"/>
    <n v="130"/>
    <n v="4.2"/>
    <x v="0"/>
    <x v="2"/>
    <x v="0"/>
    <x v="0"/>
  </r>
  <r>
    <x v="278"/>
    <x v="7"/>
    <x v="46"/>
    <x v="3"/>
    <x v="79"/>
    <n v="99"/>
    <n v="5"/>
    <x v="0"/>
    <x v="0"/>
    <x v="0"/>
    <x v="0"/>
  </r>
  <r>
    <x v="279"/>
    <x v="11"/>
    <x v="29"/>
    <x v="1"/>
    <x v="79"/>
    <n v="135"/>
    <n v="4.7"/>
    <x v="0"/>
    <x v="0"/>
    <x v="0"/>
    <x v="0"/>
  </r>
  <r>
    <x v="280"/>
    <x v="1"/>
    <x v="6"/>
    <x v="0"/>
    <x v="79"/>
    <n v="42"/>
    <n v="2.8"/>
    <x v="0"/>
    <x v="1"/>
    <x v="0"/>
    <x v="0"/>
  </r>
  <r>
    <x v="281"/>
    <x v="10"/>
    <x v="0"/>
    <x v="3"/>
    <x v="80"/>
    <n v="63"/>
    <n v="3.4"/>
    <x v="0"/>
    <x v="1"/>
    <x v="0"/>
    <x v="1"/>
  </r>
  <r>
    <x v="282"/>
    <x v="5"/>
    <x v="84"/>
    <x v="2"/>
    <x v="80"/>
    <n v="140"/>
    <n v="1.8"/>
    <x v="0"/>
    <x v="3"/>
    <x v="0"/>
    <x v="1"/>
  </r>
  <r>
    <x v="283"/>
    <x v="12"/>
    <x v="117"/>
    <x v="1"/>
    <x v="80"/>
    <n v="128"/>
    <n v="4.2"/>
    <x v="1"/>
    <x v="2"/>
    <x v="0"/>
    <x v="1"/>
  </r>
  <r>
    <x v="284"/>
    <x v="8"/>
    <x v="56"/>
    <x v="4"/>
    <x v="80"/>
    <n v="80"/>
    <n v="4.4000000000000004"/>
    <x v="1"/>
    <x v="2"/>
    <x v="0"/>
    <x v="1"/>
  </r>
  <r>
    <x v="285"/>
    <x v="4"/>
    <x v="48"/>
    <x v="3"/>
    <x v="80"/>
    <n v="28"/>
    <n v="2.7"/>
    <x v="0"/>
    <x v="1"/>
    <x v="0"/>
    <x v="1"/>
  </r>
  <r>
    <x v="286"/>
    <x v="11"/>
    <x v="122"/>
    <x v="2"/>
    <x v="81"/>
    <n v="81"/>
    <n v="5"/>
    <x v="2"/>
    <x v="0"/>
    <x v="0"/>
    <x v="2"/>
  </r>
  <r>
    <x v="287"/>
    <x v="1"/>
    <x v="76"/>
    <x v="1"/>
    <x v="81"/>
    <n v="99"/>
    <n v="3.9"/>
    <x v="1"/>
    <x v="2"/>
    <x v="0"/>
    <x v="2"/>
  </r>
  <r>
    <x v="288"/>
    <x v="5"/>
    <x v="67"/>
    <x v="1"/>
    <x v="81"/>
    <n v="43"/>
    <n v="3.8"/>
    <x v="0"/>
    <x v="2"/>
    <x v="0"/>
    <x v="2"/>
  </r>
  <r>
    <x v="289"/>
    <x v="7"/>
    <x v="101"/>
    <x v="1"/>
    <x v="81"/>
    <n v="34"/>
    <n v="4.5999999999999996"/>
    <x v="2"/>
    <x v="0"/>
    <x v="0"/>
    <x v="2"/>
  </r>
  <r>
    <x v="290"/>
    <x v="5"/>
    <x v="108"/>
    <x v="2"/>
    <x v="81"/>
    <n v="225"/>
    <n v="4.5999999999999996"/>
    <x v="2"/>
    <x v="0"/>
    <x v="0"/>
    <x v="2"/>
  </r>
  <r>
    <x v="291"/>
    <x v="11"/>
    <x v="44"/>
    <x v="4"/>
    <x v="81"/>
    <n v="210"/>
    <n v="4.5"/>
    <x v="2"/>
    <x v="0"/>
    <x v="0"/>
    <x v="2"/>
  </r>
  <r>
    <x v="292"/>
    <x v="12"/>
    <x v="78"/>
    <x v="1"/>
    <x v="81"/>
    <n v="168"/>
    <n v="4.2"/>
    <x v="3"/>
    <x v="2"/>
    <x v="0"/>
    <x v="2"/>
  </r>
  <r>
    <x v="293"/>
    <x v="7"/>
    <x v="47"/>
    <x v="0"/>
    <x v="82"/>
    <n v="82"/>
    <n v="4.5"/>
    <x v="0"/>
    <x v="0"/>
    <x v="0"/>
    <x v="3"/>
  </r>
  <r>
    <x v="294"/>
    <x v="2"/>
    <x v="108"/>
    <x v="3"/>
    <x v="82"/>
    <n v="88"/>
    <n v="4.0999999999999996"/>
    <x v="2"/>
    <x v="2"/>
    <x v="0"/>
    <x v="3"/>
  </r>
  <r>
    <x v="295"/>
    <x v="14"/>
    <x v="48"/>
    <x v="0"/>
    <x v="82"/>
    <n v="111"/>
    <n v="3.3"/>
    <x v="0"/>
    <x v="1"/>
    <x v="0"/>
    <x v="3"/>
  </r>
  <r>
    <x v="296"/>
    <x v="13"/>
    <x v="3"/>
    <x v="4"/>
    <x v="82"/>
    <n v="60"/>
    <n v="3.8"/>
    <x v="1"/>
    <x v="2"/>
    <x v="0"/>
    <x v="3"/>
  </r>
  <r>
    <x v="297"/>
    <x v="4"/>
    <x v="4"/>
    <x v="0"/>
    <x v="82"/>
    <n v="80"/>
    <n v="3"/>
    <x v="2"/>
    <x v="1"/>
    <x v="0"/>
    <x v="3"/>
  </r>
  <r>
    <x v="298"/>
    <x v="13"/>
    <x v="34"/>
    <x v="2"/>
    <x v="83"/>
    <n v="90"/>
    <n v="4.5999999999999996"/>
    <x v="0"/>
    <x v="0"/>
    <x v="0"/>
    <x v="5"/>
  </r>
  <r>
    <x v="299"/>
    <x v="9"/>
    <x v="69"/>
    <x v="0"/>
    <x v="83"/>
    <n v="225"/>
    <n v="2.9"/>
    <x v="0"/>
    <x v="1"/>
    <x v="0"/>
    <x v="5"/>
  </r>
  <r>
    <x v="300"/>
    <x v="0"/>
    <x v="73"/>
    <x v="1"/>
    <x v="84"/>
    <n v="215"/>
    <n v="3.2"/>
    <x v="2"/>
    <x v="1"/>
    <x v="0"/>
    <x v="6"/>
  </r>
  <r>
    <x v="301"/>
    <x v="3"/>
    <x v="60"/>
    <x v="2"/>
    <x v="84"/>
    <n v="45"/>
    <n v="1.5"/>
    <x v="2"/>
    <x v="3"/>
    <x v="0"/>
    <x v="6"/>
  </r>
  <r>
    <x v="302"/>
    <x v="6"/>
    <x v="15"/>
    <x v="1"/>
    <x v="84"/>
    <n v="74"/>
    <n v="4"/>
    <x v="0"/>
    <x v="2"/>
    <x v="0"/>
    <x v="6"/>
  </r>
  <r>
    <x v="303"/>
    <x v="2"/>
    <x v="105"/>
    <x v="2"/>
    <x v="84"/>
    <n v="60"/>
    <n v="3.6"/>
    <x v="3"/>
    <x v="2"/>
    <x v="0"/>
    <x v="6"/>
  </r>
  <r>
    <x v="304"/>
    <x v="7"/>
    <x v="83"/>
    <x v="1"/>
    <x v="84"/>
    <n v="64"/>
    <n v="3.7"/>
    <x v="0"/>
    <x v="2"/>
    <x v="0"/>
    <x v="6"/>
  </r>
  <r>
    <x v="305"/>
    <x v="12"/>
    <x v="51"/>
    <x v="0"/>
    <x v="85"/>
    <n v="110"/>
    <n v="4.8"/>
    <x v="0"/>
    <x v="0"/>
    <x v="0"/>
    <x v="0"/>
  </r>
  <r>
    <x v="306"/>
    <x v="1"/>
    <x v="48"/>
    <x v="4"/>
    <x v="85"/>
    <n v="52"/>
    <n v="1.2"/>
    <x v="0"/>
    <x v="5"/>
    <x v="0"/>
    <x v="0"/>
  </r>
  <r>
    <x v="307"/>
    <x v="2"/>
    <x v="22"/>
    <x v="3"/>
    <x v="86"/>
    <n v="160"/>
    <n v="4.7"/>
    <x v="0"/>
    <x v="0"/>
    <x v="0"/>
    <x v="1"/>
  </r>
  <r>
    <x v="308"/>
    <x v="10"/>
    <x v="65"/>
    <x v="3"/>
    <x v="86"/>
    <n v="215"/>
    <n v="4.7"/>
    <x v="1"/>
    <x v="0"/>
    <x v="0"/>
    <x v="1"/>
  </r>
  <r>
    <x v="309"/>
    <x v="10"/>
    <x v="101"/>
    <x v="4"/>
    <x v="86"/>
    <n v="220"/>
    <n v="4.5"/>
    <x v="2"/>
    <x v="0"/>
    <x v="0"/>
    <x v="1"/>
  </r>
  <r>
    <x v="310"/>
    <x v="6"/>
    <x v="75"/>
    <x v="1"/>
    <x v="87"/>
    <n v="175"/>
    <n v="3.5"/>
    <x v="0"/>
    <x v="2"/>
    <x v="0"/>
    <x v="2"/>
  </r>
  <r>
    <x v="311"/>
    <x v="12"/>
    <x v="32"/>
    <x v="1"/>
    <x v="87"/>
    <n v="145"/>
    <n v="4.0999999999999996"/>
    <x v="0"/>
    <x v="2"/>
    <x v="0"/>
    <x v="2"/>
  </r>
  <r>
    <x v="312"/>
    <x v="3"/>
    <x v="123"/>
    <x v="2"/>
    <x v="87"/>
    <n v="72"/>
    <n v="4.4000000000000004"/>
    <x v="1"/>
    <x v="2"/>
    <x v="0"/>
    <x v="2"/>
  </r>
  <r>
    <x v="313"/>
    <x v="5"/>
    <x v="18"/>
    <x v="1"/>
    <x v="88"/>
    <n v="81"/>
    <n v="3.6"/>
    <x v="2"/>
    <x v="2"/>
    <x v="0"/>
    <x v="3"/>
  </r>
  <r>
    <x v="314"/>
    <x v="11"/>
    <x v="49"/>
    <x v="4"/>
    <x v="88"/>
    <n v="54"/>
    <n v="4.0999999999999996"/>
    <x v="1"/>
    <x v="2"/>
    <x v="0"/>
    <x v="3"/>
  </r>
  <r>
    <x v="315"/>
    <x v="7"/>
    <x v="124"/>
    <x v="2"/>
    <x v="88"/>
    <n v="105"/>
    <n v="4.8"/>
    <x v="3"/>
    <x v="0"/>
    <x v="0"/>
    <x v="3"/>
  </r>
  <r>
    <x v="316"/>
    <x v="11"/>
    <x v="55"/>
    <x v="1"/>
    <x v="89"/>
    <n v="176"/>
    <n v="3.9"/>
    <x v="1"/>
    <x v="2"/>
    <x v="0"/>
    <x v="4"/>
  </r>
  <r>
    <x v="317"/>
    <x v="2"/>
    <x v="99"/>
    <x v="1"/>
    <x v="89"/>
    <n v="115"/>
    <n v="3.8"/>
    <x v="0"/>
    <x v="2"/>
    <x v="0"/>
    <x v="4"/>
  </r>
  <r>
    <x v="318"/>
    <x v="10"/>
    <x v="73"/>
    <x v="0"/>
    <x v="89"/>
    <n v="116"/>
    <n v="3.9"/>
    <x v="2"/>
    <x v="2"/>
    <x v="0"/>
    <x v="4"/>
  </r>
  <r>
    <x v="319"/>
    <x v="10"/>
    <x v="120"/>
    <x v="4"/>
    <x v="89"/>
    <n v="100"/>
    <n v="4.0999999999999996"/>
    <x v="1"/>
    <x v="2"/>
    <x v="0"/>
    <x v="4"/>
  </r>
  <r>
    <x v="320"/>
    <x v="9"/>
    <x v="50"/>
    <x v="4"/>
    <x v="90"/>
    <n v="36"/>
    <n v="2.2000000000000002"/>
    <x v="0"/>
    <x v="3"/>
    <x v="0"/>
    <x v="5"/>
  </r>
  <r>
    <x v="321"/>
    <x v="13"/>
    <x v="95"/>
    <x v="4"/>
    <x v="90"/>
    <n v="114"/>
    <n v="5"/>
    <x v="0"/>
    <x v="0"/>
    <x v="0"/>
    <x v="5"/>
  </r>
  <r>
    <x v="322"/>
    <x v="13"/>
    <x v="125"/>
    <x v="0"/>
    <x v="90"/>
    <n v="24"/>
    <n v="3.8"/>
    <x v="1"/>
    <x v="2"/>
    <x v="0"/>
    <x v="5"/>
  </r>
  <r>
    <x v="323"/>
    <x v="5"/>
    <x v="126"/>
    <x v="1"/>
    <x v="90"/>
    <n v="135"/>
    <n v="4.5999999999999996"/>
    <x v="2"/>
    <x v="0"/>
    <x v="0"/>
    <x v="5"/>
  </r>
  <r>
    <x v="324"/>
    <x v="11"/>
    <x v="33"/>
    <x v="1"/>
    <x v="90"/>
    <n v="30"/>
    <n v="4"/>
    <x v="0"/>
    <x v="2"/>
    <x v="0"/>
    <x v="5"/>
  </r>
  <r>
    <x v="325"/>
    <x v="1"/>
    <x v="29"/>
    <x v="1"/>
    <x v="90"/>
    <n v="84"/>
    <n v="2.8"/>
    <x v="0"/>
    <x v="1"/>
    <x v="0"/>
    <x v="5"/>
  </r>
  <r>
    <x v="326"/>
    <x v="14"/>
    <x v="95"/>
    <x v="3"/>
    <x v="90"/>
    <n v="42"/>
    <n v="4.4000000000000004"/>
    <x v="0"/>
    <x v="2"/>
    <x v="0"/>
    <x v="5"/>
  </r>
  <r>
    <x v="327"/>
    <x v="9"/>
    <x v="124"/>
    <x v="4"/>
    <x v="90"/>
    <n v="117"/>
    <n v="2.4"/>
    <x v="3"/>
    <x v="3"/>
    <x v="0"/>
    <x v="5"/>
  </r>
  <r>
    <x v="328"/>
    <x v="6"/>
    <x v="38"/>
    <x v="2"/>
    <x v="90"/>
    <n v="164"/>
    <n v="4"/>
    <x v="0"/>
    <x v="2"/>
    <x v="0"/>
    <x v="5"/>
  </r>
  <r>
    <x v="329"/>
    <x v="13"/>
    <x v="48"/>
    <x v="3"/>
    <x v="91"/>
    <n v="123"/>
    <n v="4.4000000000000004"/>
    <x v="0"/>
    <x v="2"/>
    <x v="0"/>
    <x v="6"/>
  </r>
  <r>
    <x v="330"/>
    <x v="4"/>
    <x v="4"/>
    <x v="0"/>
    <x v="91"/>
    <n v="172"/>
    <n v="2.9"/>
    <x v="2"/>
    <x v="1"/>
    <x v="0"/>
    <x v="6"/>
  </r>
  <r>
    <x v="331"/>
    <x v="12"/>
    <x v="127"/>
    <x v="4"/>
    <x v="91"/>
    <n v="20"/>
    <n v="4.8"/>
    <x v="4"/>
    <x v="0"/>
    <x v="0"/>
    <x v="6"/>
  </r>
  <r>
    <x v="332"/>
    <x v="13"/>
    <x v="43"/>
    <x v="0"/>
    <x v="91"/>
    <n v="72"/>
    <n v="3.7"/>
    <x v="1"/>
    <x v="2"/>
    <x v="0"/>
    <x v="6"/>
  </r>
  <r>
    <x v="333"/>
    <x v="2"/>
    <x v="33"/>
    <x v="1"/>
    <x v="91"/>
    <n v="32"/>
    <n v="4.8"/>
    <x v="0"/>
    <x v="0"/>
    <x v="0"/>
    <x v="6"/>
  </r>
  <r>
    <x v="334"/>
    <x v="9"/>
    <x v="114"/>
    <x v="3"/>
    <x v="91"/>
    <n v="140"/>
    <n v="3.2"/>
    <x v="0"/>
    <x v="1"/>
    <x v="0"/>
    <x v="6"/>
  </r>
  <r>
    <x v="335"/>
    <x v="2"/>
    <x v="42"/>
    <x v="1"/>
    <x v="92"/>
    <n v="120"/>
    <n v="4.9000000000000004"/>
    <x v="0"/>
    <x v="0"/>
    <x v="0"/>
    <x v="0"/>
  </r>
  <r>
    <x v="336"/>
    <x v="11"/>
    <x v="124"/>
    <x v="1"/>
    <x v="92"/>
    <n v="86"/>
    <n v="2.2000000000000002"/>
    <x v="3"/>
    <x v="3"/>
    <x v="0"/>
    <x v="0"/>
  </r>
  <r>
    <x v="337"/>
    <x v="1"/>
    <x v="53"/>
    <x v="1"/>
    <x v="92"/>
    <n v="132"/>
    <n v="5"/>
    <x v="0"/>
    <x v="0"/>
    <x v="0"/>
    <x v="0"/>
  </r>
  <r>
    <x v="338"/>
    <x v="10"/>
    <x v="90"/>
    <x v="1"/>
    <x v="92"/>
    <n v="80"/>
    <n v="3.3"/>
    <x v="0"/>
    <x v="1"/>
    <x v="0"/>
    <x v="0"/>
  </r>
  <r>
    <x v="339"/>
    <x v="8"/>
    <x v="68"/>
    <x v="0"/>
    <x v="92"/>
    <n v="132"/>
    <n v="3.7"/>
    <x v="2"/>
    <x v="2"/>
    <x v="0"/>
    <x v="0"/>
  </r>
  <r>
    <x v="340"/>
    <x v="2"/>
    <x v="71"/>
    <x v="3"/>
    <x v="92"/>
    <n v="27"/>
    <n v="3.7"/>
    <x v="2"/>
    <x v="2"/>
    <x v="0"/>
    <x v="0"/>
  </r>
  <r>
    <x v="341"/>
    <x v="6"/>
    <x v="38"/>
    <x v="3"/>
    <x v="93"/>
    <n v="68"/>
    <n v="3.6"/>
    <x v="0"/>
    <x v="2"/>
    <x v="0"/>
    <x v="1"/>
  </r>
  <r>
    <x v="342"/>
    <x v="8"/>
    <x v="0"/>
    <x v="1"/>
    <x v="93"/>
    <n v="22"/>
    <n v="4.7"/>
    <x v="0"/>
    <x v="0"/>
    <x v="0"/>
    <x v="1"/>
  </r>
  <r>
    <x v="343"/>
    <x v="11"/>
    <x v="15"/>
    <x v="3"/>
    <x v="93"/>
    <n v="42"/>
    <n v="3.1"/>
    <x v="0"/>
    <x v="1"/>
    <x v="0"/>
    <x v="1"/>
  </r>
  <r>
    <x v="344"/>
    <x v="6"/>
    <x v="5"/>
    <x v="3"/>
    <x v="94"/>
    <n v="38"/>
    <n v="3.3"/>
    <x v="0"/>
    <x v="1"/>
    <x v="0"/>
    <x v="2"/>
  </r>
  <r>
    <x v="345"/>
    <x v="12"/>
    <x v="128"/>
    <x v="3"/>
    <x v="94"/>
    <n v="42"/>
    <n v="4.5"/>
    <x v="1"/>
    <x v="0"/>
    <x v="0"/>
    <x v="2"/>
  </r>
  <r>
    <x v="346"/>
    <x v="5"/>
    <x v="129"/>
    <x v="0"/>
    <x v="94"/>
    <n v="75"/>
    <n v="3.9"/>
    <x v="3"/>
    <x v="2"/>
    <x v="0"/>
    <x v="2"/>
  </r>
  <r>
    <x v="347"/>
    <x v="12"/>
    <x v="93"/>
    <x v="4"/>
    <x v="95"/>
    <n v="23"/>
    <n v="4.9000000000000004"/>
    <x v="2"/>
    <x v="0"/>
    <x v="0"/>
    <x v="3"/>
  </r>
  <r>
    <x v="348"/>
    <x v="12"/>
    <x v="34"/>
    <x v="0"/>
    <x v="95"/>
    <n v="200"/>
    <n v="4.8"/>
    <x v="0"/>
    <x v="0"/>
    <x v="0"/>
    <x v="3"/>
  </r>
  <r>
    <x v="349"/>
    <x v="3"/>
    <x v="21"/>
    <x v="1"/>
    <x v="96"/>
    <n v="45"/>
    <n v="3.6"/>
    <x v="0"/>
    <x v="2"/>
    <x v="0"/>
    <x v="4"/>
  </r>
  <r>
    <x v="350"/>
    <x v="11"/>
    <x v="54"/>
    <x v="1"/>
    <x v="96"/>
    <n v="105"/>
    <n v="3.5"/>
    <x v="2"/>
    <x v="2"/>
    <x v="0"/>
    <x v="4"/>
  </r>
  <r>
    <x v="351"/>
    <x v="4"/>
    <x v="11"/>
    <x v="1"/>
    <x v="96"/>
    <n v="22"/>
    <n v="3.8"/>
    <x v="0"/>
    <x v="2"/>
    <x v="0"/>
    <x v="4"/>
  </r>
  <r>
    <x v="352"/>
    <x v="7"/>
    <x v="59"/>
    <x v="3"/>
    <x v="97"/>
    <n v="126"/>
    <n v="4.4000000000000004"/>
    <x v="0"/>
    <x v="2"/>
    <x v="0"/>
    <x v="5"/>
  </r>
  <r>
    <x v="353"/>
    <x v="10"/>
    <x v="19"/>
    <x v="3"/>
    <x v="97"/>
    <n v="35"/>
    <n v="3"/>
    <x v="0"/>
    <x v="1"/>
    <x v="0"/>
    <x v="5"/>
  </r>
  <r>
    <x v="354"/>
    <x v="2"/>
    <x v="130"/>
    <x v="1"/>
    <x v="97"/>
    <n v="84"/>
    <n v="4.5"/>
    <x v="0"/>
    <x v="0"/>
    <x v="0"/>
    <x v="5"/>
  </r>
  <r>
    <x v="355"/>
    <x v="14"/>
    <x v="19"/>
    <x v="1"/>
    <x v="98"/>
    <n v="172"/>
    <n v="4.5"/>
    <x v="0"/>
    <x v="0"/>
    <x v="0"/>
    <x v="6"/>
  </r>
  <r>
    <x v="356"/>
    <x v="7"/>
    <x v="12"/>
    <x v="0"/>
    <x v="98"/>
    <n v="114"/>
    <n v="4"/>
    <x v="1"/>
    <x v="2"/>
    <x v="0"/>
    <x v="6"/>
  </r>
  <r>
    <x v="357"/>
    <x v="14"/>
    <x v="9"/>
    <x v="0"/>
    <x v="98"/>
    <n v="60"/>
    <n v="3.8"/>
    <x v="0"/>
    <x v="2"/>
    <x v="0"/>
    <x v="6"/>
  </r>
  <r>
    <x v="358"/>
    <x v="13"/>
    <x v="131"/>
    <x v="2"/>
    <x v="98"/>
    <n v="26"/>
    <n v="3.3"/>
    <x v="0"/>
    <x v="1"/>
    <x v="0"/>
    <x v="6"/>
  </r>
  <r>
    <x v="359"/>
    <x v="5"/>
    <x v="132"/>
    <x v="1"/>
    <x v="98"/>
    <n v="210"/>
    <n v="4.3"/>
    <x v="0"/>
    <x v="2"/>
    <x v="0"/>
    <x v="6"/>
  </r>
  <r>
    <x v="360"/>
    <x v="9"/>
    <x v="106"/>
    <x v="0"/>
    <x v="98"/>
    <n v="129"/>
    <n v="4.2"/>
    <x v="0"/>
    <x v="2"/>
    <x v="0"/>
    <x v="6"/>
  </r>
  <r>
    <x v="361"/>
    <x v="10"/>
    <x v="71"/>
    <x v="2"/>
    <x v="98"/>
    <n v="215"/>
    <n v="4.3"/>
    <x v="2"/>
    <x v="2"/>
    <x v="0"/>
    <x v="6"/>
  </r>
  <r>
    <x v="362"/>
    <x v="13"/>
    <x v="133"/>
    <x v="4"/>
    <x v="98"/>
    <n v="69"/>
    <n v="4.5999999999999996"/>
    <x v="3"/>
    <x v="0"/>
    <x v="0"/>
    <x v="6"/>
  </r>
  <r>
    <x v="363"/>
    <x v="10"/>
    <x v="3"/>
    <x v="4"/>
    <x v="98"/>
    <n v="140"/>
    <n v="3"/>
    <x v="1"/>
    <x v="1"/>
    <x v="0"/>
    <x v="6"/>
  </r>
  <r>
    <x v="364"/>
    <x v="11"/>
    <x v="64"/>
    <x v="2"/>
    <x v="99"/>
    <n v="156"/>
    <n v="2.7"/>
    <x v="2"/>
    <x v="1"/>
    <x v="0"/>
    <x v="0"/>
  </r>
  <r>
    <x v="365"/>
    <x v="13"/>
    <x v="103"/>
    <x v="4"/>
    <x v="99"/>
    <n v="164"/>
    <n v="3.1"/>
    <x v="2"/>
    <x v="1"/>
    <x v="0"/>
    <x v="0"/>
  </r>
  <r>
    <x v="366"/>
    <x v="8"/>
    <x v="4"/>
    <x v="4"/>
    <x v="99"/>
    <n v="195"/>
    <n v="2.6"/>
    <x v="2"/>
    <x v="1"/>
    <x v="0"/>
    <x v="0"/>
  </r>
  <r>
    <x v="367"/>
    <x v="1"/>
    <x v="98"/>
    <x v="3"/>
    <x v="99"/>
    <n v="74"/>
    <n v="4.5999999999999996"/>
    <x v="3"/>
    <x v="0"/>
    <x v="0"/>
    <x v="0"/>
  </r>
  <r>
    <x v="368"/>
    <x v="12"/>
    <x v="123"/>
    <x v="2"/>
    <x v="99"/>
    <n v="100"/>
    <n v="4"/>
    <x v="1"/>
    <x v="2"/>
    <x v="0"/>
    <x v="0"/>
  </r>
  <r>
    <x v="369"/>
    <x v="0"/>
    <x v="10"/>
    <x v="1"/>
    <x v="99"/>
    <n v="185"/>
    <n v="4.5"/>
    <x v="1"/>
    <x v="0"/>
    <x v="0"/>
    <x v="0"/>
  </r>
  <r>
    <x v="370"/>
    <x v="7"/>
    <x v="53"/>
    <x v="2"/>
    <x v="99"/>
    <n v="130"/>
    <n v="1.9"/>
    <x v="0"/>
    <x v="3"/>
    <x v="0"/>
    <x v="0"/>
  </r>
  <r>
    <x v="371"/>
    <x v="6"/>
    <x v="50"/>
    <x v="3"/>
    <x v="100"/>
    <n v="21"/>
    <n v="2.6"/>
    <x v="0"/>
    <x v="1"/>
    <x v="0"/>
    <x v="1"/>
  </r>
  <r>
    <x v="372"/>
    <x v="14"/>
    <x v="90"/>
    <x v="0"/>
    <x v="100"/>
    <n v="88"/>
    <n v="4.3"/>
    <x v="0"/>
    <x v="2"/>
    <x v="0"/>
    <x v="1"/>
  </r>
  <r>
    <x v="373"/>
    <x v="2"/>
    <x v="28"/>
    <x v="4"/>
    <x v="100"/>
    <n v="35"/>
    <n v="4.4000000000000004"/>
    <x v="0"/>
    <x v="2"/>
    <x v="0"/>
    <x v="1"/>
  </r>
  <r>
    <x v="374"/>
    <x v="14"/>
    <x v="134"/>
    <x v="1"/>
    <x v="100"/>
    <n v="68"/>
    <n v="4.3"/>
    <x v="1"/>
    <x v="2"/>
    <x v="0"/>
    <x v="1"/>
  </r>
  <r>
    <x v="375"/>
    <x v="11"/>
    <x v="119"/>
    <x v="1"/>
    <x v="100"/>
    <n v="148"/>
    <n v="4.5"/>
    <x v="1"/>
    <x v="0"/>
    <x v="0"/>
    <x v="1"/>
  </r>
  <r>
    <x v="376"/>
    <x v="2"/>
    <x v="118"/>
    <x v="0"/>
    <x v="101"/>
    <n v="81"/>
    <n v="4.2"/>
    <x v="0"/>
    <x v="2"/>
    <x v="0"/>
    <x v="2"/>
  </r>
  <r>
    <x v="377"/>
    <x v="7"/>
    <x v="91"/>
    <x v="0"/>
    <x v="101"/>
    <n v="75"/>
    <n v="3.9"/>
    <x v="4"/>
    <x v="2"/>
    <x v="0"/>
    <x v="2"/>
  </r>
  <r>
    <x v="378"/>
    <x v="9"/>
    <x v="53"/>
    <x v="2"/>
    <x v="102"/>
    <n v="32"/>
    <n v="3.6"/>
    <x v="0"/>
    <x v="2"/>
    <x v="0"/>
    <x v="3"/>
  </r>
  <r>
    <x v="379"/>
    <x v="13"/>
    <x v="99"/>
    <x v="2"/>
    <x v="102"/>
    <n v="156"/>
    <n v="3.8"/>
    <x v="0"/>
    <x v="2"/>
    <x v="0"/>
    <x v="3"/>
  </r>
  <r>
    <x v="380"/>
    <x v="1"/>
    <x v="31"/>
    <x v="1"/>
    <x v="102"/>
    <n v="99"/>
    <n v="4.9000000000000004"/>
    <x v="0"/>
    <x v="0"/>
    <x v="0"/>
    <x v="3"/>
  </r>
  <r>
    <x v="381"/>
    <x v="0"/>
    <x v="135"/>
    <x v="4"/>
    <x v="102"/>
    <n v="26"/>
    <n v="4"/>
    <x v="0"/>
    <x v="2"/>
    <x v="0"/>
    <x v="3"/>
  </r>
  <r>
    <x v="382"/>
    <x v="4"/>
    <x v="68"/>
    <x v="2"/>
    <x v="102"/>
    <n v="84"/>
    <n v="4.0999999999999996"/>
    <x v="2"/>
    <x v="2"/>
    <x v="0"/>
    <x v="3"/>
  </r>
  <r>
    <x v="383"/>
    <x v="3"/>
    <x v="73"/>
    <x v="4"/>
    <x v="102"/>
    <n v="84"/>
    <n v="4.8"/>
    <x v="2"/>
    <x v="0"/>
    <x v="0"/>
    <x v="3"/>
  </r>
  <r>
    <x v="384"/>
    <x v="10"/>
    <x v="90"/>
    <x v="1"/>
    <x v="102"/>
    <n v="170"/>
    <n v="2.2999999999999998"/>
    <x v="0"/>
    <x v="3"/>
    <x v="0"/>
    <x v="3"/>
  </r>
  <r>
    <x v="385"/>
    <x v="14"/>
    <x v="63"/>
    <x v="2"/>
    <x v="102"/>
    <n v="35"/>
    <n v="4.4000000000000004"/>
    <x v="0"/>
    <x v="2"/>
    <x v="0"/>
    <x v="3"/>
  </r>
  <r>
    <x v="386"/>
    <x v="6"/>
    <x v="118"/>
    <x v="2"/>
    <x v="103"/>
    <n v="35"/>
    <n v="3.8"/>
    <x v="0"/>
    <x v="2"/>
    <x v="0"/>
    <x v="4"/>
  </r>
  <r>
    <x v="387"/>
    <x v="11"/>
    <x v="0"/>
    <x v="2"/>
    <x v="103"/>
    <n v="132"/>
    <n v="5"/>
    <x v="0"/>
    <x v="0"/>
    <x v="0"/>
    <x v="4"/>
  </r>
  <r>
    <x v="388"/>
    <x v="1"/>
    <x v="25"/>
    <x v="0"/>
    <x v="104"/>
    <n v="144"/>
    <n v="3.3"/>
    <x v="0"/>
    <x v="1"/>
    <x v="0"/>
    <x v="5"/>
  </r>
  <r>
    <x v="389"/>
    <x v="14"/>
    <x v="15"/>
    <x v="1"/>
    <x v="104"/>
    <n v="48"/>
    <n v="5"/>
    <x v="0"/>
    <x v="0"/>
    <x v="0"/>
    <x v="5"/>
  </r>
  <r>
    <x v="390"/>
    <x v="14"/>
    <x v="71"/>
    <x v="0"/>
    <x v="104"/>
    <n v="200"/>
    <n v="2.2999999999999998"/>
    <x v="2"/>
    <x v="3"/>
    <x v="0"/>
    <x v="5"/>
  </r>
  <r>
    <x v="391"/>
    <x v="10"/>
    <x v="84"/>
    <x v="4"/>
    <x v="104"/>
    <n v="38"/>
    <n v="4.8"/>
    <x v="0"/>
    <x v="0"/>
    <x v="0"/>
    <x v="5"/>
  </r>
  <r>
    <x v="392"/>
    <x v="11"/>
    <x v="126"/>
    <x v="3"/>
    <x v="104"/>
    <n v="81"/>
    <n v="3.7"/>
    <x v="2"/>
    <x v="2"/>
    <x v="0"/>
    <x v="5"/>
  </r>
  <r>
    <x v="393"/>
    <x v="1"/>
    <x v="115"/>
    <x v="2"/>
    <x v="104"/>
    <n v="120"/>
    <n v="4.2"/>
    <x v="1"/>
    <x v="2"/>
    <x v="0"/>
    <x v="5"/>
  </r>
  <r>
    <x v="394"/>
    <x v="8"/>
    <x v="136"/>
    <x v="4"/>
    <x v="104"/>
    <n v="74"/>
    <n v="4.8"/>
    <x v="3"/>
    <x v="0"/>
    <x v="0"/>
    <x v="5"/>
  </r>
  <r>
    <x v="395"/>
    <x v="1"/>
    <x v="62"/>
    <x v="2"/>
    <x v="105"/>
    <n v="128"/>
    <n v="4.7"/>
    <x v="2"/>
    <x v="0"/>
    <x v="0"/>
    <x v="6"/>
  </r>
  <r>
    <x v="396"/>
    <x v="3"/>
    <x v="48"/>
    <x v="1"/>
    <x v="105"/>
    <n v="21"/>
    <n v="3.9"/>
    <x v="0"/>
    <x v="2"/>
    <x v="0"/>
    <x v="6"/>
  </r>
  <r>
    <x v="397"/>
    <x v="14"/>
    <x v="93"/>
    <x v="2"/>
    <x v="105"/>
    <n v="110"/>
    <n v="4.3"/>
    <x v="2"/>
    <x v="2"/>
    <x v="0"/>
    <x v="6"/>
  </r>
  <r>
    <x v="398"/>
    <x v="1"/>
    <x v="97"/>
    <x v="2"/>
    <x v="105"/>
    <n v="145"/>
    <n v="4"/>
    <x v="0"/>
    <x v="2"/>
    <x v="0"/>
    <x v="6"/>
  </r>
  <r>
    <x v="399"/>
    <x v="14"/>
    <x v="34"/>
    <x v="3"/>
    <x v="105"/>
    <n v="129"/>
    <n v="4"/>
    <x v="0"/>
    <x v="2"/>
    <x v="0"/>
    <x v="6"/>
  </r>
  <r>
    <x v="400"/>
    <x v="6"/>
    <x v="5"/>
    <x v="0"/>
    <x v="105"/>
    <n v="156"/>
    <n v="3.2"/>
    <x v="0"/>
    <x v="1"/>
    <x v="0"/>
    <x v="6"/>
  </r>
  <r>
    <x v="401"/>
    <x v="8"/>
    <x v="49"/>
    <x v="2"/>
    <x v="106"/>
    <n v="120"/>
    <n v="3.8"/>
    <x v="1"/>
    <x v="2"/>
    <x v="0"/>
    <x v="0"/>
  </r>
  <r>
    <x v="402"/>
    <x v="3"/>
    <x v="137"/>
    <x v="3"/>
    <x v="106"/>
    <n v="62"/>
    <n v="3.4"/>
    <x v="1"/>
    <x v="1"/>
    <x v="0"/>
    <x v="0"/>
  </r>
  <r>
    <x v="403"/>
    <x v="9"/>
    <x v="76"/>
    <x v="2"/>
    <x v="106"/>
    <n v="160"/>
    <n v="3.2"/>
    <x v="1"/>
    <x v="1"/>
    <x v="0"/>
    <x v="0"/>
  </r>
  <r>
    <x v="404"/>
    <x v="1"/>
    <x v="54"/>
    <x v="2"/>
    <x v="106"/>
    <n v="56"/>
    <n v="4.7"/>
    <x v="2"/>
    <x v="0"/>
    <x v="0"/>
    <x v="0"/>
  </r>
  <r>
    <x v="405"/>
    <x v="5"/>
    <x v="118"/>
    <x v="4"/>
    <x v="106"/>
    <n v="72"/>
    <n v="4"/>
    <x v="0"/>
    <x v="2"/>
    <x v="0"/>
    <x v="0"/>
  </r>
  <r>
    <x v="406"/>
    <x v="1"/>
    <x v="12"/>
    <x v="1"/>
    <x v="107"/>
    <n v="81"/>
    <n v="4.8"/>
    <x v="1"/>
    <x v="0"/>
    <x v="0"/>
    <x v="1"/>
  </r>
  <r>
    <x v="407"/>
    <x v="3"/>
    <x v="75"/>
    <x v="2"/>
    <x v="107"/>
    <n v="144"/>
    <n v="3.9"/>
    <x v="0"/>
    <x v="2"/>
    <x v="0"/>
    <x v="1"/>
  </r>
  <r>
    <x v="408"/>
    <x v="2"/>
    <x v="86"/>
    <x v="1"/>
    <x v="107"/>
    <n v="111"/>
    <n v="4.3"/>
    <x v="0"/>
    <x v="2"/>
    <x v="0"/>
    <x v="1"/>
  </r>
  <r>
    <x v="409"/>
    <x v="14"/>
    <x v="138"/>
    <x v="3"/>
    <x v="107"/>
    <n v="43"/>
    <n v="4.2"/>
    <x v="3"/>
    <x v="2"/>
    <x v="0"/>
    <x v="1"/>
  </r>
  <r>
    <x v="410"/>
    <x v="6"/>
    <x v="37"/>
    <x v="4"/>
    <x v="107"/>
    <n v="41"/>
    <n v="4.9000000000000004"/>
    <x v="1"/>
    <x v="0"/>
    <x v="0"/>
    <x v="1"/>
  </r>
  <r>
    <x v="411"/>
    <x v="2"/>
    <x v="80"/>
    <x v="4"/>
    <x v="107"/>
    <n v="74"/>
    <n v="4"/>
    <x v="3"/>
    <x v="2"/>
    <x v="0"/>
    <x v="1"/>
  </r>
  <r>
    <x v="412"/>
    <x v="12"/>
    <x v="29"/>
    <x v="2"/>
    <x v="107"/>
    <n v="43"/>
    <n v="4.9000000000000004"/>
    <x v="0"/>
    <x v="0"/>
    <x v="0"/>
    <x v="1"/>
  </r>
  <r>
    <x v="413"/>
    <x v="10"/>
    <x v="115"/>
    <x v="4"/>
    <x v="107"/>
    <n v="128"/>
    <n v="3.6"/>
    <x v="1"/>
    <x v="2"/>
    <x v="0"/>
    <x v="1"/>
  </r>
  <r>
    <x v="414"/>
    <x v="0"/>
    <x v="92"/>
    <x v="4"/>
    <x v="108"/>
    <n v="144"/>
    <n v="4.0999999999999996"/>
    <x v="1"/>
    <x v="2"/>
    <x v="0"/>
    <x v="2"/>
  </r>
  <r>
    <x v="415"/>
    <x v="12"/>
    <x v="55"/>
    <x v="1"/>
    <x v="108"/>
    <n v="132"/>
    <n v="4.9000000000000004"/>
    <x v="1"/>
    <x v="0"/>
    <x v="0"/>
    <x v="2"/>
  </r>
  <r>
    <x v="416"/>
    <x v="2"/>
    <x v="131"/>
    <x v="1"/>
    <x v="108"/>
    <n v="180"/>
    <n v="3.9"/>
    <x v="0"/>
    <x v="2"/>
    <x v="0"/>
    <x v="2"/>
  </r>
  <r>
    <x v="417"/>
    <x v="4"/>
    <x v="139"/>
    <x v="1"/>
    <x v="108"/>
    <n v="31"/>
    <n v="4.0999999999999996"/>
    <x v="3"/>
    <x v="2"/>
    <x v="0"/>
    <x v="2"/>
  </r>
  <r>
    <x v="418"/>
    <x v="2"/>
    <x v="132"/>
    <x v="1"/>
    <x v="108"/>
    <n v="102"/>
    <n v="3.8"/>
    <x v="0"/>
    <x v="2"/>
    <x v="0"/>
    <x v="2"/>
  </r>
  <r>
    <x v="419"/>
    <x v="5"/>
    <x v="117"/>
    <x v="2"/>
    <x v="109"/>
    <n v="175"/>
    <n v="4.8"/>
    <x v="1"/>
    <x v="0"/>
    <x v="0"/>
    <x v="3"/>
  </r>
  <r>
    <x v="420"/>
    <x v="12"/>
    <x v="138"/>
    <x v="0"/>
    <x v="109"/>
    <n v="87"/>
    <n v="4.7"/>
    <x v="3"/>
    <x v="0"/>
    <x v="0"/>
    <x v="3"/>
  </r>
  <r>
    <x v="421"/>
    <x v="8"/>
    <x v="28"/>
    <x v="2"/>
    <x v="109"/>
    <n v="66"/>
    <n v="4.2"/>
    <x v="0"/>
    <x v="2"/>
    <x v="0"/>
    <x v="3"/>
  </r>
  <r>
    <x v="422"/>
    <x v="8"/>
    <x v="7"/>
    <x v="2"/>
    <x v="109"/>
    <n v="25"/>
    <n v="3.2"/>
    <x v="2"/>
    <x v="1"/>
    <x v="0"/>
    <x v="3"/>
  </r>
  <r>
    <x v="423"/>
    <x v="2"/>
    <x v="66"/>
    <x v="1"/>
    <x v="109"/>
    <n v="126"/>
    <n v="3.4"/>
    <x v="0"/>
    <x v="1"/>
    <x v="0"/>
    <x v="3"/>
  </r>
  <r>
    <x v="424"/>
    <x v="0"/>
    <x v="97"/>
    <x v="3"/>
    <x v="110"/>
    <n v="42"/>
    <n v="4.5999999999999996"/>
    <x v="0"/>
    <x v="0"/>
    <x v="0"/>
    <x v="4"/>
  </r>
  <r>
    <x v="425"/>
    <x v="5"/>
    <x v="58"/>
    <x v="0"/>
    <x v="110"/>
    <n v="225"/>
    <n v="1.9"/>
    <x v="0"/>
    <x v="3"/>
    <x v="0"/>
    <x v="4"/>
  </r>
  <r>
    <x v="426"/>
    <x v="3"/>
    <x v="140"/>
    <x v="0"/>
    <x v="110"/>
    <n v="42"/>
    <n v="3.3"/>
    <x v="1"/>
    <x v="1"/>
    <x v="0"/>
    <x v="4"/>
  </r>
  <r>
    <x v="427"/>
    <x v="2"/>
    <x v="61"/>
    <x v="3"/>
    <x v="111"/>
    <n v="110"/>
    <n v="3.1"/>
    <x v="1"/>
    <x v="1"/>
    <x v="0"/>
    <x v="5"/>
  </r>
  <r>
    <x v="428"/>
    <x v="10"/>
    <x v="126"/>
    <x v="1"/>
    <x v="111"/>
    <n v="225"/>
    <n v="4.8"/>
    <x v="2"/>
    <x v="0"/>
    <x v="0"/>
    <x v="5"/>
  </r>
  <r>
    <x v="429"/>
    <x v="8"/>
    <x v="10"/>
    <x v="4"/>
    <x v="112"/>
    <n v="125"/>
    <n v="3.3"/>
    <x v="1"/>
    <x v="1"/>
    <x v="0"/>
    <x v="6"/>
  </r>
  <r>
    <x v="430"/>
    <x v="5"/>
    <x v="22"/>
    <x v="1"/>
    <x v="112"/>
    <n v="78"/>
    <n v="2.9"/>
    <x v="0"/>
    <x v="1"/>
    <x v="0"/>
    <x v="6"/>
  </r>
  <r>
    <x v="431"/>
    <x v="5"/>
    <x v="22"/>
    <x v="3"/>
    <x v="112"/>
    <n v="40"/>
    <n v="2.4"/>
    <x v="0"/>
    <x v="3"/>
    <x v="0"/>
    <x v="6"/>
  </r>
  <r>
    <x v="432"/>
    <x v="9"/>
    <x v="107"/>
    <x v="2"/>
    <x v="112"/>
    <n v="150"/>
    <n v="4.5999999999999996"/>
    <x v="0"/>
    <x v="0"/>
    <x v="0"/>
    <x v="6"/>
  </r>
  <r>
    <x v="433"/>
    <x v="2"/>
    <x v="141"/>
    <x v="1"/>
    <x v="112"/>
    <n v="96"/>
    <n v="4.8"/>
    <x v="3"/>
    <x v="0"/>
    <x v="0"/>
    <x v="6"/>
  </r>
  <r>
    <x v="434"/>
    <x v="8"/>
    <x v="48"/>
    <x v="3"/>
    <x v="113"/>
    <n v="75"/>
    <n v="4.8"/>
    <x v="0"/>
    <x v="0"/>
    <x v="0"/>
    <x v="0"/>
  </r>
  <r>
    <x v="435"/>
    <x v="9"/>
    <x v="22"/>
    <x v="3"/>
    <x v="113"/>
    <n v="60"/>
    <n v="3.6"/>
    <x v="0"/>
    <x v="2"/>
    <x v="0"/>
    <x v="0"/>
  </r>
  <r>
    <x v="436"/>
    <x v="14"/>
    <x v="73"/>
    <x v="1"/>
    <x v="114"/>
    <n v="41"/>
    <n v="4.8"/>
    <x v="2"/>
    <x v="0"/>
    <x v="0"/>
    <x v="1"/>
  </r>
  <r>
    <x v="437"/>
    <x v="7"/>
    <x v="65"/>
    <x v="2"/>
    <x v="114"/>
    <n v="20"/>
    <n v="4.2"/>
    <x v="1"/>
    <x v="2"/>
    <x v="0"/>
    <x v="1"/>
  </r>
  <r>
    <x v="438"/>
    <x v="1"/>
    <x v="142"/>
    <x v="4"/>
    <x v="114"/>
    <n v="84"/>
    <n v="2.6"/>
    <x v="0"/>
    <x v="1"/>
    <x v="0"/>
    <x v="1"/>
  </r>
  <r>
    <x v="439"/>
    <x v="8"/>
    <x v="77"/>
    <x v="0"/>
    <x v="114"/>
    <n v="140"/>
    <n v="3.7"/>
    <x v="0"/>
    <x v="2"/>
    <x v="0"/>
    <x v="1"/>
  </r>
  <r>
    <x v="440"/>
    <x v="11"/>
    <x v="21"/>
    <x v="1"/>
    <x v="114"/>
    <n v="66"/>
    <n v="4.8"/>
    <x v="0"/>
    <x v="0"/>
    <x v="0"/>
    <x v="1"/>
  </r>
  <r>
    <x v="441"/>
    <x v="6"/>
    <x v="1"/>
    <x v="2"/>
    <x v="114"/>
    <n v="105"/>
    <n v="4.7"/>
    <x v="0"/>
    <x v="0"/>
    <x v="0"/>
    <x v="1"/>
  </r>
  <r>
    <x v="442"/>
    <x v="0"/>
    <x v="10"/>
    <x v="3"/>
    <x v="115"/>
    <n v="104"/>
    <n v="4.0999999999999996"/>
    <x v="1"/>
    <x v="2"/>
    <x v="0"/>
    <x v="2"/>
  </r>
  <r>
    <x v="443"/>
    <x v="7"/>
    <x v="103"/>
    <x v="4"/>
    <x v="115"/>
    <n v="123"/>
    <n v="3.2"/>
    <x v="2"/>
    <x v="1"/>
    <x v="0"/>
    <x v="2"/>
  </r>
  <r>
    <x v="444"/>
    <x v="2"/>
    <x v="143"/>
    <x v="3"/>
    <x v="116"/>
    <n v="215"/>
    <n v="4.3"/>
    <x v="2"/>
    <x v="2"/>
    <x v="0"/>
    <x v="3"/>
  </r>
  <r>
    <x v="445"/>
    <x v="0"/>
    <x v="74"/>
    <x v="1"/>
    <x v="116"/>
    <n v="46"/>
    <n v="0.7"/>
    <x v="0"/>
    <x v="5"/>
    <x v="0"/>
    <x v="3"/>
  </r>
  <r>
    <x v="446"/>
    <x v="9"/>
    <x v="84"/>
    <x v="4"/>
    <x v="116"/>
    <n v="115"/>
    <n v="3.7"/>
    <x v="0"/>
    <x v="2"/>
    <x v="0"/>
    <x v="3"/>
  </r>
  <r>
    <x v="447"/>
    <x v="0"/>
    <x v="130"/>
    <x v="4"/>
    <x v="116"/>
    <n v="124"/>
    <n v="3.9"/>
    <x v="0"/>
    <x v="2"/>
    <x v="0"/>
    <x v="3"/>
  </r>
  <r>
    <x v="448"/>
    <x v="13"/>
    <x v="78"/>
    <x v="4"/>
    <x v="117"/>
    <n v="205"/>
    <n v="4.5"/>
    <x v="3"/>
    <x v="0"/>
    <x v="0"/>
    <x v="4"/>
  </r>
  <r>
    <x v="449"/>
    <x v="14"/>
    <x v="75"/>
    <x v="2"/>
    <x v="117"/>
    <n v="90"/>
    <n v="2.8"/>
    <x v="0"/>
    <x v="1"/>
    <x v="0"/>
    <x v="4"/>
  </r>
  <r>
    <x v="450"/>
    <x v="9"/>
    <x v="22"/>
    <x v="1"/>
    <x v="117"/>
    <n v="92"/>
    <n v="4.9000000000000004"/>
    <x v="0"/>
    <x v="0"/>
    <x v="0"/>
    <x v="4"/>
  </r>
  <r>
    <x v="451"/>
    <x v="8"/>
    <x v="101"/>
    <x v="3"/>
    <x v="118"/>
    <n v="108"/>
    <n v="4.2"/>
    <x v="2"/>
    <x v="2"/>
    <x v="0"/>
    <x v="6"/>
  </r>
  <r>
    <x v="452"/>
    <x v="14"/>
    <x v="70"/>
    <x v="3"/>
    <x v="118"/>
    <n v="54"/>
    <n v="4.4000000000000004"/>
    <x v="1"/>
    <x v="2"/>
    <x v="0"/>
    <x v="6"/>
  </r>
  <r>
    <x v="453"/>
    <x v="8"/>
    <x v="95"/>
    <x v="3"/>
    <x v="119"/>
    <n v="44"/>
    <n v="3.5"/>
    <x v="0"/>
    <x v="2"/>
    <x v="0"/>
    <x v="0"/>
  </r>
  <r>
    <x v="454"/>
    <x v="11"/>
    <x v="65"/>
    <x v="3"/>
    <x v="119"/>
    <n v="44"/>
    <n v="4.7"/>
    <x v="1"/>
    <x v="0"/>
    <x v="0"/>
    <x v="0"/>
  </r>
  <r>
    <x v="455"/>
    <x v="0"/>
    <x v="144"/>
    <x v="1"/>
    <x v="120"/>
    <n v="37"/>
    <n v="4.9000000000000004"/>
    <x v="2"/>
    <x v="0"/>
    <x v="0"/>
    <x v="1"/>
  </r>
  <r>
    <x v="456"/>
    <x v="1"/>
    <x v="7"/>
    <x v="2"/>
    <x v="120"/>
    <n v="180"/>
    <n v="4.5"/>
    <x v="2"/>
    <x v="0"/>
    <x v="0"/>
    <x v="1"/>
  </r>
  <r>
    <x v="457"/>
    <x v="0"/>
    <x v="59"/>
    <x v="4"/>
    <x v="120"/>
    <n v="105"/>
    <n v="4.9000000000000004"/>
    <x v="0"/>
    <x v="0"/>
    <x v="0"/>
    <x v="1"/>
  </r>
  <r>
    <x v="458"/>
    <x v="11"/>
    <x v="21"/>
    <x v="0"/>
    <x v="120"/>
    <n v="87"/>
    <n v="3.6"/>
    <x v="0"/>
    <x v="2"/>
    <x v="0"/>
    <x v="1"/>
  </r>
  <r>
    <x v="459"/>
    <x v="9"/>
    <x v="129"/>
    <x v="2"/>
    <x v="120"/>
    <n v="52"/>
    <n v="3.8"/>
    <x v="3"/>
    <x v="2"/>
    <x v="0"/>
    <x v="1"/>
  </r>
  <r>
    <x v="460"/>
    <x v="4"/>
    <x v="8"/>
    <x v="4"/>
    <x v="120"/>
    <n v="63"/>
    <n v="3.5"/>
    <x v="2"/>
    <x v="2"/>
    <x v="0"/>
    <x v="1"/>
  </r>
  <r>
    <x v="461"/>
    <x v="10"/>
    <x v="145"/>
    <x v="1"/>
    <x v="121"/>
    <n v="195"/>
    <n v="4.8"/>
    <x v="2"/>
    <x v="0"/>
    <x v="0"/>
    <x v="2"/>
  </r>
  <r>
    <x v="462"/>
    <x v="14"/>
    <x v="34"/>
    <x v="3"/>
    <x v="122"/>
    <n v="176"/>
    <n v="4.5"/>
    <x v="0"/>
    <x v="0"/>
    <x v="0"/>
    <x v="3"/>
  </r>
  <r>
    <x v="463"/>
    <x v="6"/>
    <x v="17"/>
    <x v="2"/>
    <x v="123"/>
    <n v="31"/>
    <n v="3.3"/>
    <x v="2"/>
    <x v="1"/>
    <x v="0"/>
    <x v="4"/>
  </r>
  <r>
    <x v="464"/>
    <x v="2"/>
    <x v="129"/>
    <x v="2"/>
    <x v="124"/>
    <n v="27"/>
    <n v="3.2"/>
    <x v="3"/>
    <x v="1"/>
    <x v="0"/>
    <x v="5"/>
  </r>
  <r>
    <x v="465"/>
    <x v="7"/>
    <x v="130"/>
    <x v="3"/>
    <x v="124"/>
    <n v="76"/>
    <n v="4.9000000000000004"/>
    <x v="0"/>
    <x v="0"/>
    <x v="0"/>
    <x v="5"/>
  </r>
  <r>
    <x v="466"/>
    <x v="4"/>
    <x v="111"/>
    <x v="4"/>
    <x v="124"/>
    <n v="62"/>
    <n v="4.8"/>
    <x v="1"/>
    <x v="0"/>
    <x v="0"/>
    <x v="5"/>
  </r>
  <r>
    <x v="467"/>
    <x v="7"/>
    <x v="22"/>
    <x v="1"/>
    <x v="125"/>
    <n v="100"/>
    <n v="1.3"/>
    <x v="0"/>
    <x v="5"/>
    <x v="0"/>
    <x v="0"/>
  </r>
  <r>
    <x v="468"/>
    <x v="13"/>
    <x v="102"/>
    <x v="2"/>
    <x v="125"/>
    <n v="44"/>
    <n v="3.1"/>
    <x v="0"/>
    <x v="1"/>
    <x v="0"/>
    <x v="0"/>
  </r>
  <r>
    <x v="469"/>
    <x v="2"/>
    <x v="86"/>
    <x v="3"/>
    <x v="125"/>
    <n v="168"/>
    <n v="3.4"/>
    <x v="0"/>
    <x v="1"/>
    <x v="0"/>
    <x v="0"/>
  </r>
  <r>
    <x v="470"/>
    <x v="5"/>
    <x v="108"/>
    <x v="3"/>
    <x v="126"/>
    <n v="200"/>
    <n v="4.5999999999999996"/>
    <x v="2"/>
    <x v="0"/>
    <x v="0"/>
    <x v="1"/>
  </r>
  <r>
    <x v="471"/>
    <x v="1"/>
    <x v="85"/>
    <x v="2"/>
    <x v="126"/>
    <n v="84"/>
    <n v="4.3"/>
    <x v="1"/>
    <x v="2"/>
    <x v="0"/>
    <x v="1"/>
  </r>
  <r>
    <x v="472"/>
    <x v="14"/>
    <x v="146"/>
    <x v="3"/>
    <x v="127"/>
    <n v="117"/>
    <n v="2.7"/>
    <x v="2"/>
    <x v="1"/>
    <x v="0"/>
    <x v="2"/>
  </r>
  <r>
    <x v="473"/>
    <x v="10"/>
    <x v="98"/>
    <x v="1"/>
    <x v="127"/>
    <n v="63"/>
    <n v="4.2"/>
    <x v="3"/>
    <x v="2"/>
    <x v="0"/>
    <x v="2"/>
  </r>
  <r>
    <x v="474"/>
    <x v="2"/>
    <x v="24"/>
    <x v="3"/>
    <x v="128"/>
    <n v="145"/>
    <n v="4.9000000000000004"/>
    <x v="0"/>
    <x v="0"/>
    <x v="0"/>
    <x v="3"/>
  </r>
  <r>
    <x v="475"/>
    <x v="14"/>
    <x v="12"/>
    <x v="2"/>
    <x v="128"/>
    <n v="220"/>
    <n v="3.2"/>
    <x v="1"/>
    <x v="1"/>
    <x v="0"/>
    <x v="3"/>
  </r>
  <r>
    <x v="476"/>
    <x v="8"/>
    <x v="54"/>
    <x v="1"/>
    <x v="128"/>
    <n v="26"/>
    <n v="4.7"/>
    <x v="2"/>
    <x v="0"/>
    <x v="0"/>
    <x v="3"/>
  </r>
  <r>
    <x v="477"/>
    <x v="2"/>
    <x v="118"/>
    <x v="3"/>
    <x v="128"/>
    <n v="78"/>
    <n v="4.3"/>
    <x v="0"/>
    <x v="2"/>
    <x v="0"/>
    <x v="3"/>
  </r>
  <r>
    <x v="478"/>
    <x v="6"/>
    <x v="79"/>
    <x v="4"/>
    <x v="129"/>
    <n v="132"/>
    <n v="4.3"/>
    <x v="3"/>
    <x v="2"/>
    <x v="0"/>
    <x v="4"/>
  </r>
  <r>
    <x v="479"/>
    <x v="9"/>
    <x v="38"/>
    <x v="4"/>
    <x v="130"/>
    <n v="68"/>
    <n v="3.7"/>
    <x v="0"/>
    <x v="2"/>
    <x v="0"/>
    <x v="5"/>
  </r>
  <r>
    <x v="480"/>
    <x v="1"/>
    <x v="19"/>
    <x v="2"/>
    <x v="131"/>
    <n v="129"/>
    <n v="4.7"/>
    <x v="0"/>
    <x v="0"/>
    <x v="0"/>
    <x v="0"/>
  </r>
  <r>
    <x v="481"/>
    <x v="12"/>
    <x v="99"/>
    <x v="4"/>
    <x v="131"/>
    <n v="115"/>
    <n v="4.9000000000000004"/>
    <x v="0"/>
    <x v="0"/>
    <x v="0"/>
    <x v="0"/>
  </r>
  <r>
    <x v="482"/>
    <x v="12"/>
    <x v="107"/>
    <x v="4"/>
    <x v="131"/>
    <n v="128"/>
    <n v="3.9"/>
    <x v="0"/>
    <x v="2"/>
    <x v="0"/>
    <x v="0"/>
  </r>
  <r>
    <x v="483"/>
    <x v="12"/>
    <x v="147"/>
    <x v="2"/>
    <x v="131"/>
    <n v="90"/>
    <n v="4.5"/>
    <x v="0"/>
    <x v="0"/>
    <x v="0"/>
    <x v="0"/>
  </r>
  <r>
    <x v="484"/>
    <x v="8"/>
    <x v="77"/>
    <x v="3"/>
    <x v="132"/>
    <n v="39"/>
    <n v="4.5999999999999996"/>
    <x v="0"/>
    <x v="0"/>
    <x v="0"/>
    <x v="1"/>
  </r>
  <r>
    <x v="485"/>
    <x v="6"/>
    <x v="90"/>
    <x v="4"/>
    <x v="132"/>
    <n v="132"/>
    <n v="3.3"/>
    <x v="0"/>
    <x v="1"/>
    <x v="0"/>
    <x v="1"/>
  </r>
  <r>
    <x v="486"/>
    <x v="4"/>
    <x v="148"/>
    <x v="4"/>
    <x v="132"/>
    <n v="170"/>
    <n v="3.8"/>
    <x v="2"/>
    <x v="2"/>
    <x v="0"/>
    <x v="1"/>
  </r>
  <r>
    <x v="487"/>
    <x v="12"/>
    <x v="86"/>
    <x v="2"/>
    <x v="132"/>
    <n v="42"/>
    <n v="4.7"/>
    <x v="0"/>
    <x v="0"/>
    <x v="0"/>
    <x v="1"/>
  </r>
  <r>
    <x v="488"/>
    <x v="3"/>
    <x v="23"/>
    <x v="3"/>
    <x v="133"/>
    <n v="37"/>
    <n v="4"/>
    <x v="1"/>
    <x v="2"/>
    <x v="0"/>
    <x v="2"/>
  </r>
  <r>
    <x v="489"/>
    <x v="1"/>
    <x v="147"/>
    <x v="3"/>
    <x v="133"/>
    <n v="88"/>
    <n v="4.7"/>
    <x v="0"/>
    <x v="0"/>
    <x v="0"/>
    <x v="2"/>
  </r>
  <r>
    <x v="490"/>
    <x v="14"/>
    <x v="47"/>
    <x v="3"/>
    <x v="133"/>
    <n v="80"/>
    <n v="2.5"/>
    <x v="0"/>
    <x v="1"/>
    <x v="0"/>
    <x v="2"/>
  </r>
  <r>
    <x v="491"/>
    <x v="6"/>
    <x v="44"/>
    <x v="0"/>
    <x v="134"/>
    <n v="123"/>
    <n v="3.6"/>
    <x v="2"/>
    <x v="2"/>
    <x v="0"/>
    <x v="3"/>
  </r>
  <r>
    <x v="492"/>
    <x v="10"/>
    <x v="123"/>
    <x v="4"/>
    <x v="134"/>
    <n v="31"/>
    <n v="3.7"/>
    <x v="1"/>
    <x v="2"/>
    <x v="0"/>
    <x v="3"/>
  </r>
  <r>
    <x v="493"/>
    <x v="13"/>
    <x v="58"/>
    <x v="1"/>
    <x v="134"/>
    <n v="205"/>
    <n v="3.9"/>
    <x v="0"/>
    <x v="2"/>
    <x v="0"/>
    <x v="3"/>
  </r>
  <r>
    <x v="494"/>
    <x v="7"/>
    <x v="89"/>
    <x v="3"/>
    <x v="135"/>
    <n v="123"/>
    <n v="3.7"/>
    <x v="1"/>
    <x v="2"/>
    <x v="0"/>
    <x v="4"/>
  </r>
  <r>
    <x v="495"/>
    <x v="4"/>
    <x v="149"/>
    <x v="4"/>
    <x v="135"/>
    <n v="123"/>
    <n v="4.3"/>
    <x v="1"/>
    <x v="2"/>
    <x v="0"/>
    <x v="4"/>
  </r>
  <r>
    <x v="496"/>
    <x v="14"/>
    <x v="150"/>
    <x v="4"/>
    <x v="135"/>
    <n v="36"/>
    <n v="2.9"/>
    <x v="1"/>
    <x v="1"/>
    <x v="0"/>
    <x v="4"/>
  </r>
  <r>
    <x v="497"/>
    <x v="7"/>
    <x v="22"/>
    <x v="4"/>
    <x v="135"/>
    <n v="116"/>
    <n v="4.3"/>
    <x v="0"/>
    <x v="2"/>
    <x v="0"/>
    <x v="4"/>
  </r>
  <r>
    <x v="498"/>
    <x v="9"/>
    <x v="86"/>
    <x v="4"/>
    <x v="135"/>
    <n v="40"/>
    <n v="4.9000000000000004"/>
    <x v="0"/>
    <x v="0"/>
    <x v="0"/>
    <x v="4"/>
  </r>
  <r>
    <x v="499"/>
    <x v="9"/>
    <x v="147"/>
    <x v="3"/>
    <x v="135"/>
    <n v="40"/>
    <n v="4"/>
    <x v="0"/>
    <x v="2"/>
    <x v="0"/>
    <x v="4"/>
  </r>
  <r>
    <x v="500"/>
    <x v="13"/>
    <x v="50"/>
    <x v="2"/>
    <x v="136"/>
    <n v="82"/>
    <n v="4"/>
    <x v="0"/>
    <x v="2"/>
    <x v="0"/>
    <x v="5"/>
  </r>
  <r>
    <x v="501"/>
    <x v="8"/>
    <x v="6"/>
    <x v="0"/>
    <x v="136"/>
    <n v="62"/>
    <n v="3.4"/>
    <x v="0"/>
    <x v="1"/>
    <x v="0"/>
    <x v="5"/>
  </r>
  <r>
    <x v="502"/>
    <x v="3"/>
    <x v="64"/>
    <x v="0"/>
    <x v="136"/>
    <n v="135"/>
    <n v="3.9"/>
    <x v="2"/>
    <x v="2"/>
    <x v="0"/>
    <x v="5"/>
  </r>
  <r>
    <x v="503"/>
    <x v="13"/>
    <x v="50"/>
    <x v="1"/>
    <x v="136"/>
    <n v="155"/>
    <n v="2.1"/>
    <x v="0"/>
    <x v="3"/>
    <x v="0"/>
    <x v="5"/>
  </r>
  <r>
    <x v="504"/>
    <x v="6"/>
    <x v="62"/>
    <x v="2"/>
    <x v="136"/>
    <n v="37"/>
    <n v="4.9000000000000004"/>
    <x v="2"/>
    <x v="0"/>
    <x v="0"/>
    <x v="5"/>
  </r>
  <r>
    <x v="505"/>
    <x v="13"/>
    <x v="38"/>
    <x v="3"/>
    <x v="137"/>
    <n v="56"/>
    <n v="3.4"/>
    <x v="0"/>
    <x v="1"/>
    <x v="0"/>
    <x v="6"/>
  </r>
  <r>
    <x v="506"/>
    <x v="13"/>
    <x v="58"/>
    <x v="3"/>
    <x v="137"/>
    <n v="185"/>
    <n v="5"/>
    <x v="0"/>
    <x v="0"/>
    <x v="0"/>
    <x v="6"/>
  </r>
  <r>
    <x v="507"/>
    <x v="0"/>
    <x v="71"/>
    <x v="2"/>
    <x v="138"/>
    <n v="145"/>
    <n v="4.5"/>
    <x v="2"/>
    <x v="0"/>
    <x v="0"/>
    <x v="0"/>
  </r>
  <r>
    <x v="508"/>
    <x v="7"/>
    <x v="101"/>
    <x v="0"/>
    <x v="138"/>
    <n v="116"/>
    <n v="2.6"/>
    <x v="2"/>
    <x v="1"/>
    <x v="0"/>
    <x v="0"/>
  </r>
  <r>
    <x v="509"/>
    <x v="6"/>
    <x v="151"/>
    <x v="4"/>
    <x v="138"/>
    <n v="45"/>
    <n v="4.2"/>
    <x v="1"/>
    <x v="2"/>
    <x v="0"/>
    <x v="0"/>
  </r>
  <r>
    <x v="510"/>
    <x v="4"/>
    <x v="11"/>
    <x v="3"/>
    <x v="139"/>
    <n v="35"/>
    <n v="4.5"/>
    <x v="0"/>
    <x v="0"/>
    <x v="0"/>
    <x v="1"/>
  </r>
  <r>
    <x v="511"/>
    <x v="9"/>
    <x v="50"/>
    <x v="0"/>
    <x v="139"/>
    <n v="100"/>
    <n v="4.4000000000000004"/>
    <x v="0"/>
    <x v="2"/>
    <x v="0"/>
    <x v="1"/>
  </r>
  <r>
    <x v="512"/>
    <x v="9"/>
    <x v="63"/>
    <x v="2"/>
    <x v="140"/>
    <n v="125"/>
    <n v="3.5"/>
    <x v="0"/>
    <x v="2"/>
    <x v="0"/>
    <x v="2"/>
  </r>
  <r>
    <x v="513"/>
    <x v="6"/>
    <x v="104"/>
    <x v="4"/>
    <x v="140"/>
    <n v="120"/>
    <n v="3"/>
    <x v="1"/>
    <x v="1"/>
    <x v="0"/>
    <x v="2"/>
  </r>
  <r>
    <x v="514"/>
    <x v="11"/>
    <x v="30"/>
    <x v="1"/>
    <x v="140"/>
    <n v="180"/>
    <n v="4.7"/>
    <x v="0"/>
    <x v="0"/>
    <x v="0"/>
    <x v="2"/>
  </r>
  <r>
    <x v="515"/>
    <x v="5"/>
    <x v="47"/>
    <x v="0"/>
    <x v="140"/>
    <n v="44"/>
    <n v="3"/>
    <x v="0"/>
    <x v="1"/>
    <x v="0"/>
    <x v="2"/>
  </r>
  <r>
    <x v="516"/>
    <x v="10"/>
    <x v="48"/>
    <x v="4"/>
    <x v="140"/>
    <n v="86"/>
    <n v="3.6"/>
    <x v="0"/>
    <x v="2"/>
    <x v="0"/>
    <x v="2"/>
  </r>
  <r>
    <x v="517"/>
    <x v="6"/>
    <x v="32"/>
    <x v="4"/>
    <x v="141"/>
    <n v="120"/>
    <n v="4.0999999999999996"/>
    <x v="0"/>
    <x v="2"/>
    <x v="0"/>
    <x v="3"/>
  </r>
  <r>
    <x v="518"/>
    <x v="3"/>
    <x v="30"/>
    <x v="1"/>
    <x v="141"/>
    <n v="100"/>
    <n v="3.7"/>
    <x v="0"/>
    <x v="2"/>
    <x v="0"/>
    <x v="3"/>
  </r>
  <r>
    <x v="519"/>
    <x v="3"/>
    <x v="146"/>
    <x v="1"/>
    <x v="142"/>
    <n v="108"/>
    <n v="4.5"/>
    <x v="2"/>
    <x v="0"/>
    <x v="0"/>
    <x v="4"/>
  </r>
  <r>
    <x v="520"/>
    <x v="14"/>
    <x v="122"/>
    <x v="1"/>
    <x v="142"/>
    <n v="46"/>
    <n v="4.5999999999999996"/>
    <x v="2"/>
    <x v="0"/>
    <x v="0"/>
    <x v="4"/>
  </r>
  <r>
    <x v="521"/>
    <x v="7"/>
    <x v="75"/>
    <x v="4"/>
    <x v="142"/>
    <n v="210"/>
    <n v="4.3"/>
    <x v="0"/>
    <x v="2"/>
    <x v="0"/>
    <x v="4"/>
  </r>
  <r>
    <x v="522"/>
    <x v="12"/>
    <x v="56"/>
    <x v="2"/>
    <x v="143"/>
    <n v="54"/>
    <n v="4.8"/>
    <x v="1"/>
    <x v="0"/>
    <x v="0"/>
    <x v="6"/>
  </r>
  <r>
    <x v="523"/>
    <x v="5"/>
    <x v="52"/>
    <x v="4"/>
    <x v="143"/>
    <n v="115"/>
    <n v="4.7"/>
    <x v="1"/>
    <x v="0"/>
    <x v="0"/>
    <x v="6"/>
  </r>
  <r>
    <x v="524"/>
    <x v="11"/>
    <x v="4"/>
    <x v="1"/>
    <x v="144"/>
    <n v="100"/>
    <n v="2.2000000000000002"/>
    <x v="2"/>
    <x v="3"/>
    <x v="0"/>
    <x v="0"/>
  </r>
  <r>
    <x v="525"/>
    <x v="2"/>
    <x v="29"/>
    <x v="4"/>
    <x v="144"/>
    <n v="38"/>
    <n v="4.4000000000000004"/>
    <x v="0"/>
    <x v="2"/>
    <x v="0"/>
    <x v="0"/>
  </r>
  <r>
    <x v="526"/>
    <x v="12"/>
    <x v="13"/>
    <x v="2"/>
    <x v="145"/>
    <n v="120"/>
    <n v="4.0999999999999996"/>
    <x v="2"/>
    <x v="2"/>
    <x v="0"/>
    <x v="1"/>
  </r>
  <r>
    <x v="527"/>
    <x v="9"/>
    <x v="13"/>
    <x v="2"/>
    <x v="145"/>
    <n v="120"/>
    <n v="4.0999999999999996"/>
    <x v="2"/>
    <x v="2"/>
    <x v="0"/>
    <x v="1"/>
  </r>
  <r>
    <x v="528"/>
    <x v="1"/>
    <x v="87"/>
    <x v="1"/>
    <x v="145"/>
    <n v="29"/>
    <n v="4.4000000000000004"/>
    <x v="1"/>
    <x v="2"/>
    <x v="0"/>
    <x v="1"/>
  </r>
  <r>
    <x v="529"/>
    <x v="10"/>
    <x v="111"/>
    <x v="1"/>
    <x v="146"/>
    <n v="25"/>
    <n v="3.7"/>
    <x v="1"/>
    <x v="2"/>
    <x v="0"/>
    <x v="2"/>
  </r>
  <r>
    <x v="530"/>
    <x v="13"/>
    <x v="1"/>
    <x v="4"/>
    <x v="147"/>
    <n v="116"/>
    <n v="3.8"/>
    <x v="0"/>
    <x v="2"/>
    <x v="0"/>
    <x v="3"/>
  </r>
  <r>
    <x v="531"/>
    <x v="1"/>
    <x v="58"/>
    <x v="2"/>
    <x v="148"/>
    <n v="132"/>
    <n v="4.3"/>
    <x v="0"/>
    <x v="2"/>
    <x v="0"/>
    <x v="4"/>
  </r>
  <r>
    <x v="532"/>
    <x v="10"/>
    <x v="44"/>
    <x v="4"/>
    <x v="149"/>
    <n v="90"/>
    <n v="3.5"/>
    <x v="2"/>
    <x v="2"/>
    <x v="0"/>
    <x v="5"/>
  </r>
  <r>
    <x v="533"/>
    <x v="7"/>
    <x v="119"/>
    <x v="0"/>
    <x v="149"/>
    <n v="87"/>
    <n v="4.0999999999999996"/>
    <x v="1"/>
    <x v="2"/>
    <x v="0"/>
    <x v="5"/>
  </r>
  <r>
    <x v="534"/>
    <x v="6"/>
    <x v="52"/>
    <x v="4"/>
    <x v="149"/>
    <n v="140"/>
    <n v="4.2"/>
    <x v="1"/>
    <x v="2"/>
    <x v="0"/>
    <x v="5"/>
  </r>
  <r>
    <x v="535"/>
    <x v="8"/>
    <x v="77"/>
    <x v="4"/>
    <x v="149"/>
    <n v="164"/>
    <n v="4.5"/>
    <x v="0"/>
    <x v="0"/>
    <x v="0"/>
    <x v="5"/>
  </r>
  <r>
    <x v="536"/>
    <x v="5"/>
    <x v="15"/>
    <x v="2"/>
    <x v="150"/>
    <n v="180"/>
    <n v="3.8"/>
    <x v="0"/>
    <x v="2"/>
    <x v="0"/>
    <x v="6"/>
  </r>
  <r>
    <x v="537"/>
    <x v="14"/>
    <x v="75"/>
    <x v="3"/>
    <x v="151"/>
    <n v="22"/>
    <n v="4.0999999999999996"/>
    <x v="0"/>
    <x v="2"/>
    <x v="0"/>
    <x v="0"/>
  </r>
  <r>
    <x v="538"/>
    <x v="4"/>
    <x v="52"/>
    <x v="0"/>
    <x v="151"/>
    <n v="82"/>
    <n v="4.4000000000000004"/>
    <x v="1"/>
    <x v="2"/>
    <x v="0"/>
    <x v="0"/>
  </r>
  <r>
    <x v="539"/>
    <x v="0"/>
    <x v="56"/>
    <x v="2"/>
    <x v="151"/>
    <n v="100"/>
    <n v="4.5999999999999996"/>
    <x v="1"/>
    <x v="0"/>
    <x v="0"/>
    <x v="0"/>
  </r>
  <r>
    <x v="540"/>
    <x v="8"/>
    <x v="51"/>
    <x v="4"/>
    <x v="152"/>
    <n v="52"/>
    <n v="3.4"/>
    <x v="0"/>
    <x v="1"/>
    <x v="0"/>
    <x v="1"/>
  </r>
  <r>
    <x v="541"/>
    <x v="8"/>
    <x v="110"/>
    <x v="0"/>
    <x v="153"/>
    <n v="84"/>
    <n v="4.5999999999999996"/>
    <x v="1"/>
    <x v="0"/>
    <x v="0"/>
    <x v="2"/>
  </r>
  <r>
    <x v="542"/>
    <x v="8"/>
    <x v="73"/>
    <x v="0"/>
    <x v="153"/>
    <n v="37"/>
    <n v="3.9"/>
    <x v="2"/>
    <x v="2"/>
    <x v="0"/>
    <x v="2"/>
  </r>
  <r>
    <x v="543"/>
    <x v="11"/>
    <x v="120"/>
    <x v="2"/>
    <x v="154"/>
    <n v="190"/>
    <n v="4"/>
    <x v="1"/>
    <x v="2"/>
    <x v="0"/>
    <x v="3"/>
  </r>
  <r>
    <x v="544"/>
    <x v="6"/>
    <x v="128"/>
    <x v="1"/>
    <x v="154"/>
    <n v="66"/>
    <n v="3.4"/>
    <x v="1"/>
    <x v="1"/>
    <x v="0"/>
    <x v="3"/>
  </r>
  <r>
    <x v="545"/>
    <x v="1"/>
    <x v="95"/>
    <x v="4"/>
    <x v="155"/>
    <n v="116"/>
    <n v="3.2"/>
    <x v="0"/>
    <x v="1"/>
    <x v="0"/>
    <x v="4"/>
  </r>
  <r>
    <x v="546"/>
    <x v="12"/>
    <x v="67"/>
    <x v="3"/>
    <x v="155"/>
    <n v="28"/>
    <n v="3.9"/>
    <x v="0"/>
    <x v="2"/>
    <x v="0"/>
    <x v="4"/>
  </r>
  <r>
    <x v="547"/>
    <x v="4"/>
    <x v="6"/>
    <x v="4"/>
    <x v="155"/>
    <n v="120"/>
    <n v="5"/>
    <x v="0"/>
    <x v="0"/>
    <x v="0"/>
    <x v="4"/>
  </r>
  <r>
    <x v="548"/>
    <x v="2"/>
    <x v="131"/>
    <x v="2"/>
    <x v="155"/>
    <n v="56"/>
    <n v="3.5"/>
    <x v="0"/>
    <x v="2"/>
    <x v="0"/>
    <x v="4"/>
  </r>
  <r>
    <x v="549"/>
    <x v="2"/>
    <x v="8"/>
    <x v="0"/>
    <x v="155"/>
    <n v="170"/>
    <n v="3.8"/>
    <x v="2"/>
    <x v="2"/>
    <x v="0"/>
    <x v="4"/>
  </r>
  <r>
    <x v="550"/>
    <x v="12"/>
    <x v="76"/>
    <x v="2"/>
    <x v="156"/>
    <n v="200"/>
    <n v="4.8"/>
    <x v="1"/>
    <x v="0"/>
    <x v="0"/>
    <x v="5"/>
  </r>
  <r>
    <x v="551"/>
    <x v="4"/>
    <x v="35"/>
    <x v="4"/>
    <x v="157"/>
    <n v="50"/>
    <n v="4.2"/>
    <x v="1"/>
    <x v="2"/>
    <x v="0"/>
    <x v="6"/>
  </r>
  <r>
    <x v="552"/>
    <x v="0"/>
    <x v="32"/>
    <x v="3"/>
    <x v="157"/>
    <n v="112"/>
    <n v="3.7"/>
    <x v="0"/>
    <x v="2"/>
    <x v="0"/>
    <x v="6"/>
  </r>
  <r>
    <x v="553"/>
    <x v="14"/>
    <x v="99"/>
    <x v="4"/>
    <x v="158"/>
    <n v="39"/>
    <n v="4.8"/>
    <x v="0"/>
    <x v="0"/>
    <x v="0"/>
    <x v="0"/>
  </r>
  <r>
    <x v="554"/>
    <x v="6"/>
    <x v="106"/>
    <x v="3"/>
    <x v="158"/>
    <n v="38"/>
    <n v="4.8"/>
    <x v="0"/>
    <x v="0"/>
    <x v="0"/>
    <x v="0"/>
  </r>
  <r>
    <x v="555"/>
    <x v="5"/>
    <x v="4"/>
    <x v="4"/>
    <x v="159"/>
    <n v="84"/>
    <n v="2.9"/>
    <x v="2"/>
    <x v="1"/>
    <x v="0"/>
    <x v="1"/>
  </r>
  <r>
    <x v="556"/>
    <x v="8"/>
    <x v="147"/>
    <x v="2"/>
    <x v="160"/>
    <n v="82"/>
    <n v="3.5"/>
    <x v="0"/>
    <x v="2"/>
    <x v="0"/>
    <x v="2"/>
  </r>
  <r>
    <x v="557"/>
    <x v="14"/>
    <x v="152"/>
    <x v="3"/>
    <x v="160"/>
    <n v="37"/>
    <n v="0.9"/>
    <x v="1"/>
    <x v="5"/>
    <x v="0"/>
    <x v="2"/>
  </r>
  <r>
    <x v="558"/>
    <x v="2"/>
    <x v="49"/>
    <x v="1"/>
    <x v="161"/>
    <n v="87"/>
    <n v="3.4"/>
    <x v="1"/>
    <x v="1"/>
    <x v="0"/>
    <x v="3"/>
  </r>
  <r>
    <x v="559"/>
    <x v="2"/>
    <x v="21"/>
    <x v="1"/>
    <x v="161"/>
    <n v="75"/>
    <n v="2.7"/>
    <x v="0"/>
    <x v="1"/>
    <x v="0"/>
    <x v="3"/>
  </r>
  <r>
    <x v="560"/>
    <x v="5"/>
    <x v="24"/>
    <x v="4"/>
    <x v="161"/>
    <n v="32"/>
    <n v="4.7"/>
    <x v="0"/>
    <x v="0"/>
    <x v="0"/>
    <x v="3"/>
  </r>
  <r>
    <x v="561"/>
    <x v="13"/>
    <x v="8"/>
    <x v="2"/>
    <x v="161"/>
    <n v="33"/>
    <n v="3"/>
    <x v="2"/>
    <x v="1"/>
    <x v="0"/>
    <x v="3"/>
  </r>
  <r>
    <x v="562"/>
    <x v="13"/>
    <x v="9"/>
    <x v="0"/>
    <x v="161"/>
    <n v="76"/>
    <n v="4.2"/>
    <x v="0"/>
    <x v="2"/>
    <x v="0"/>
    <x v="3"/>
  </r>
  <r>
    <x v="563"/>
    <x v="11"/>
    <x v="33"/>
    <x v="0"/>
    <x v="161"/>
    <n v="117"/>
    <n v="4.8"/>
    <x v="0"/>
    <x v="0"/>
    <x v="0"/>
    <x v="3"/>
  </r>
  <r>
    <x v="564"/>
    <x v="5"/>
    <x v="144"/>
    <x v="2"/>
    <x v="162"/>
    <n v="70"/>
    <n v="4.0999999999999996"/>
    <x v="2"/>
    <x v="2"/>
    <x v="0"/>
    <x v="5"/>
  </r>
  <r>
    <x v="565"/>
    <x v="5"/>
    <x v="33"/>
    <x v="1"/>
    <x v="162"/>
    <n v="37"/>
    <n v="2.7"/>
    <x v="0"/>
    <x v="1"/>
    <x v="0"/>
    <x v="5"/>
  </r>
  <r>
    <x v="566"/>
    <x v="2"/>
    <x v="74"/>
    <x v="0"/>
    <x v="162"/>
    <n v="46"/>
    <n v="2.9"/>
    <x v="0"/>
    <x v="1"/>
    <x v="0"/>
    <x v="5"/>
  </r>
  <r>
    <x v="567"/>
    <x v="7"/>
    <x v="38"/>
    <x v="4"/>
    <x v="162"/>
    <n v="136"/>
    <n v="5"/>
    <x v="0"/>
    <x v="0"/>
    <x v="0"/>
    <x v="5"/>
  </r>
  <r>
    <x v="568"/>
    <x v="2"/>
    <x v="115"/>
    <x v="0"/>
    <x v="163"/>
    <n v="44"/>
    <n v="4.5999999999999996"/>
    <x v="1"/>
    <x v="0"/>
    <x v="0"/>
    <x v="6"/>
  </r>
  <r>
    <x v="569"/>
    <x v="9"/>
    <x v="41"/>
    <x v="3"/>
    <x v="163"/>
    <n v="69"/>
    <n v="3"/>
    <x v="0"/>
    <x v="1"/>
    <x v="0"/>
    <x v="6"/>
  </r>
  <r>
    <x v="570"/>
    <x v="7"/>
    <x v="143"/>
    <x v="2"/>
    <x v="164"/>
    <n v="86"/>
    <n v="4.5999999999999996"/>
    <x v="2"/>
    <x v="0"/>
    <x v="0"/>
    <x v="0"/>
  </r>
  <r>
    <x v="571"/>
    <x v="5"/>
    <x v="115"/>
    <x v="4"/>
    <x v="164"/>
    <n v="68"/>
    <n v="4.5"/>
    <x v="1"/>
    <x v="0"/>
    <x v="0"/>
    <x v="0"/>
  </r>
  <r>
    <x v="572"/>
    <x v="8"/>
    <x v="123"/>
    <x v="2"/>
    <x v="165"/>
    <n v="21"/>
    <n v="3.7"/>
    <x v="1"/>
    <x v="2"/>
    <x v="0"/>
    <x v="1"/>
  </r>
  <r>
    <x v="573"/>
    <x v="2"/>
    <x v="117"/>
    <x v="1"/>
    <x v="165"/>
    <n v="190"/>
    <n v="2.4"/>
    <x v="1"/>
    <x v="3"/>
    <x v="0"/>
    <x v="1"/>
  </r>
  <r>
    <x v="574"/>
    <x v="5"/>
    <x v="122"/>
    <x v="0"/>
    <x v="165"/>
    <n v="176"/>
    <n v="4.3"/>
    <x v="2"/>
    <x v="2"/>
    <x v="0"/>
    <x v="1"/>
  </r>
  <r>
    <x v="575"/>
    <x v="11"/>
    <x v="7"/>
    <x v="4"/>
    <x v="165"/>
    <n v="172"/>
    <n v="3.9"/>
    <x v="2"/>
    <x v="2"/>
    <x v="0"/>
    <x v="1"/>
  </r>
  <r>
    <x v="576"/>
    <x v="4"/>
    <x v="129"/>
    <x v="2"/>
    <x v="165"/>
    <n v="84"/>
    <n v="4.5"/>
    <x v="3"/>
    <x v="0"/>
    <x v="0"/>
    <x v="1"/>
  </r>
  <r>
    <x v="577"/>
    <x v="1"/>
    <x v="35"/>
    <x v="3"/>
    <x v="166"/>
    <n v="42"/>
    <n v="5"/>
    <x v="1"/>
    <x v="0"/>
    <x v="0"/>
    <x v="2"/>
  </r>
  <r>
    <x v="578"/>
    <x v="7"/>
    <x v="47"/>
    <x v="1"/>
    <x v="166"/>
    <n v="70"/>
    <n v="1.6"/>
    <x v="0"/>
    <x v="3"/>
    <x v="0"/>
    <x v="2"/>
  </r>
  <r>
    <x v="579"/>
    <x v="9"/>
    <x v="10"/>
    <x v="3"/>
    <x v="166"/>
    <n v="60"/>
    <n v="4.3"/>
    <x v="1"/>
    <x v="2"/>
    <x v="0"/>
    <x v="2"/>
  </r>
  <r>
    <x v="580"/>
    <x v="6"/>
    <x v="58"/>
    <x v="1"/>
    <x v="166"/>
    <n v="84"/>
    <n v="3.5"/>
    <x v="0"/>
    <x v="2"/>
    <x v="0"/>
    <x v="2"/>
  </r>
  <r>
    <x v="581"/>
    <x v="8"/>
    <x v="24"/>
    <x v="0"/>
    <x v="167"/>
    <n v="68"/>
    <n v="3.1"/>
    <x v="0"/>
    <x v="1"/>
    <x v="0"/>
    <x v="3"/>
  </r>
  <r>
    <x v="582"/>
    <x v="13"/>
    <x v="16"/>
    <x v="0"/>
    <x v="167"/>
    <n v="44"/>
    <n v="2.9"/>
    <x v="3"/>
    <x v="1"/>
    <x v="0"/>
    <x v="3"/>
  </r>
  <r>
    <x v="583"/>
    <x v="6"/>
    <x v="9"/>
    <x v="3"/>
    <x v="168"/>
    <n v="99"/>
    <n v="3.2"/>
    <x v="0"/>
    <x v="1"/>
    <x v="0"/>
    <x v="4"/>
  </r>
  <r>
    <x v="584"/>
    <x v="7"/>
    <x v="73"/>
    <x v="3"/>
    <x v="169"/>
    <n v="66"/>
    <n v="3.2"/>
    <x v="2"/>
    <x v="1"/>
    <x v="0"/>
    <x v="5"/>
  </r>
  <r>
    <x v="585"/>
    <x v="3"/>
    <x v="6"/>
    <x v="3"/>
    <x v="169"/>
    <n v="102"/>
    <n v="4.5"/>
    <x v="0"/>
    <x v="0"/>
    <x v="0"/>
    <x v="5"/>
  </r>
  <r>
    <x v="586"/>
    <x v="8"/>
    <x v="31"/>
    <x v="0"/>
    <x v="170"/>
    <n v="129"/>
    <n v="3.9"/>
    <x v="0"/>
    <x v="2"/>
    <x v="1"/>
    <x v="6"/>
  </r>
  <r>
    <x v="587"/>
    <x v="12"/>
    <x v="118"/>
    <x v="3"/>
    <x v="170"/>
    <n v="80"/>
    <n v="4.2"/>
    <x v="0"/>
    <x v="2"/>
    <x v="1"/>
    <x v="6"/>
  </r>
  <r>
    <x v="588"/>
    <x v="3"/>
    <x v="39"/>
    <x v="3"/>
    <x v="170"/>
    <n v="54"/>
    <n v="1.8"/>
    <x v="2"/>
    <x v="3"/>
    <x v="1"/>
    <x v="6"/>
  </r>
  <r>
    <x v="589"/>
    <x v="13"/>
    <x v="113"/>
    <x v="0"/>
    <x v="170"/>
    <n v="116"/>
    <n v="4.2"/>
    <x v="1"/>
    <x v="2"/>
    <x v="1"/>
    <x v="6"/>
  </r>
  <r>
    <x v="590"/>
    <x v="13"/>
    <x v="88"/>
    <x v="2"/>
    <x v="170"/>
    <n v="102"/>
    <n v="3.1"/>
    <x v="1"/>
    <x v="1"/>
    <x v="1"/>
    <x v="6"/>
  </r>
  <r>
    <x v="591"/>
    <x v="10"/>
    <x v="3"/>
    <x v="1"/>
    <x v="170"/>
    <n v="140"/>
    <n v="4.3"/>
    <x v="1"/>
    <x v="2"/>
    <x v="1"/>
    <x v="6"/>
  </r>
  <r>
    <x v="592"/>
    <x v="7"/>
    <x v="50"/>
    <x v="1"/>
    <x v="171"/>
    <n v="104"/>
    <n v="4.4000000000000004"/>
    <x v="0"/>
    <x v="2"/>
    <x v="1"/>
    <x v="0"/>
  </r>
  <r>
    <x v="593"/>
    <x v="10"/>
    <x v="12"/>
    <x v="3"/>
    <x v="171"/>
    <n v="81"/>
    <n v="4.4000000000000004"/>
    <x v="1"/>
    <x v="2"/>
    <x v="1"/>
    <x v="0"/>
  </r>
  <r>
    <x v="594"/>
    <x v="6"/>
    <x v="66"/>
    <x v="4"/>
    <x v="172"/>
    <n v="140"/>
    <n v="2.4"/>
    <x v="0"/>
    <x v="3"/>
    <x v="1"/>
    <x v="2"/>
  </r>
  <r>
    <x v="595"/>
    <x v="1"/>
    <x v="82"/>
    <x v="0"/>
    <x v="173"/>
    <n v="120"/>
    <n v="3.5"/>
    <x v="2"/>
    <x v="2"/>
    <x v="1"/>
    <x v="3"/>
  </r>
  <r>
    <x v="596"/>
    <x v="6"/>
    <x v="2"/>
    <x v="3"/>
    <x v="173"/>
    <n v="41"/>
    <n v="3.1"/>
    <x v="0"/>
    <x v="1"/>
    <x v="1"/>
    <x v="3"/>
  </r>
  <r>
    <x v="597"/>
    <x v="4"/>
    <x v="3"/>
    <x v="3"/>
    <x v="173"/>
    <n v="116"/>
    <n v="2.2999999999999998"/>
    <x v="1"/>
    <x v="3"/>
    <x v="1"/>
    <x v="3"/>
  </r>
  <r>
    <x v="598"/>
    <x v="0"/>
    <x v="9"/>
    <x v="0"/>
    <x v="174"/>
    <n v="70"/>
    <n v="2.8"/>
    <x v="0"/>
    <x v="1"/>
    <x v="1"/>
    <x v="4"/>
  </r>
  <r>
    <x v="599"/>
    <x v="10"/>
    <x v="144"/>
    <x v="2"/>
    <x v="174"/>
    <n v="42"/>
    <n v="4.5"/>
    <x v="2"/>
    <x v="0"/>
    <x v="1"/>
    <x v="4"/>
  </r>
  <r>
    <x v="600"/>
    <x v="4"/>
    <x v="71"/>
    <x v="1"/>
    <x v="175"/>
    <n v="112"/>
    <n v="4.5"/>
    <x v="2"/>
    <x v="0"/>
    <x v="1"/>
    <x v="5"/>
  </r>
  <r>
    <x v="601"/>
    <x v="3"/>
    <x v="99"/>
    <x v="3"/>
    <x v="175"/>
    <n v="20"/>
    <n v="4.5"/>
    <x v="0"/>
    <x v="0"/>
    <x v="1"/>
    <x v="5"/>
  </r>
  <r>
    <x v="602"/>
    <x v="8"/>
    <x v="118"/>
    <x v="2"/>
    <x v="176"/>
    <n v="110"/>
    <n v="4.8"/>
    <x v="0"/>
    <x v="0"/>
    <x v="1"/>
    <x v="6"/>
  </r>
  <r>
    <x v="603"/>
    <x v="5"/>
    <x v="4"/>
    <x v="2"/>
    <x v="176"/>
    <n v="39"/>
    <n v="4.5999999999999996"/>
    <x v="2"/>
    <x v="0"/>
    <x v="1"/>
    <x v="6"/>
  </r>
  <r>
    <x v="604"/>
    <x v="8"/>
    <x v="114"/>
    <x v="0"/>
    <x v="176"/>
    <n v="76"/>
    <n v="4.5"/>
    <x v="0"/>
    <x v="0"/>
    <x v="1"/>
    <x v="6"/>
  </r>
  <r>
    <x v="605"/>
    <x v="1"/>
    <x v="54"/>
    <x v="0"/>
    <x v="176"/>
    <n v="40"/>
    <n v="5"/>
    <x v="2"/>
    <x v="0"/>
    <x v="1"/>
    <x v="6"/>
  </r>
  <r>
    <x v="606"/>
    <x v="8"/>
    <x v="144"/>
    <x v="3"/>
    <x v="176"/>
    <n v="42"/>
    <n v="4.8"/>
    <x v="2"/>
    <x v="0"/>
    <x v="1"/>
    <x v="6"/>
  </r>
  <r>
    <x v="607"/>
    <x v="2"/>
    <x v="106"/>
    <x v="4"/>
    <x v="177"/>
    <n v="215"/>
    <n v="3.5"/>
    <x v="0"/>
    <x v="2"/>
    <x v="1"/>
    <x v="0"/>
  </r>
  <r>
    <x v="608"/>
    <x v="9"/>
    <x v="11"/>
    <x v="4"/>
    <x v="178"/>
    <n v="130"/>
    <n v="3.4"/>
    <x v="0"/>
    <x v="1"/>
    <x v="1"/>
    <x v="1"/>
  </r>
  <r>
    <x v="609"/>
    <x v="11"/>
    <x v="144"/>
    <x v="4"/>
    <x v="178"/>
    <n v="190"/>
    <n v="3.3"/>
    <x v="2"/>
    <x v="1"/>
    <x v="1"/>
    <x v="1"/>
  </r>
  <r>
    <x v="610"/>
    <x v="4"/>
    <x v="85"/>
    <x v="2"/>
    <x v="178"/>
    <n v="164"/>
    <n v="4.9000000000000004"/>
    <x v="1"/>
    <x v="0"/>
    <x v="1"/>
    <x v="1"/>
  </r>
  <r>
    <x v="611"/>
    <x v="14"/>
    <x v="37"/>
    <x v="1"/>
    <x v="179"/>
    <n v="76"/>
    <n v="4.5"/>
    <x v="1"/>
    <x v="0"/>
    <x v="1"/>
    <x v="2"/>
  </r>
  <r>
    <x v="612"/>
    <x v="2"/>
    <x v="21"/>
    <x v="1"/>
    <x v="180"/>
    <n v="87"/>
    <n v="4.8"/>
    <x v="0"/>
    <x v="0"/>
    <x v="1"/>
    <x v="3"/>
  </r>
  <r>
    <x v="613"/>
    <x v="7"/>
    <x v="64"/>
    <x v="4"/>
    <x v="180"/>
    <n v="84"/>
    <n v="4.8"/>
    <x v="2"/>
    <x v="0"/>
    <x v="1"/>
    <x v="3"/>
  </r>
  <r>
    <x v="614"/>
    <x v="10"/>
    <x v="59"/>
    <x v="3"/>
    <x v="180"/>
    <n v="114"/>
    <n v="3.9"/>
    <x v="0"/>
    <x v="2"/>
    <x v="1"/>
    <x v="3"/>
  </r>
  <r>
    <x v="615"/>
    <x v="9"/>
    <x v="53"/>
    <x v="1"/>
    <x v="181"/>
    <n v="56"/>
    <n v="3.9"/>
    <x v="0"/>
    <x v="2"/>
    <x v="1"/>
    <x v="4"/>
  </r>
  <r>
    <x v="616"/>
    <x v="14"/>
    <x v="148"/>
    <x v="2"/>
    <x v="181"/>
    <n v="27"/>
    <n v="3.7"/>
    <x v="2"/>
    <x v="2"/>
    <x v="1"/>
    <x v="4"/>
  </r>
  <r>
    <x v="617"/>
    <x v="1"/>
    <x v="7"/>
    <x v="0"/>
    <x v="182"/>
    <n v="84"/>
    <n v="4.8"/>
    <x v="2"/>
    <x v="0"/>
    <x v="1"/>
    <x v="5"/>
  </r>
  <r>
    <x v="618"/>
    <x v="7"/>
    <x v="57"/>
    <x v="2"/>
    <x v="182"/>
    <n v="72"/>
    <n v="3.5"/>
    <x v="1"/>
    <x v="2"/>
    <x v="1"/>
    <x v="5"/>
  </r>
  <r>
    <x v="619"/>
    <x v="2"/>
    <x v="75"/>
    <x v="3"/>
    <x v="183"/>
    <n v="126"/>
    <n v="4.2"/>
    <x v="0"/>
    <x v="2"/>
    <x v="1"/>
    <x v="6"/>
  </r>
  <r>
    <x v="620"/>
    <x v="1"/>
    <x v="24"/>
    <x v="2"/>
    <x v="184"/>
    <n v="88"/>
    <n v="4.9000000000000004"/>
    <x v="0"/>
    <x v="0"/>
    <x v="1"/>
    <x v="0"/>
  </r>
  <r>
    <x v="621"/>
    <x v="0"/>
    <x v="39"/>
    <x v="2"/>
    <x v="184"/>
    <n v="124"/>
    <n v="4.5999999999999996"/>
    <x v="2"/>
    <x v="0"/>
    <x v="1"/>
    <x v="0"/>
  </r>
  <r>
    <x v="622"/>
    <x v="13"/>
    <x v="65"/>
    <x v="2"/>
    <x v="185"/>
    <n v="84"/>
    <n v="2.6"/>
    <x v="1"/>
    <x v="1"/>
    <x v="1"/>
    <x v="1"/>
  </r>
  <r>
    <x v="623"/>
    <x v="9"/>
    <x v="115"/>
    <x v="3"/>
    <x v="185"/>
    <n v="80"/>
    <n v="2.7"/>
    <x v="1"/>
    <x v="1"/>
    <x v="1"/>
    <x v="1"/>
  </r>
  <r>
    <x v="624"/>
    <x v="12"/>
    <x v="28"/>
    <x v="3"/>
    <x v="186"/>
    <n v="176"/>
    <n v="4.7"/>
    <x v="0"/>
    <x v="0"/>
    <x v="1"/>
    <x v="2"/>
  </r>
  <r>
    <x v="625"/>
    <x v="0"/>
    <x v="77"/>
    <x v="4"/>
    <x v="187"/>
    <n v="84"/>
    <n v="3.9"/>
    <x v="0"/>
    <x v="2"/>
    <x v="1"/>
    <x v="3"/>
  </r>
  <r>
    <x v="626"/>
    <x v="1"/>
    <x v="111"/>
    <x v="4"/>
    <x v="187"/>
    <n v="164"/>
    <n v="2.8"/>
    <x v="1"/>
    <x v="1"/>
    <x v="1"/>
    <x v="3"/>
  </r>
  <r>
    <x v="627"/>
    <x v="14"/>
    <x v="66"/>
    <x v="0"/>
    <x v="187"/>
    <n v="132"/>
    <n v="3.1"/>
    <x v="0"/>
    <x v="1"/>
    <x v="1"/>
    <x v="3"/>
  </r>
  <r>
    <x v="628"/>
    <x v="9"/>
    <x v="153"/>
    <x v="2"/>
    <x v="188"/>
    <n v="27"/>
    <n v="4.2"/>
    <x v="1"/>
    <x v="2"/>
    <x v="1"/>
    <x v="4"/>
  </r>
  <r>
    <x v="629"/>
    <x v="1"/>
    <x v="108"/>
    <x v="3"/>
    <x v="188"/>
    <n v="27"/>
    <n v="4.3"/>
    <x v="2"/>
    <x v="2"/>
    <x v="1"/>
    <x v="4"/>
  </r>
  <r>
    <x v="630"/>
    <x v="1"/>
    <x v="110"/>
    <x v="1"/>
    <x v="188"/>
    <n v="20"/>
    <n v="2.7"/>
    <x v="1"/>
    <x v="1"/>
    <x v="1"/>
    <x v="4"/>
  </r>
  <r>
    <x v="631"/>
    <x v="9"/>
    <x v="103"/>
    <x v="3"/>
    <x v="189"/>
    <n v="112"/>
    <n v="2.2999999999999998"/>
    <x v="2"/>
    <x v="3"/>
    <x v="1"/>
    <x v="5"/>
  </r>
  <r>
    <x v="632"/>
    <x v="3"/>
    <x v="73"/>
    <x v="2"/>
    <x v="189"/>
    <n v="60"/>
    <n v="2.2999999999999998"/>
    <x v="2"/>
    <x v="3"/>
    <x v="1"/>
    <x v="5"/>
  </r>
  <r>
    <x v="633"/>
    <x v="3"/>
    <x v="111"/>
    <x v="2"/>
    <x v="190"/>
    <n v="102"/>
    <n v="2.9"/>
    <x v="1"/>
    <x v="1"/>
    <x v="1"/>
    <x v="6"/>
  </r>
  <r>
    <x v="634"/>
    <x v="4"/>
    <x v="19"/>
    <x v="2"/>
    <x v="190"/>
    <n v="38"/>
    <n v="4.2"/>
    <x v="0"/>
    <x v="2"/>
    <x v="1"/>
    <x v="6"/>
  </r>
  <r>
    <x v="635"/>
    <x v="9"/>
    <x v="154"/>
    <x v="0"/>
    <x v="190"/>
    <n v="82"/>
    <n v="4.5999999999999996"/>
    <x v="1"/>
    <x v="0"/>
    <x v="1"/>
    <x v="6"/>
  </r>
  <r>
    <x v="636"/>
    <x v="3"/>
    <x v="69"/>
    <x v="1"/>
    <x v="191"/>
    <n v="125"/>
    <n v="4.5"/>
    <x v="0"/>
    <x v="0"/>
    <x v="1"/>
    <x v="2"/>
  </r>
  <r>
    <x v="637"/>
    <x v="11"/>
    <x v="155"/>
    <x v="4"/>
    <x v="192"/>
    <n v="72"/>
    <n v="3.7"/>
    <x v="4"/>
    <x v="2"/>
    <x v="1"/>
    <x v="3"/>
  </r>
  <r>
    <x v="638"/>
    <x v="1"/>
    <x v="87"/>
    <x v="4"/>
    <x v="192"/>
    <n v="195"/>
    <n v="4.0999999999999996"/>
    <x v="1"/>
    <x v="2"/>
    <x v="1"/>
    <x v="3"/>
  </r>
  <r>
    <x v="639"/>
    <x v="9"/>
    <x v="7"/>
    <x v="4"/>
    <x v="193"/>
    <n v="160"/>
    <n v="3.4"/>
    <x v="2"/>
    <x v="1"/>
    <x v="1"/>
    <x v="4"/>
  </r>
  <r>
    <x v="640"/>
    <x v="12"/>
    <x v="29"/>
    <x v="0"/>
    <x v="193"/>
    <n v="78"/>
    <n v="3.3"/>
    <x v="0"/>
    <x v="1"/>
    <x v="1"/>
    <x v="4"/>
  </r>
  <r>
    <x v="641"/>
    <x v="0"/>
    <x v="83"/>
    <x v="0"/>
    <x v="194"/>
    <n v="70"/>
    <n v="4.4000000000000004"/>
    <x v="0"/>
    <x v="2"/>
    <x v="1"/>
    <x v="5"/>
  </r>
  <r>
    <x v="642"/>
    <x v="2"/>
    <x v="32"/>
    <x v="3"/>
    <x v="194"/>
    <n v="105"/>
    <n v="4.2"/>
    <x v="0"/>
    <x v="2"/>
    <x v="1"/>
    <x v="5"/>
  </r>
  <r>
    <x v="643"/>
    <x v="0"/>
    <x v="99"/>
    <x v="3"/>
    <x v="195"/>
    <n v="78"/>
    <n v="3.4"/>
    <x v="0"/>
    <x v="1"/>
    <x v="1"/>
    <x v="6"/>
  </r>
  <r>
    <x v="644"/>
    <x v="13"/>
    <x v="67"/>
    <x v="3"/>
    <x v="196"/>
    <n v="205"/>
    <n v="4.4000000000000004"/>
    <x v="0"/>
    <x v="2"/>
    <x v="1"/>
    <x v="1"/>
  </r>
  <r>
    <x v="645"/>
    <x v="8"/>
    <x v="151"/>
    <x v="3"/>
    <x v="196"/>
    <n v="78"/>
    <n v="2.7"/>
    <x v="1"/>
    <x v="1"/>
    <x v="1"/>
    <x v="1"/>
  </r>
  <r>
    <x v="646"/>
    <x v="1"/>
    <x v="20"/>
    <x v="4"/>
    <x v="196"/>
    <n v="38"/>
    <n v="4.5"/>
    <x v="2"/>
    <x v="0"/>
    <x v="1"/>
    <x v="1"/>
  </r>
  <r>
    <x v="647"/>
    <x v="13"/>
    <x v="148"/>
    <x v="2"/>
    <x v="196"/>
    <n v="92"/>
    <n v="1.7"/>
    <x v="2"/>
    <x v="3"/>
    <x v="1"/>
    <x v="1"/>
  </r>
  <r>
    <x v="648"/>
    <x v="14"/>
    <x v="156"/>
    <x v="0"/>
    <x v="196"/>
    <n v="36"/>
    <n v="4.7"/>
    <x v="1"/>
    <x v="0"/>
    <x v="1"/>
    <x v="1"/>
  </r>
  <r>
    <x v="649"/>
    <x v="12"/>
    <x v="137"/>
    <x v="1"/>
    <x v="196"/>
    <n v="76"/>
    <n v="4.4000000000000004"/>
    <x v="1"/>
    <x v="2"/>
    <x v="1"/>
    <x v="1"/>
  </r>
  <r>
    <x v="650"/>
    <x v="5"/>
    <x v="51"/>
    <x v="0"/>
    <x v="197"/>
    <n v="170"/>
    <n v="3.5"/>
    <x v="0"/>
    <x v="2"/>
    <x v="1"/>
    <x v="3"/>
  </r>
  <r>
    <x v="651"/>
    <x v="13"/>
    <x v="6"/>
    <x v="4"/>
    <x v="198"/>
    <n v="117"/>
    <n v="4.7"/>
    <x v="0"/>
    <x v="0"/>
    <x v="1"/>
    <x v="4"/>
  </r>
  <r>
    <x v="652"/>
    <x v="10"/>
    <x v="53"/>
    <x v="1"/>
    <x v="198"/>
    <n v="20"/>
    <n v="4.3"/>
    <x v="0"/>
    <x v="2"/>
    <x v="1"/>
    <x v="4"/>
  </r>
  <r>
    <x v="653"/>
    <x v="12"/>
    <x v="75"/>
    <x v="4"/>
    <x v="198"/>
    <n v="99"/>
    <n v="4.0999999999999996"/>
    <x v="0"/>
    <x v="2"/>
    <x v="1"/>
    <x v="4"/>
  </r>
  <r>
    <x v="654"/>
    <x v="6"/>
    <x v="157"/>
    <x v="1"/>
    <x v="199"/>
    <n v="105"/>
    <n v="2.9"/>
    <x v="0"/>
    <x v="1"/>
    <x v="1"/>
    <x v="5"/>
  </r>
  <r>
    <x v="655"/>
    <x v="7"/>
    <x v="111"/>
    <x v="3"/>
    <x v="199"/>
    <n v="195"/>
    <n v="3.4"/>
    <x v="1"/>
    <x v="1"/>
    <x v="1"/>
    <x v="5"/>
  </r>
  <r>
    <x v="656"/>
    <x v="2"/>
    <x v="108"/>
    <x v="1"/>
    <x v="200"/>
    <n v="152"/>
    <n v="4.5999999999999996"/>
    <x v="2"/>
    <x v="0"/>
    <x v="1"/>
    <x v="6"/>
  </r>
  <r>
    <x v="657"/>
    <x v="7"/>
    <x v="35"/>
    <x v="3"/>
    <x v="201"/>
    <n v="195"/>
    <n v="4.9000000000000004"/>
    <x v="1"/>
    <x v="0"/>
    <x v="1"/>
    <x v="0"/>
  </r>
  <r>
    <x v="658"/>
    <x v="5"/>
    <x v="114"/>
    <x v="2"/>
    <x v="201"/>
    <n v="70"/>
    <n v="3.6"/>
    <x v="0"/>
    <x v="2"/>
    <x v="1"/>
    <x v="0"/>
  </r>
  <r>
    <x v="659"/>
    <x v="12"/>
    <x v="158"/>
    <x v="2"/>
    <x v="201"/>
    <n v="22"/>
    <n v="3.5"/>
    <x v="3"/>
    <x v="2"/>
    <x v="1"/>
    <x v="0"/>
  </r>
  <r>
    <x v="660"/>
    <x v="4"/>
    <x v="86"/>
    <x v="4"/>
    <x v="202"/>
    <n v="40"/>
    <n v="3.3"/>
    <x v="0"/>
    <x v="1"/>
    <x v="1"/>
    <x v="1"/>
  </r>
  <r>
    <x v="661"/>
    <x v="4"/>
    <x v="55"/>
    <x v="1"/>
    <x v="203"/>
    <n v="54"/>
    <n v="3.8"/>
    <x v="1"/>
    <x v="2"/>
    <x v="1"/>
    <x v="2"/>
  </r>
  <r>
    <x v="662"/>
    <x v="1"/>
    <x v="49"/>
    <x v="1"/>
    <x v="203"/>
    <n v="60"/>
    <n v="2.5"/>
    <x v="1"/>
    <x v="1"/>
    <x v="1"/>
    <x v="2"/>
  </r>
  <r>
    <x v="663"/>
    <x v="11"/>
    <x v="135"/>
    <x v="0"/>
    <x v="204"/>
    <n v="58"/>
    <n v="4.5999999999999996"/>
    <x v="0"/>
    <x v="0"/>
    <x v="1"/>
    <x v="4"/>
  </r>
  <r>
    <x v="664"/>
    <x v="6"/>
    <x v="29"/>
    <x v="4"/>
    <x v="204"/>
    <n v="220"/>
    <n v="4.7"/>
    <x v="0"/>
    <x v="0"/>
    <x v="1"/>
    <x v="4"/>
  </r>
  <r>
    <x v="665"/>
    <x v="0"/>
    <x v="47"/>
    <x v="4"/>
    <x v="204"/>
    <n v="27"/>
    <n v="3.6"/>
    <x v="0"/>
    <x v="2"/>
    <x v="1"/>
    <x v="4"/>
  </r>
  <r>
    <x v="666"/>
    <x v="7"/>
    <x v="33"/>
    <x v="4"/>
    <x v="205"/>
    <n v="26"/>
    <n v="4.3"/>
    <x v="0"/>
    <x v="2"/>
    <x v="1"/>
    <x v="6"/>
  </r>
  <r>
    <x v="667"/>
    <x v="10"/>
    <x v="104"/>
    <x v="3"/>
    <x v="206"/>
    <n v="160"/>
    <n v="4.7"/>
    <x v="1"/>
    <x v="0"/>
    <x v="1"/>
    <x v="0"/>
  </r>
  <r>
    <x v="668"/>
    <x v="12"/>
    <x v="6"/>
    <x v="1"/>
    <x v="206"/>
    <n v="200"/>
    <n v="4.9000000000000004"/>
    <x v="0"/>
    <x v="0"/>
    <x v="1"/>
    <x v="0"/>
  </r>
  <r>
    <x v="669"/>
    <x v="12"/>
    <x v="23"/>
    <x v="0"/>
    <x v="207"/>
    <n v="135"/>
    <n v="4.9000000000000004"/>
    <x v="1"/>
    <x v="0"/>
    <x v="1"/>
    <x v="3"/>
  </r>
  <r>
    <x v="670"/>
    <x v="0"/>
    <x v="3"/>
    <x v="1"/>
    <x v="208"/>
    <n v="22"/>
    <n v="1.9"/>
    <x v="1"/>
    <x v="3"/>
    <x v="1"/>
    <x v="4"/>
  </r>
  <r>
    <x v="671"/>
    <x v="6"/>
    <x v="34"/>
    <x v="3"/>
    <x v="209"/>
    <n v="164"/>
    <n v="4.5"/>
    <x v="0"/>
    <x v="0"/>
    <x v="1"/>
    <x v="5"/>
  </r>
  <r>
    <x v="672"/>
    <x v="4"/>
    <x v="22"/>
    <x v="0"/>
    <x v="209"/>
    <n v="21"/>
    <n v="4.9000000000000004"/>
    <x v="0"/>
    <x v="0"/>
    <x v="1"/>
    <x v="5"/>
  </r>
  <r>
    <x v="673"/>
    <x v="6"/>
    <x v="132"/>
    <x v="3"/>
    <x v="210"/>
    <n v="120"/>
    <n v="4.5"/>
    <x v="0"/>
    <x v="0"/>
    <x v="1"/>
    <x v="6"/>
  </r>
  <r>
    <x v="674"/>
    <x v="5"/>
    <x v="84"/>
    <x v="2"/>
    <x v="210"/>
    <n v="93"/>
    <n v="2.7"/>
    <x v="0"/>
    <x v="1"/>
    <x v="1"/>
    <x v="6"/>
  </r>
  <r>
    <x v="675"/>
    <x v="4"/>
    <x v="3"/>
    <x v="2"/>
    <x v="210"/>
    <n v="135"/>
    <n v="2.1"/>
    <x v="1"/>
    <x v="3"/>
    <x v="1"/>
    <x v="6"/>
  </r>
  <r>
    <x v="676"/>
    <x v="12"/>
    <x v="78"/>
    <x v="0"/>
    <x v="210"/>
    <n v="210"/>
    <n v="4.2"/>
    <x v="3"/>
    <x v="2"/>
    <x v="1"/>
    <x v="6"/>
  </r>
  <r>
    <x v="677"/>
    <x v="14"/>
    <x v="47"/>
    <x v="2"/>
    <x v="211"/>
    <n v="29"/>
    <n v="4.7"/>
    <x v="0"/>
    <x v="0"/>
    <x v="1"/>
    <x v="0"/>
  </r>
  <r>
    <x v="678"/>
    <x v="8"/>
    <x v="90"/>
    <x v="4"/>
    <x v="211"/>
    <n v="111"/>
    <n v="3.9"/>
    <x v="0"/>
    <x v="2"/>
    <x v="1"/>
    <x v="0"/>
  </r>
  <r>
    <x v="679"/>
    <x v="3"/>
    <x v="89"/>
    <x v="1"/>
    <x v="212"/>
    <n v="63"/>
    <n v="4.0999999999999996"/>
    <x v="1"/>
    <x v="2"/>
    <x v="1"/>
    <x v="1"/>
  </r>
  <r>
    <x v="680"/>
    <x v="13"/>
    <x v="0"/>
    <x v="3"/>
    <x v="212"/>
    <n v="44"/>
    <n v="3.8"/>
    <x v="0"/>
    <x v="2"/>
    <x v="1"/>
    <x v="1"/>
  </r>
  <r>
    <x v="681"/>
    <x v="3"/>
    <x v="75"/>
    <x v="3"/>
    <x v="213"/>
    <n v="120"/>
    <n v="1.8"/>
    <x v="0"/>
    <x v="3"/>
    <x v="1"/>
    <x v="3"/>
  </r>
  <r>
    <x v="682"/>
    <x v="4"/>
    <x v="139"/>
    <x v="3"/>
    <x v="213"/>
    <n v="120"/>
    <n v="4.0999999999999996"/>
    <x v="3"/>
    <x v="2"/>
    <x v="1"/>
    <x v="3"/>
  </r>
  <r>
    <x v="683"/>
    <x v="8"/>
    <x v="158"/>
    <x v="1"/>
    <x v="214"/>
    <n v="40"/>
    <n v="4.4000000000000004"/>
    <x v="3"/>
    <x v="2"/>
    <x v="1"/>
    <x v="4"/>
  </r>
  <r>
    <x v="684"/>
    <x v="5"/>
    <x v="149"/>
    <x v="2"/>
    <x v="214"/>
    <n v="160"/>
    <n v="4.0999999999999996"/>
    <x v="1"/>
    <x v="2"/>
    <x v="1"/>
    <x v="4"/>
  </r>
  <r>
    <x v="685"/>
    <x v="12"/>
    <x v="21"/>
    <x v="3"/>
    <x v="215"/>
    <n v="44"/>
    <n v="3.8"/>
    <x v="0"/>
    <x v="2"/>
    <x v="1"/>
    <x v="5"/>
  </r>
  <r>
    <x v="686"/>
    <x v="3"/>
    <x v="131"/>
    <x v="1"/>
    <x v="215"/>
    <n v="80"/>
    <n v="4.3"/>
    <x v="0"/>
    <x v="2"/>
    <x v="1"/>
    <x v="5"/>
  </r>
  <r>
    <x v="687"/>
    <x v="10"/>
    <x v="144"/>
    <x v="1"/>
    <x v="216"/>
    <n v="66"/>
    <n v="4.5"/>
    <x v="2"/>
    <x v="0"/>
    <x v="1"/>
    <x v="6"/>
  </r>
  <r>
    <x v="688"/>
    <x v="13"/>
    <x v="134"/>
    <x v="4"/>
    <x v="216"/>
    <n v="82"/>
    <n v="3.4"/>
    <x v="1"/>
    <x v="1"/>
    <x v="1"/>
    <x v="6"/>
  </r>
  <r>
    <x v="689"/>
    <x v="5"/>
    <x v="38"/>
    <x v="3"/>
    <x v="216"/>
    <n v="66"/>
    <n v="4.8"/>
    <x v="0"/>
    <x v="0"/>
    <x v="1"/>
    <x v="6"/>
  </r>
  <r>
    <x v="690"/>
    <x v="12"/>
    <x v="37"/>
    <x v="2"/>
    <x v="216"/>
    <n v="92"/>
    <n v="4.9000000000000004"/>
    <x v="1"/>
    <x v="0"/>
    <x v="1"/>
    <x v="6"/>
  </r>
  <r>
    <x v="691"/>
    <x v="11"/>
    <x v="24"/>
    <x v="4"/>
    <x v="217"/>
    <n v="104"/>
    <n v="4.7"/>
    <x v="0"/>
    <x v="0"/>
    <x v="1"/>
    <x v="0"/>
  </r>
  <r>
    <x v="692"/>
    <x v="4"/>
    <x v="4"/>
    <x v="3"/>
    <x v="217"/>
    <n v="105"/>
    <n v="3.3"/>
    <x v="2"/>
    <x v="1"/>
    <x v="1"/>
    <x v="0"/>
  </r>
  <r>
    <x v="693"/>
    <x v="13"/>
    <x v="21"/>
    <x v="3"/>
    <x v="217"/>
    <n v="100"/>
    <n v="2.8"/>
    <x v="0"/>
    <x v="1"/>
    <x v="1"/>
    <x v="0"/>
  </r>
  <r>
    <x v="694"/>
    <x v="5"/>
    <x v="147"/>
    <x v="4"/>
    <x v="217"/>
    <n v="90"/>
    <n v="4.0999999999999996"/>
    <x v="0"/>
    <x v="2"/>
    <x v="1"/>
    <x v="0"/>
  </r>
  <r>
    <x v="695"/>
    <x v="2"/>
    <x v="18"/>
    <x v="0"/>
    <x v="217"/>
    <n v="110"/>
    <n v="3.5"/>
    <x v="2"/>
    <x v="2"/>
    <x v="1"/>
    <x v="0"/>
  </r>
  <r>
    <x v="696"/>
    <x v="10"/>
    <x v="66"/>
    <x v="4"/>
    <x v="218"/>
    <n v="68"/>
    <n v="2.2999999999999998"/>
    <x v="0"/>
    <x v="3"/>
    <x v="1"/>
    <x v="2"/>
  </r>
  <r>
    <x v="697"/>
    <x v="4"/>
    <x v="95"/>
    <x v="1"/>
    <x v="219"/>
    <n v="210"/>
    <n v="4.0999999999999996"/>
    <x v="0"/>
    <x v="2"/>
    <x v="1"/>
    <x v="3"/>
  </r>
  <r>
    <x v="698"/>
    <x v="1"/>
    <x v="146"/>
    <x v="0"/>
    <x v="219"/>
    <n v="111"/>
    <n v="4.3"/>
    <x v="2"/>
    <x v="2"/>
    <x v="1"/>
    <x v="3"/>
  </r>
  <r>
    <x v="699"/>
    <x v="1"/>
    <x v="41"/>
    <x v="1"/>
    <x v="220"/>
    <n v="45"/>
    <n v="4.9000000000000004"/>
    <x v="0"/>
    <x v="0"/>
    <x v="1"/>
    <x v="4"/>
  </r>
  <r>
    <x v="700"/>
    <x v="7"/>
    <x v="55"/>
    <x v="0"/>
    <x v="221"/>
    <n v="132"/>
    <n v="4"/>
    <x v="1"/>
    <x v="2"/>
    <x v="1"/>
    <x v="5"/>
  </r>
  <r>
    <x v="701"/>
    <x v="0"/>
    <x v="70"/>
    <x v="4"/>
    <x v="221"/>
    <n v="20"/>
    <n v="4.7"/>
    <x v="1"/>
    <x v="0"/>
    <x v="1"/>
    <x v="5"/>
  </r>
  <r>
    <x v="702"/>
    <x v="6"/>
    <x v="74"/>
    <x v="3"/>
    <x v="221"/>
    <n v="36"/>
    <n v="3.4"/>
    <x v="0"/>
    <x v="1"/>
    <x v="1"/>
    <x v="5"/>
  </r>
  <r>
    <x v="703"/>
    <x v="13"/>
    <x v="5"/>
    <x v="1"/>
    <x v="222"/>
    <n v="72"/>
    <n v="4"/>
    <x v="0"/>
    <x v="2"/>
    <x v="1"/>
    <x v="0"/>
  </r>
  <r>
    <x v="704"/>
    <x v="9"/>
    <x v="75"/>
    <x v="1"/>
    <x v="222"/>
    <n v="63"/>
    <n v="4.5"/>
    <x v="0"/>
    <x v="0"/>
    <x v="1"/>
    <x v="0"/>
  </r>
  <r>
    <x v="705"/>
    <x v="9"/>
    <x v="6"/>
    <x v="0"/>
    <x v="223"/>
    <n v="44"/>
    <n v="4.5"/>
    <x v="0"/>
    <x v="0"/>
    <x v="1"/>
    <x v="1"/>
  </r>
  <r>
    <x v="706"/>
    <x v="0"/>
    <x v="84"/>
    <x v="2"/>
    <x v="223"/>
    <n v="132"/>
    <n v="4.9000000000000004"/>
    <x v="0"/>
    <x v="0"/>
    <x v="1"/>
    <x v="1"/>
  </r>
  <r>
    <x v="707"/>
    <x v="12"/>
    <x v="97"/>
    <x v="3"/>
    <x v="223"/>
    <n v="46"/>
    <n v="4.4000000000000004"/>
    <x v="0"/>
    <x v="2"/>
    <x v="1"/>
    <x v="1"/>
  </r>
  <r>
    <x v="708"/>
    <x v="12"/>
    <x v="74"/>
    <x v="3"/>
    <x v="223"/>
    <n v="96"/>
    <n v="2.9"/>
    <x v="0"/>
    <x v="1"/>
    <x v="1"/>
    <x v="1"/>
  </r>
  <r>
    <x v="709"/>
    <x v="8"/>
    <x v="37"/>
    <x v="0"/>
    <x v="224"/>
    <n v="75"/>
    <n v="4.4000000000000004"/>
    <x v="1"/>
    <x v="2"/>
    <x v="1"/>
    <x v="2"/>
  </r>
  <r>
    <x v="710"/>
    <x v="5"/>
    <x v="144"/>
    <x v="3"/>
    <x v="225"/>
    <n v="88"/>
    <n v="4.3"/>
    <x v="2"/>
    <x v="2"/>
    <x v="1"/>
    <x v="3"/>
  </r>
  <r>
    <x v="711"/>
    <x v="1"/>
    <x v="41"/>
    <x v="0"/>
    <x v="225"/>
    <n v="24"/>
    <n v="4.7"/>
    <x v="0"/>
    <x v="0"/>
    <x v="1"/>
    <x v="3"/>
  </r>
  <r>
    <x v="712"/>
    <x v="3"/>
    <x v="20"/>
    <x v="4"/>
    <x v="225"/>
    <n v="96"/>
    <n v="3.2"/>
    <x v="2"/>
    <x v="1"/>
    <x v="1"/>
    <x v="3"/>
  </r>
  <r>
    <x v="713"/>
    <x v="4"/>
    <x v="111"/>
    <x v="4"/>
    <x v="226"/>
    <n v="124"/>
    <n v="2.2999999999999998"/>
    <x v="1"/>
    <x v="3"/>
    <x v="1"/>
    <x v="4"/>
  </r>
  <r>
    <x v="714"/>
    <x v="3"/>
    <x v="93"/>
    <x v="2"/>
    <x v="227"/>
    <n v="130"/>
    <n v="3.6"/>
    <x v="2"/>
    <x v="2"/>
    <x v="1"/>
    <x v="5"/>
  </r>
  <r>
    <x v="715"/>
    <x v="12"/>
    <x v="157"/>
    <x v="1"/>
    <x v="227"/>
    <n v="45"/>
    <n v="4.5999999999999996"/>
    <x v="0"/>
    <x v="0"/>
    <x v="1"/>
    <x v="5"/>
  </r>
  <r>
    <x v="716"/>
    <x v="2"/>
    <x v="90"/>
    <x v="4"/>
    <x v="227"/>
    <n v="66"/>
    <n v="4"/>
    <x v="0"/>
    <x v="2"/>
    <x v="1"/>
    <x v="5"/>
  </r>
  <r>
    <x v="717"/>
    <x v="0"/>
    <x v="32"/>
    <x v="0"/>
    <x v="227"/>
    <n v="58"/>
    <n v="4.7"/>
    <x v="0"/>
    <x v="0"/>
    <x v="1"/>
    <x v="5"/>
  </r>
  <r>
    <x v="718"/>
    <x v="13"/>
    <x v="126"/>
    <x v="4"/>
    <x v="228"/>
    <n v="152"/>
    <n v="4.3"/>
    <x v="2"/>
    <x v="2"/>
    <x v="1"/>
    <x v="6"/>
  </r>
  <r>
    <x v="719"/>
    <x v="4"/>
    <x v="33"/>
    <x v="3"/>
    <x v="228"/>
    <n v="75"/>
    <n v="2.8"/>
    <x v="0"/>
    <x v="1"/>
    <x v="1"/>
    <x v="6"/>
  </r>
  <r>
    <x v="720"/>
    <x v="10"/>
    <x v="70"/>
    <x v="1"/>
    <x v="228"/>
    <n v="78"/>
    <n v="4"/>
    <x v="1"/>
    <x v="2"/>
    <x v="1"/>
    <x v="6"/>
  </r>
  <r>
    <x v="721"/>
    <x v="0"/>
    <x v="30"/>
    <x v="2"/>
    <x v="228"/>
    <n v="69"/>
    <n v="3.9"/>
    <x v="0"/>
    <x v="2"/>
    <x v="1"/>
    <x v="6"/>
  </r>
  <r>
    <x v="722"/>
    <x v="11"/>
    <x v="55"/>
    <x v="0"/>
    <x v="229"/>
    <n v="46"/>
    <n v="3.1"/>
    <x v="1"/>
    <x v="1"/>
    <x v="1"/>
    <x v="0"/>
  </r>
  <r>
    <x v="723"/>
    <x v="13"/>
    <x v="140"/>
    <x v="4"/>
    <x v="229"/>
    <n v="64"/>
    <n v="2.7"/>
    <x v="1"/>
    <x v="1"/>
    <x v="1"/>
    <x v="0"/>
  </r>
  <r>
    <x v="724"/>
    <x v="6"/>
    <x v="99"/>
    <x v="1"/>
    <x v="229"/>
    <n v="38"/>
    <n v="4.7"/>
    <x v="0"/>
    <x v="0"/>
    <x v="1"/>
    <x v="0"/>
  </r>
  <r>
    <x v="725"/>
    <x v="0"/>
    <x v="20"/>
    <x v="1"/>
    <x v="230"/>
    <n v="90"/>
    <n v="4.3"/>
    <x v="2"/>
    <x v="2"/>
    <x v="1"/>
    <x v="2"/>
  </r>
  <r>
    <x v="726"/>
    <x v="7"/>
    <x v="132"/>
    <x v="1"/>
    <x v="230"/>
    <n v="32"/>
    <n v="3.8"/>
    <x v="0"/>
    <x v="2"/>
    <x v="1"/>
    <x v="2"/>
  </r>
  <r>
    <x v="727"/>
    <x v="8"/>
    <x v="29"/>
    <x v="4"/>
    <x v="230"/>
    <n v="120"/>
    <n v="4.4000000000000004"/>
    <x v="0"/>
    <x v="2"/>
    <x v="1"/>
    <x v="2"/>
  </r>
  <r>
    <x v="728"/>
    <x v="6"/>
    <x v="127"/>
    <x v="1"/>
    <x v="230"/>
    <n v="31"/>
    <n v="3.9"/>
    <x v="4"/>
    <x v="2"/>
    <x v="1"/>
    <x v="2"/>
  </r>
  <r>
    <x v="729"/>
    <x v="2"/>
    <x v="77"/>
    <x v="4"/>
    <x v="231"/>
    <n v="108"/>
    <n v="4.9000000000000004"/>
    <x v="0"/>
    <x v="0"/>
    <x v="1"/>
    <x v="3"/>
  </r>
  <r>
    <x v="730"/>
    <x v="0"/>
    <x v="50"/>
    <x v="4"/>
    <x v="231"/>
    <n v="180"/>
    <n v="4.2"/>
    <x v="0"/>
    <x v="2"/>
    <x v="1"/>
    <x v="3"/>
  </r>
  <r>
    <x v="731"/>
    <x v="7"/>
    <x v="54"/>
    <x v="2"/>
    <x v="232"/>
    <n v="124"/>
    <n v="4"/>
    <x v="2"/>
    <x v="2"/>
    <x v="1"/>
    <x v="4"/>
  </r>
  <r>
    <x v="732"/>
    <x v="5"/>
    <x v="67"/>
    <x v="2"/>
    <x v="232"/>
    <n v="23"/>
    <n v="4.2"/>
    <x v="0"/>
    <x v="2"/>
    <x v="1"/>
    <x v="4"/>
  </r>
  <r>
    <x v="733"/>
    <x v="12"/>
    <x v="44"/>
    <x v="0"/>
    <x v="233"/>
    <n v="24"/>
    <n v="4.8"/>
    <x v="2"/>
    <x v="0"/>
    <x v="1"/>
    <x v="5"/>
  </r>
  <r>
    <x v="734"/>
    <x v="5"/>
    <x v="117"/>
    <x v="1"/>
    <x v="234"/>
    <n v="52"/>
    <n v="1.1000000000000001"/>
    <x v="1"/>
    <x v="5"/>
    <x v="1"/>
    <x v="6"/>
  </r>
  <r>
    <x v="735"/>
    <x v="2"/>
    <x v="62"/>
    <x v="0"/>
    <x v="235"/>
    <n v="168"/>
    <n v="4"/>
    <x v="2"/>
    <x v="2"/>
    <x v="1"/>
    <x v="0"/>
  </r>
  <r>
    <x v="736"/>
    <x v="13"/>
    <x v="42"/>
    <x v="4"/>
    <x v="236"/>
    <n v="125"/>
    <n v="4.8"/>
    <x v="0"/>
    <x v="0"/>
    <x v="1"/>
    <x v="2"/>
  </r>
  <r>
    <x v="737"/>
    <x v="0"/>
    <x v="51"/>
    <x v="0"/>
    <x v="237"/>
    <n v="50"/>
    <n v="4.2"/>
    <x v="0"/>
    <x v="2"/>
    <x v="1"/>
    <x v="3"/>
  </r>
  <r>
    <x v="738"/>
    <x v="9"/>
    <x v="30"/>
    <x v="1"/>
    <x v="238"/>
    <n v="220"/>
    <n v="4.5999999999999996"/>
    <x v="0"/>
    <x v="0"/>
    <x v="1"/>
    <x v="4"/>
  </r>
  <r>
    <x v="739"/>
    <x v="6"/>
    <x v="131"/>
    <x v="0"/>
    <x v="238"/>
    <n v="180"/>
    <n v="4"/>
    <x v="0"/>
    <x v="2"/>
    <x v="1"/>
    <x v="4"/>
  </r>
  <r>
    <x v="740"/>
    <x v="2"/>
    <x v="77"/>
    <x v="1"/>
    <x v="238"/>
    <n v="110"/>
    <n v="3.9"/>
    <x v="0"/>
    <x v="2"/>
    <x v="1"/>
    <x v="4"/>
  </r>
  <r>
    <x v="741"/>
    <x v="12"/>
    <x v="152"/>
    <x v="0"/>
    <x v="238"/>
    <n v="36"/>
    <n v="2.8"/>
    <x v="1"/>
    <x v="1"/>
    <x v="1"/>
    <x v="4"/>
  </r>
  <r>
    <x v="742"/>
    <x v="1"/>
    <x v="92"/>
    <x v="2"/>
    <x v="239"/>
    <n v="93"/>
    <n v="4.7"/>
    <x v="1"/>
    <x v="0"/>
    <x v="1"/>
    <x v="5"/>
  </r>
  <r>
    <x v="743"/>
    <x v="6"/>
    <x v="135"/>
    <x v="0"/>
    <x v="239"/>
    <n v="38"/>
    <n v="4.2"/>
    <x v="0"/>
    <x v="2"/>
    <x v="1"/>
    <x v="5"/>
  </r>
  <r>
    <x v="744"/>
    <x v="2"/>
    <x v="131"/>
    <x v="2"/>
    <x v="240"/>
    <n v="66"/>
    <n v="3.9"/>
    <x v="0"/>
    <x v="2"/>
    <x v="1"/>
    <x v="6"/>
  </r>
  <r>
    <x v="745"/>
    <x v="5"/>
    <x v="42"/>
    <x v="0"/>
    <x v="240"/>
    <n v="215"/>
    <n v="4.5999999999999996"/>
    <x v="0"/>
    <x v="0"/>
    <x v="1"/>
    <x v="6"/>
  </r>
  <r>
    <x v="746"/>
    <x v="5"/>
    <x v="64"/>
    <x v="2"/>
    <x v="240"/>
    <n v="92"/>
    <n v="4.3"/>
    <x v="2"/>
    <x v="2"/>
    <x v="1"/>
    <x v="6"/>
  </r>
  <r>
    <x v="747"/>
    <x v="4"/>
    <x v="74"/>
    <x v="0"/>
    <x v="240"/>
    <n v="80"/>
    <n v="3.6"/>
    <x v="0"/>
    <x v="2"/>
    <x v="1"/>
    <x v="6"/>
  </r>
  <r>
    <x v="748"/>
    <x v="4"/>
    <x v="22"/>
    <x v="0"/>
    <x v="241"/>
    <n v="123"/>
    <n v="4.9000000000000004"/>
    <x v="0"/>
    <x v="0"/>
    <x v="1"/>
    <x v="0"/>
  </r>
  <r>
    <x v="749"/>
    <x v="12"/>
    <x v="48"/>
    <x v="3"/>
    <x v="241"/>
    <n v="23"/>
    <n v="2.4"/>
    <x v="0"/>
    <x v="3"/>
    <x v="1"/>
    <x v="0"/>
  </r>
  <r>
    <x v="750"/>
    <x v="11"/>
    <x v="128"/>
    <x v="1"/>
    <x v="241"/>
    <n v="63"/>
    <n v="4.2"/>
    <x v="1"/>
    <x v="2"/>
    <x v="1"/>
    <x v="0"/>
  </r>
  <r>
    <x v="751"/>
    <x v="14"/>
    <x v="66"/>
    <x v="4"/>
    <x v="241"/>
    <n v="52"/>
    <n v="3.9"/>
    <x v="0"/>
    <x v="2"/>
    <x v="1"/>
    <x v="0"/>
  </r>
  <r>
    <x v="752"/>
    <x v="5"/>
    <x v="99"/>
    <x v="4"/>
    <x v="241"/>
    <n v="60"/>
    <n v="4.2"/>
    <x v="0"/>
    <x v="2"/>
    <x v="1"/>
    <x v="0"/>
  </r>
  <r>
    <x v="753"/>
    <x v="4"/>
    <x v="19"/>
    <x v="2"/>
    <x v="242"/>
    <n v="87"/>
    <n v="3.9"/>
    <x v="0"/>
    <x v="2"/>
    <x v="1"/>
    <x v="1"/>
  </r>
  <r>
    <x v="754"/>
    <x v="8"/>
    <x v="74"/>
    <x v="0"/>
    <x v="243"/>
    <n v="42"/>
    <n v="4.5"/>
    <x v="0"/>
    <x v="0"/>
    <x v="1"/>
    <x v="2"/>
  </r>
  <r>
    <x v="755"/>
    <x v="10"/>
    <x v="113"/>
    <x v="1"/>
    <x v="244"/>
    <n v="37"/>
    <n v="3.8"/>
    <x v="1"/>
    <x v="2"/>
    <x v="1"/>
    <x v="3"/>
  </r>
  <r>
    <x v="756"/>
    <x v="10"/>
    <x v="51"/>
    <x v="3"/>
    <x v="244"/>
    <n v="135"/>
    <n v="3.9"/>
    <x v="0"/>
    <x v="2"/>
    <x v="1"/>
    <x v="3"/>
  </r>
  <r>
    <x v="757"/>
    <x v="8"/>
    <x v="72"/>
    <x v="3"/>
    <x v="244"/>
    <n v="88"/>
    <n v="4.7"/>
    <x v="1"/>
    <x v="0"/>
    <x v="1"/>
    <x v="3"/>
  </r>
  <r>
    <x v="758"/>
    <x v="13"/>
    <x v="131"/>
    <x v="1"/>
    <x v="244"/>
    <n v="190"/>
    <n v="3.2"/>
    <x v="0"/>
    <x v="1"/>
    <x v="1"/>
    <x v="3"/>
  </r>
  <r>
    <x v="759"/>
    <x v="13"/>
    <x v="140"/>
    <x v="3"/>
    <x v="244"/>
    <n v="81"/>
    <n v="5"/>
    <x v="1"/>
    <x v="0"/>
    <x v="1"/>
    <x v="3"/>
  </r>
  <r>
    <x v="760"/>
    <x v="10"/>
    <x v="117"/>
    <x v="1"/>
    <x v="244"/>
    <n v="44"/>
    <n v="3.7"/>
    <x v="1"/>
    <x v="2"/>
    <x v="1"/>
    <x v="3"/>
  </r>
  <r>
    <x v="761"/>
    <x v="2"/>
    <x v="10"/>
    <x v="3"/>
    <x v="245"/>
    <n v="92"/>
    <n v="3.9"/>
    <x v="1"/>
    <x v="2"/>
    <x v="1"/>
    <x v="4"/>
  </r>
  <r>
    <x v="762"/>
    <x v="10"/>
    <x v="50"/>
    <x v="0"/>
    <x v="246"/>
    <n v="90"/>
    <n v="3.1"/>
    <x v="0"/>
    <x v="1"/>
    <x v="1"/>
    <x v="5"/>
  </r>
  <r>
    <x v="763"/>
    <x v="11"/>
    <x v="90"/>
    <x v="3"/>
    <x v="246"/>
    <n v="112"/>
    <n v="2"/>
    <x v="0"/>
    <x v="3"/>
    <x v="1"/>
    <x v="5"/>
  </r>
  <r>
    <x v="764"/>
    <x v="9"/>
    <x v="76"/>
    <x v="1"/>
    <x v="246"/>
    <n v="112"/>
    <n v="4.5999999999999996"/>
    <x v="1"/>
    <x v="0"/>
    <x v="1"/>
    <x v="5"/>
  </r>
  <r>
    <x v="765"/>
    <x v="14"/>
    <x v="55"/>
    <x v="2"/>
    <x v="246"/>
    <n v="48"/>
    <n v="3.7"/>
    <x v="1"/>
    <x v="2"/>
    <x v="1"/>
    <x v="5"/>
  </r>
  <r>
    <x v="766"/>
    <x v="11"/>
    <x v="119"/>
    <x v="1"/>
    <x v="246"/>
    <n v="116"/>
    <n v="4.4000000000000004"/>
    <x v="1"/>
    <x v="2"/>
    <x v="1"/>
    <x v="5"/>
  </r>
  <r>
    <x v="767"/>
    <x v="1"/>
    <x v="95"/>
    <x v="1"/>
    <x v="246"/>
    <n v="29"/>
    <n v="2.1"/>
    <x v="0"/>
    <x v="3"/>
    <x v="1"/>
    <x v="5"/>
  </r>
  <r>
    <x v="768"/>
    <x v="9"/>
    <x v="107"/>
    <x v="3"/>
    <x v="247"/>
    <n v="170"/>
    <n v="2.2000000000000002"/>
    <x v="0"/>
    <x v="3"/>
    <x v="1"/>
    <x v="6"/>
  </r>
  <r>
    <x v="769"/>
    <x v="1"/>
    <x v="135"/>
    <x v="4"/>
    <x v="247"/>
    <n v="68"/>
    <n v="3.4"/>
    <x v="0"/>
    <x v="1"/>
    <x v="1"/>
    <x v="6"/>
  </r>
  <r>
    <x v="770"/>
    <x v="4"/>
    <x v="74"/>
    <x v="0"/>
    <x v="247"/>
    <n v="195"/>
    <n v="2.7"/>
    <x v="0"/>
    <x v="1"/>
    <x v="1"/>
    <x v="6"/>
  </r>
  <r>
    <x v="771"/>
    <x v="3"/>
    <x v="19"/>
    <x v="0"/>
    <x v="247"/>
    <n v="96"/>
    <n v="3.7"/>
    <x v="0"/>
    <x v="2"/>
    <x v="1"/>
    <x v="6"/>
  </r>
  <r>
    <x v="772"/>
    <x v="11"/>
    <x v="1"/>
    <x v="0"/>
    <x v="247"/>
    <n v="96"/>
    <n v="3.1"/>
    <x v="0"/>
    <x v="1"/>
    <x v="1"/>
    <x v="6"/>
  </r>
  <r>
    <x v="773"/>
    <x v="14"/>
    <x v="84"/>
    <x v="2"/>
    <x v="247"/>
    <n v="117"/>
    <n v="4.0999999999999996"/>
    <x v="0"/>
    <x v="2"/>
    <x v="1"/>
    <x v="6"/>
  </r>
  <r>
    <x v="774"/>
    <x v="4"/>
    <x v="26"/>
    <x v="3"/>
    <x v="247"/>
    <n v="80"/>
    <n v="4.8"/>
    <x v="3"/>
    <x v="0"/>
    <x v="1"/>
    <x v="6"/>
  </r>
  <r>
    <x v="775"/>
    <x v="8"/>
    <x v="104"/>
    <x v="4"/>
    <x v="247"/>
    <n v="117"/>
    <n v="4"/>
    <x v="1"/>
    <x v="2"/>
    <x v="1"/>
    <x v="6"/>
  </r>
  <r>
    <x v="776"/>
    <x v="10"/>
    <x v="97"/>
    <x v="0"/>
    <x v="248"/>
    <n v="40"/>
    <n v="3"/>
    <x v="0"/>
    <x v="1"/>
    <x v="1"/>
    <x v="0"/>
  </r>
  <r>
    <x v="777"/>
    <x v="13"/>
    <x v="159"/>
    <x v="4"/>
    <x v="248"/>
    <n v="117"/>
    <n v="4.8"/>
    <x v="3"/>
    <x v="0"/>
    <x v="1"/>
    <x v="0"/>
  </r>
  <r>
    <x v="778"/>
    <x v="7"/>
    <x v="67"/>
    <x v="3"/>
    <x v="248"/>
    <n v="135"/>
    <n v="4.0999999999999996"/>
    <x v="0"/>
    <x v="2"/>
    <x v="1"/>
    <x v="0"/>
  </r>
  <r>
    <x v="779"/>
    <x v="11"/>
    <x v="25"/>
    <x v="1"/>
    <x v="248"/>
    <n v="99"/>
    <n v="4.2"/>
    <x v="0"/>
    <x v="2"/>
    <x v="1"/>
    <x v="0"/>
  </r>
  <r>
    <x v="780"/>
    <x v="6"/>
    <x v="40"/>
    <x v="2"/>
    <x v="248"/>
    <n v="130"/>
    <n v="3.3"/>
    <x v="1"/>
    <x v="1"/>
    <x v="1"/>
    <x v="0"/>
  </r>
  <r>
    <x v="781"/>
    <x v="5"/>
    <x v="108"/>
    <x v="4"/>
    <x v="248"/>
    <n v="96"/>
    <n v="4.7"/>
    <x v="2"/>
    <x v="0"/>
    <x v="1"/>
    <x v="0"/>
  </r>
  <r>
    <x v="782"/>
    <x v="4"/>
    <x v="24"/>
    <x v="2"/>
    <x v="248"/>
    <n v="128"/>
    <n v="3.7"/>
    <x v="0"/>
    <x v="2"/>
    <x v="1"/>
    <x v="0"/>
  </r>
  <r>
    <x v="783"/>
    <x v="14"/>
    <x v="37"/>
    <x v="0"/>
    <x v="248"/>
    <n v="69"/>
    <n v="4.7"/>
    <x v="1"/>
    <x v="0"/>
    <x v="1"/>
    <x v="0"/>
  </r>
  <r>
    <x v="784"/>
    <x v="14"/>
    <x v="66"/>
    <x v="0"/>
    <x v="248"/>
    <n v="44"/>
    <n v="4.5999999999999996"/>
    <x v="0"/>
    <x v="0"/>
    <x v="1"/>
    <x v="0"/>
  </r>
  <r>
    <x v="785"/>
    <x v="5"/>
    <x v="113"/>
    <x v="0"/>
    <x v="248"/>
    <n v="44"/>
    <n v="4.8"/>
    <x v="1"/>
    <x v="0"/>
    <x v="1"/>
    <x v="0"/>
  </r>
  <r>
    <x v="786"/>
    <x v="9"/>
    <x v="59"/>
    <x v="4"/>
    <x v="249"/>
    <n v="135"/>
    <n v="2"/>
    <x v="0"/>
    <x v="3"/>
    <x v="1"/>
    <x v="1"/>
  </r>
  <r>
    <x v="787"/>
    <x v="3"/>
    <x v="107"/>
    <x v="2"/>
    <x v="249"/>
    <n v="45"/>
    <n v="3.9"/>
    <x v="0"/>
    <x v="2"/>
    <x v="1"/>
    <x v="1"/>
  </r>
  <r>
    <x v="788"/>
    <x v="13"/>
    <x v="62"/>
    <x v="2"/>
    <x v="249"/>
    <n v="87"/>
    <n v="3"/>
    <x v="2"/>
    <x v="1"/>
    <x v="1"/>
    <x v="1"/>
  </r>
  <r>
    <x v="789"/>
    <x v="8"/>
    <x v="67"/>
    <x v="3"/>
    <x v="250"/>
    <n v="84"/>
    <n v="4.5999999999999996"/>
    <x v="0"/>
    <x v="0"/>
    <x v="1"/>
    <x v="2"/>
  </r>
  <r>
    <x v="790"/>
    <x v="9"/>
    <x v="34"/>
    <x v="0"/>
    <x v="250"/>
    <n v="81"/>
    <n v="3.8"/>
    <x v="0"/>
    <x v="2"/>
    <x v="1"/>
    <x v="2"/>
  </r>
  <r>
    <x v="791"/>
    <x v="5"/>
    <x v="25"/>
    <x v="1"/>
    <x v="250"/>
    <n v="130"/>
    <n v="4.4000000000000004"/>
    <x v="0"/>
    <x v="2"/>
    <x v="1"/>
    <x v="2"/>
  </r>
  <r>
    <x v="792"/>
    <x v="4"/>
    <x v="96"/>
    <x v="0"/>
    <x v="251"/>
    <n v="92"/>
    <n v="2.4"/>
    <x v="0"/>
    <x v="3"/>
    <x v="1"/>
    <x v="3"/>
  </r>
  <r>
    <x v="793"/>
    <x v="12"/>
    <x v="82"/>
    <x v="3"/>
    <x v="251"/>
    <n v="48"/>
    <n v="4.5"/>
    <x v="2"/>
    <x v="0"/>
    <x v="1"/>
    <x v="3"/>
  </r>
  <r>
    <x v="794"/>
    <x v="3"/>
    <x v="6"/>
    <x v="4"/>
    <x v="251"/>
    <n v="160"/>
    <n v="4.5"/>
    <x v="0"/>
    <x v="0"/>
    <x v="1"/>
    <x v="3"/>
  </r>
  <r>
    <x v="795"/>
    <x v="7"/>
    <x v="87"/>
    <x v="3"/>
    <x v="252"/>
    <n v="155"/>
    <n v="2.7"/>
    <x v="1"/>
    <x v="1"/>
    <x v="1"/>
    <x v="4"/>
  </r>
  <r>
    <x v="796"/>
    <x v="6"/>
    <x v="118"/>
    <x v="1"/>
    <x v="252"/>
    <n v="100"/>
    <n v="4.9000000000000004"/>
    <x v="0"/>
    <x v="0"/>
    <x v="1"/>
    <x v="4"/>
  </r>
  <r>
    <x v="797"/>
    <x v="9"/>
    <x v="46"/>
    <x v="2"/>
    <x v="252"/>
    <n v="56"/>
    <n v="3.7"/>
    <x v="0"/>
    <x v="2"/>
    <x v="1"/>
    <x v="4"/>
  </r>
  <r>
    <x v="798"/>
    <x v="4"/>
    <x v="160"/>
    <x v="0"/>
    <x v="252"/>
    <n v="170"/>
    <n v="3.9"/>
    <x v="4"/>
    <x v="2"/>
    <x v="1"/>
    <x v="4"/>
  </r>
  <r>
    <x v="799"/>
    <x v="13"/>
    <x v="67"/>
    <x v="4"/>
    <x v="253"/>
    <n v="74"/>
    <n v="3.5"/>
    <x v="0"/>
    <x v="2"/>
    <x v="1"/>
    <x v="5"/>
  </r>
  <r>
    <x v="800"/>
    <x v="10"/>
    <x v="53"/>
    <x v="0"/>
    <x v="253"/>
    <n v="99"/>
    <n v="2.7"/>
    <x v="0"/>
    <x v="1"/>
    <x v="1"/>
    <x v="5"/>
  </r>
  <r>
    <x v="801"/>
    <x v="5"/>
    <x v="31"/>
    <x v="3"/>
    <x v="253"/>
    <n v="84"/>
    <n v="3.9"/>
    <x v="0"/>
    <x v="2"/>
    <x v="1"/>
    <x v="5"/>
  </r>
  <r>
    <x v="802"/>
    <x v="10"/>
    <x v="104"/>
    <x v="0"/>
    <x v="253"/>
    <n v="35"/>
    <n v="3.4"/>
    <x v="1"/>
    <x v="1"/>
    <x v="1"/>
    <x v="5"/>
  </r>
  <r>
    <x v="803"/>
    <x v="1"/>
    <x v="83"/>
    <x v="2"/>
    <x v="253"/>
    <n v="150"/>
    <n v="5"/>
    <x v="0"/>
    <x v="0"/>
    <x v="1"/>
    <x v="5"/>
  </r>
  <r>
    <x v="804"/>
    <x v="2"/>
    <x v="17"/>
    <x v="4"/>
    <x v="254"/>
    <n v="176"/>
    <n v="4.4000000000000004"/>
    <x v="2"/>
    <x v="2"/>
    <x v="1"/>
    <x v="6"/>
  </r>
  <r>
    <x v="805"/>
    <x v="2"/>
    <x v="31"/>
    <x v="4"/>
    <x v="254"/>
    <n v="84"/>
    <n v="4.3"/>
    <x v="0"/>
    <x v="2"/>
    <x v="1"/>
    <x v="6"/>
  </r>
  <r>
    <x v="806"/>
    <x v="5"/>
    <x v="132"/>
    <x v="4"/>
    <x v="254"/>
    <n v="136"/>
    <n v="4.7"/>
    <x v="0"/>
    <x v="0"/>
    <x v="1"/>
    <x v="6"/>
  </r>
  <r>
    <x v="807"/>
    <x v="4"/>
    <x v="125"/>
    <x v="4"/>
    <x v="255"/>
    <n v="70"/>
    <n v="4.0999999999999996"/>
    <x v="1"/>
    <x v="2"/>
    <x v="1"/>
    <x v="0"/>
  </r>
  <r>
    <x v="808"/>
    <x v="8"/>
    <x v="158"/>
    <x v="2"/>
    <x v="255"/>
    <n v="96"/>
    <n v="4.8"/>
    <x v="3"/>
    <x v="0"/>
    <x v="1"/>
    <x v="0"/>
  </r>
  <r>
    <x v="809"/>
    <x v="2"/>
    <x v="69"/>
    <x v="2"/>
    <x v="255"/>
    <n v="23"/>
    <n v="4.2"/>
    <x v="0"/>
    <x v="2"/>
    <x v="1"/>
    <x v="0"/>
  </r>
  <r>
    <x v="810"/>
    <x v="7"/>
    <x v="30"/>
    <x v="4"/>
    <x v="256"/>
    <n v="120"/>
    <n v="3.4"/>
    <x v="0"/>
    <x v="1"/>
    <x v="1"/>
    <x v="1"/>
  </r>
  <r>
    <x v="811"/>
    <x v="12"/>
    <x v="108"/>
    <x v="4"/>
    <x v="256"/>
    <n v="205"/>
    <n v="3.3"/>
    <x v="2"/>
    <x v="1"/>
    <x v="1"/>
    <x v="1"/>
  </r>
  <r>
    <x v="812"/>
    <x v="9"/>
    <x v="103"/>
    <x v="1"/>
    <x v="257"/>
    <n v="42"/>
    <n v="3.8"/>
    <x v="2"/>
    <x v="2"/>
    <x v="1"/>
    <x v="2"/>
  </r>
  <r>
    <x v="813"/>
    <x v="4"/>
    <x v="1"/>
    <x v="3"/>
    <x v="257"/>
    <n v="111"/>
    <n v="3.9"/>
    <x v="0"/>
    <x v="2"/>
    <x v="1"/>
    <x v="2"/>
  </r>
  <r>
    <x v="814"/>
    <x v="3"/>
    <x v="131"/>
    <x v="4"/>
    <x v="257"/>
    <n v="68"/>
    <n v="2.5"/>
    <x v="0"/>
    <x v="1"/>
    <x v="1"/>
    <x v="2"/>
  </r>
  <r>
    <x v="815"/>
    <x v="13"/>
    <x v="47"/>
    <x v="0"/>
    <x v="257"/>
    <n v="172"/>
    <n v="4.9000000000000004"/>
    <x v="0"/>
    <x v="0"/>
    <x v="1"/>
    <x v="2"/>
  </r>
  <r>
    <x v="816"/>
    <x v="11"/>
    <x v="44"/>
    <x v="4"/>
    <x v="257"/>
    <n v="152"/>
    <n v="4.8"/>
    <x v="2"/>
    <x v="0"/>
    <x v="1"/>
    <x v="2"/>
  </r>
  <r>
    <x v="817"/>
    <x v="11"/>
    <x v="31"/>
    <x v="1"/>
    <x v="257"/>
    <n v="48"/>
    <n v="4.7"/>
    <x v="0"/>
    <x v="0"/>
    <x v="1"/>
    <x v="2"/>
  </r>
  <r>
    <x v="818"/>
    <x v="6"/>
    <x v="71"/>
    <x v="1"/>
    <x v="257"/>
    <n v="25"/>
    <n v="4.7"/>
    <x v="2"/>
    <x v="0"/>
    <x v="1"/>
    <x v="2"/>
  </r>
  <r>
    <x v="819"/>
    <x v="3"/>
    <x v="5"/>
    <x v="3"/>
    <x v="258"/>
    <n v="54"/>
    <n v="3.3"/>
    <x v="0"/>
    <x v="1"/>
    <x v="1"/>
    <x v="3"/>
  </r>
  <r>
    <x v="820"/>
    <x v="3"/>
    <x v="125"/>
    <x v="2"/>
    <x v="258"/>
    <n v="108"/>
    <n v="4.7"/>
    <x v="1"/>
    <x v="0"/>
    <x v="1"/>
    <x v="3"/>
  </r>
  <r>
    <x v="821"/>
    <x v="14"/>
    <x v="53"/>
    <x v="4"/>
    <x v="258"/>
    <n v="36"/>
    <n v="4.5"/>
    <x v="0"/>
    <x v="0"/>
    <x v="1"/>
    <x v="3"/>
  </r>
  <r>
    <x v="822"/>
    <x v="0"/>
    <x v="135"/>
    <x v="1"/>
    <x v="259"/>
    <n v="140"/>
    <n v="4.5999999999999996"/>
    <x v="0"/>
    <x v="0"/>
    <x v="1"/>
    <x v="4"/>
  </r>
  <r>
    <x v="823"/>
    <x v="2"/>
    <x v="117"/>
    <x v="3"/>
    <x v="259"/>
    <n v="50"/>
    <n v="4.8"/>
    <x v="1"/>
    <x v="0"/>
    <x v="1"/>
    <x v="4"/>
  </r>
  <r>
    <x v="824"/>
    <x v="14"/>
    <x v="135"/>
    <x v="0"/>
    <x v="259"/>
    <n v="195"/>
    <n v="4.3"/>
    <x v="0"/>
    <x v="2"/>
    <x v="1"/>
    <x v="4"/>
  </r>
  <r>
    <x v="825"/>
    <x v="2"/>
    <x v="12"/>
    <x v="1"/>
    <x v="260"/>
    <n v="48"/>
    <n v="4.7"/>
    <x v="1"/>
    <x v="0"/>
    <x v="1"/>
    <x v="5"/>
  </r>
  <r>
    <x v="826"/>
    <x v="6"/>
    <x v="55"/>
    <x v="4"/>
    <x v="261"/>
    <n v="29"/>
    <n v="4.8"/>
    <x v="1"/>
    <x v="0"/>
    <x v="1"/>
    <x v="6"/>
  </r>
  <r>
    <x v="827"/>
    <x v="0"/>
    <x v="131"/>
    <x v="0"/>
    <x v="261"/>
    <n v="44"/>
    <n v="4.7"/>
    <x v="0"/>
    <x v="0"/>
    <x v="1"/>
    <x v="6"/>
  </r>
  <r>
    <x v="828"/>
    <x v="1"/>
    <x v="35"/>
    <x v="2"/>
    <x v="261"/>
    <n v="140"/>
    <n v="4.3"/>
    <x v="1"/>
    <x v="2"/>
    <x v="1"/>
    <x v="6"/>
  </r>
  <r>
    <x v="829"/>
    <x v="13"/>
    <x v="19"/>
    <x v="2"/>
    <x v="261"/>
    <n v="105"/>
    <n v="3.8"/>
    <x v="0"/>
    <x v="2"/>
    <x v="1"/>
    <x v="6"/>
  </r>
  <r>
    <x v="830"/>
    <x v="5"/>
    <x v="119"/>
    <x v="2"/>
    <x v="261"/>
    <n v="82"/>
    <n v="4.5999999999999996"/>
    <x v="1"/>
    <x v="0"/>
    <x v="1"/>
    <x v="6"/>
  </r>
  <r>
    <x v="831"/>
    <x v="0"/>
    <x v="124"/>
    <x v="0"/>
    <x v="261"/>
    <n v="24"/>
    <n v="2.9"/>
    <x v="3"/>
    <x v="1"/>
    <x v="1"/>
    <x v="6"/>
  </r>
  <r>
    <x v="832"/>
    <x v="4"/>
    <x v="37"/>
    <x v="4"/>
    <x v="262"/>
    <n v="205"/>
    <n v="4.8"/>
    <x v="1"/>
    <x v="0"/>
    <x v="1"/>
    <x v="0"/>
  </r>
  <r>
    <x v="833"/>
    <x v="1"/>
    <x v="108"/>
    <x v="1"/>
    <x v="262"/>
    <n v="225"/>
    <n v="4.9000000000000004"/>
    <x v="2"/>
    <x v="0"/>
    <x v="1"/>
    <x v="0"/>
  </r>
  <r>
    <x v="834"/>
    <x v="4"/>
    <x v="95"/>
    <x v="4"/>
    <x v="262"/>
    <n v="50"/>
    <n v="3.4"/>
    <x v="0"/>
    <x v="1"/>
    <x v="1"/>
    <x v="0"/>
  </r>
  <r>
    <x v="835"/>
    <x v="4"/>
    <x v="71"/>
    <x v="2"/>
    <x v="262"/>
    <n v="80"/>
    <n v="4.3"/>
    <x v="2"/>
    <x v="2"/>
    <x v="1"/>
    <x v="0"/>
  </r>
  <r>
    <x v="836"/>
    <x v="5"/>
    <x v="121"/>
    <x v="1"/>
    <x v="262"/>
    <n v="78"/>
    <n v="3.9"/>
    <x v="0"/>
    <x v="2"/>
    <x v="1"/>
    <x v="0"/>
  </r>
  <r>
    <x v="837"/>
    <x v="3"/>
    <x v="123"/>
    <x v="4"/>
    <x v="263"/>
    <n v="40"/>
    <n v="3.9"/>
    <x v="1"/>
    <x v="2"/>
    <x v="1"/>
    <x v="1"/>
  </r>
  <r>
    <x v="838"/>
    <x v="5"/>
    <x v="121"/>
    <x v="1"/>
    <x v="263"/>
    <n v="176"/>
    <n v="1.5"/>
    <x v="0"/>
    <x v="3"/>
    <x v="1"/>
    <x v="1"/>
  </r>
  <r>
    <x v="839"/>
    <x v="11"/>
    <x v="6"/>
    <x v="4"/>
    <x v="263"/>
    <n v="78"/>
    <n v="3"/>
    <x v="0"/>
    <x v="1"/>
    <x v="1"/>
    <x v="1"/>
  </r>
  <r>
    <x v="840"/>
    <x v="14"/>
    <x v="81"/>
    <x v="1"/>
    <x v="263"/>
    <n v="42"/>
    <n v="4.2"/>
    <x v="2"/>
    <x v="2"/>
    <x v="1"/>
    <x v="1"/>
  </r>
  <r>
    <x v="841"/>
    <x v="3"/>
    <x v="78"/>
    <x v="4"/>
    <x v="263"/>
    <n v="38"/>
    <n v="3.7"/>
    <x v="3"/>
    <x v="2"/>
    <x v="1"/>
    <x v="1"/>
  </r>
  <r>
    <x v="842"/>
    <x v="2"/>
    <x v="69"/>
    <x v="3"/>
    <x v="263"/>
    <n v="27"/>
    <n v="4.2"/>
    <x v="0"/>
    <x v="2"/>
    <x v="1"/>
    <x v="1"/>
  </r>
  <r>
    <x v="843"/>
    <x v="5"/>
    <x v="65"/>
    <x v="0"/>
    <x v="264"/>
    <n v="45"/>
    <n v="4.4000000000000004"/>
    <x v="1"/>
    <x v="2"/>
    <x v="1"/>
    <x v="2"/>
  </r>
  <r>
    <x v="844"/>
    <x v="7"/>
    <x v="74"/>
    <x v="4"/>
    <x v="264"/>
    <n v="215"/>
    <n v="4"/>
    <x v="0"/>
    <x v="2"/>
    <x v="1"/>
    <x v="2"/>
  </r>
  <r>
    <x v="845"/>
    <x v="6"/>
    <x v="23"/>
    <x v="4"/>
    <x v="265"/>
    <n v="72"/>
    <n v="4.7"/>
    <x v="1"/>
    <x v="0"/>
    <x v="1"/>
    <x v="3"/>
  </r>
  <r>
    <x v="846"/>
    <x v="3"/>
    <x v="161"/>
    <x v="2"/>
    <x v="265"/>
    <n v="160"/>
    <n v="2.8"/>
    <x v="1"/>
    <x v="1"/>
    <x v="1"/>
    <x v="3"/>
  </r>
  <r>
    <x v="847"/>
    <x v="6"/>
    <x v="76"/>
    <x v="4"/>
    <x v="265"/>
    <n v="165"/>
    <n v="2.5"/>
    <x v="1"/>
    <x v="1"/>
    <x v="1"/>
    <x v="3"/>
  </r>
  <r>
    <x v="848"/>
    <x v="1"/>
    <x v="147"/>
    <x v="2"/>
    <x v="265"/>
    <n v="120"/>
    <n v="3.4"/>
    <x v="0"/>
    <x v="1"/>
    <x v="1"/>
    <x v="3"/>
  </r>
  <r>
    <x v="849"/>
    <x v="0"/>
    <x v="123"/>
    <x v="1"/>
    <x v="265"/>
    <n v="117"/>
    <n v="4.8"/>
    <x v="1"/>
    <x v="0"/>
    <x v="1"/>
    <x v="3"/>
  </r>
  <r>
    <x v="850"/>
    <x v="8"/>
    <x v="94"/>
    <x v="3"/>
    <x v="266"/>
    <n v="29"/>
    <n v="4.3"/>
    <x v="1"/>
    <x v="2"/>
    <x v="1"/>
    <x v="4"/>
  </r>
  <r>
    <x v="851"/>
    <x v="0"/>
    <x v="54"/>
    <x v="2"/>
    <x v="266"/>
    <n v="64"/>
    <n v="4.5"/>
    <x v="2"/>
    <x v="0"/>
    <x v="1"/>
    <x v="4"/>
  </r>
  <r>
    <x v="852"/>
    <x v="11"/>
    <x v="62"/>
    <x v="1"/>
    <x v="266"/>
    <n v="84"/>
    <n v="3.6"/>
    <x v="2"/>
    <x v="2"/>
    <x v="1"/>
    <x v="4"/>
  </r>
  <r>
    <x v="853"/>
    <x v="7"/>
    <x v="55"/>
    <x v="4"/>
    <x v="266"/>
    <n v="42"/>
    <n v="3.7"/>
    <x v="1"/>
    <x v="2"/>
    <x v="1"/>
    <x v="4"/>
  </r>
  <r>
    <x v="854"/>
    <x v="3"/>
    <x v="30"/>
    <x v="4"/>
    <x v="266"/>
    <n v="120"/>
    <n v="3.5"/>
    <x v="0"/>
    <x v="2"/>
    <x v="1"/>
    <x v="4"/>
  </r>
  <r>
    <x v="855"/>
    <x v="11"/>
    <x v="117"/>
    <x v="3"/>
    <x v="267"/>
    <n v="80"/>
    <n v="4.7"/>
    <x v="1"/>
    <x v="0"/>
    <x v="1"/>
    <x v="5"/>
  </r>
  <r>
    <x v="856"/>
    <x v="8"/>
    <x v="28"/>
    <x v="2"/>
    <x v="267"/>
    <n v="185"/>
    <n v="3.5"/>
    <x v="0"/>
    <x v="2"/>
    <x v="1"/>
    <x v="5"/>
  </r>
  <r>
    <x v="857"/>
    <x v="4"/>
    <x v="73"/>
    <x v="0"/>
    <x v="268"/>
    <n v="135"/>
    <n v="3.9"/>
    <x v="2"/>
    <x v="2"/>
    <x v="1"/>
    <x v="6"/>
  </r>
  <r>
    <x v="858"/>
    <x v="4"/>
    <x v="114"/>
    <x v="2"/>
    <x v="268"/>
    <n v="20"/>
    <n v="4.8"/>
    <x v="0"/>
    <x v="0"/>
    <x v="1"/>
    <x v="6"/>
  </r>
  <r>
    <x v="859"/>
    <x v="12"/>
    <x v="101"/>
    <x v="2"/>
    <x v="268"/>
    <n v="31"/>
    <n v="4"/>
    <x v="2"/>
    <x v="2"/>
    <x v="1"/>
    <x v="6"/>
  </r>
  <r>
    <x v="860"/>
    <x v="14"/>
    <x v="17"/>
    <x v="3"/>
    <x v="269"/>
    <n v="120"/>
    <n v="4.7"/>
    <x v="2"/>
    <x v="0"/>
    <x v="1"/>
    <x v="0"/>
  </r>
  <r>
    <x v="861"/>
    <x v="1"/>
    <x v="22"/>
    <x v="1"/>
    <x v="269"/>
    <n v="117"/>
    <n v="3.6"/>
    <x v="0"/>
    <x v="2"/>
    <x v="1"/>
    <x v="0"/>
  </r>
  <r>
    <x v="862"/>
    <x v="14"/>
    <x v="77"/>
    <x v="4"/>
    <x v="269"/>
    <n v="80"/>
    <n v="4.5"/>
    <x v="0"/>
    <x v="0"/>
    <x v="1"/>
    <x v="0"/>
  </r>
  <r>
    <x v="863"/>
    <x v="14"/>
    <x v="39"/>
    <x v="0"/>
    <x v="270"/>
    <n v="117"/>
    <n v="4"/>
    <x v="2"/>
    <x v="2"/>
    <x v="1"/>
    <x v="1"/>
  </r>
  <r>
    <x v="864"/>
    <x v="8"/>
    <x v="74"/>
    <x v="3"/>
    <x v="270"/>
    <n v="60"/>
    <n v="4.5"/>
    <x v="0"/>
    <x v="0"/>
    <x v="1"/>
    <x v="1"/>
  </r>
  <r>
    <x v="865"/>
    <x v="4"/>
    <x v="79"/>
    <x v="4"/>
    <x v="271"/>
    <n v="58"/>
    <n v="3.9"/>
    <x v="3"/>
    <x v="2"/>
    <x v="1"/>
    <x v="2"/>
  </r>
  <r>
    <x v="866"/>
    <x v="12"/>
    <x v="114"/>
    <x v="0"/>
    <x v="271"/>
    <n v="41"/>
    <n v="4.3"/>
    <x v="0"/>
    <x v="2"/>
    <x v="1"/>
    <x v="2"/>
  </r>
  <r>
    <x v="867"/>
    <x v="3"/>
    <x v="21"/>
    <x v="1"/>
    <x v="271"/>
    <n v="180"/>
    <n v="3.6"/>
    <x v="0"/>
    <x v="2"/>
    <x v="1"/>
    <x v="2"/>
  </r>
  <r>
    <x v="868"/>
    <x v="13"/>
    <x v="69"/>
    <x v="1"/>
    <x v="271"/>
    <n v="42"/>
    <n v="3.6"/>
    <x v="0"/>
    <x v="2"/>
    <x v="1"/>
    <x v="2"/>
  </r>
  <r>
    <x v="869"/>
    <x v="13"/>
    <x v="2"/>
    <x v="1"/>
    <x v="272"/>
    <n v="24"/>
    <n v="4"/>
    <x v="0"/>
    <x v="2"/>
    <x v="1"/>
    <x v="3"/>
  </r>
  <r>
    <x v="870"/>
    <x v="12"/>
    <x v="58"/>
    <x v="1"/>
    <x v="272"/>
    <n v="125"/>
    <n v="4.2"/>
    <x v="0"/>
    <x v="2"/>
    <x v="1"/>
    <x v="3"/>
  </r>
  <r>
    <x v="871"/>
    <x v="12"/>
    <x v="99"/>
    <x v="0"/>
    <x v="273"/>
    <n v="78"/>
    <n v="4.3"/>
    <x v="0"/>
    <x v="2"/>
    <x v="1"/>
    <x v="4"/>
  </r>
  <r>
    <x v="872"/>
    <x v="9"/>
    <x v="66"/>
    <x v="2"/>
    <x v="273"/>
    <n v="180"/>
    <n v="3.8"/>
    <x v="0"/>
    <x v="2"/>
    <x v="1"/>
    <x v="4"/>
  </r>
  <r>
    <x v="873"/>
    <x v="7"/>
    <x v="162"/>
    <x v="0"/>
    <x v="273"/>
    <n v="84"/>
    <n v="4.4000000000000004"/>
    <x v="1"/>
    <x v="2"/>
    <x v="1"/>
    <x v="4"/>
  </r>
  <r>
    <x v="874"/>
    <x v="4"/>
    <x v="98"/>
    <x v="0"/>
    <x v="273"/>
    <n v="26"/>
    <n v="4.7"/>
    <x v="3"/>
    <x v="0"/>
    <x v="1"/>
    <x v="4"/>
  </r>
  <r>
    <x v="875"/>
    <x v="1"/>
    <x v="30"/>
    <x v="0"/>
    <x v="274"/>
    <n v="140"/>
    <n v="3.6"/>
    <x v="0"/>
    <x v="2"/>
    <x v="1"/>
    <x v="5"/>
  </r>
  <r>
    <x v="876"/>
    <x v="3"/>
    <x v="157"/>
    <x v="2"/>
    <x v="274"/>
    <n v="31"/>
    <n v="2.2000000000000002"/>
    <x v="0"/>
    <x v="3"/>
    <x v="1"/>
    <x v="5"/>
  </r>
  <r>
    <x v="877"/>
    <x v="8"/>
    <x v="114"/>
    <x v="2"/>
    <x v="274"/>
    <n v="108"/>
    <n v="4.8"/>
    <x v="0"/>
    <x v="0"/>
    <x v="1"/>
    <x v="5"/>
  </r>
  <r>
    <x v="878"/>
    <x v="7"/>
    <x v="70"/>
    <x v="3"/>
    <x v="275"/>
    <n v="58"/>
    <n v="4.3"/>
    <x v="1"/>
    <x v="2"/>
    <x v="1"/>
    <x v="6"/>
  </r>
  <r>
    <x v="879"/>
    <x v="7"/>
    <x v="90"/>
    <x v="2"/>
    <x v="275"/>
    <n v="185"/>
    <n v="2.2000000000000002"/>
    <x v="0"/>
    <x v="3"/>
    <x v="1"/>
    <x v="6"/>
  </r>
  <r>
    <x v="880"/>
    <x v="7"/>
    <x v="53"/>
    <x v="2"/>
    <x v="275"/>
    <n v="40"/>
    <n v="4.8"/>
    <x v="0"/>
    <x v="0"/>
    <x v="1"/>
    <x v="6"/>
  </r>
  <r>
    <x v="881"/>
    <x v="7"/>
    <x v="158"/>
    <x v="4"/>
    <x v="275"/>
    <n v="225"/>
    <n v="2.6"/>
    <x v="3"/>
    <x v="1"/>
    <x v="1"/>
    <x v="6"/>
  </r>
  <r>
    <x v="882"/>
    <x v="3"/>
    <x v="41"/>
    <x v="3"/>
    <x v="275"/>
    <n v="150"/>
    <n v="2.6"/>
    <x v="0"/>
    <x v="1"/>
    <x v="1"/>
    <x v="6"/>
  </r>
  <r>
    <x v="883"/>
    <x v="6"/>
    <x v="50"/>
    <x v="1"/>
    <x v="276"/>
    <n v="88"/>
    <n v="3.4"/>
    <x v="0"/>
    <x v="1"/>
    <x v="1"/>
    <x v="0"/>
  </r>
  <r>
    <x v="884"/>
    <x v="10"/>
    <x v="103"/>
    <x v="0"/>
    <x v="276"/>
    <n v="140"/>
    <n v="3.7"/>
    <x v="2"/>
    <x v="2"/>
    <x v="1"/>
    <x v="0"/>
  </r>
  <r>
    <x v="885"/>
    <x v="6"/>
    <x v="52"/>
    <x v="1"/>
    <x v="276"/>
    <n v="68"/>
    <n v="2.1"/>
    <x v="1"/>
    <x v="3"/>
    <x v="1"/>
    <x v="0"/>
  </r>
  <r>
    <x v="886"/>
    <x v="1"/>
    <x v="7"/>
    <x v="4"/>
    <x v="277"/>
    <n v="105"/>
    <n v="3.6"/>
    <x v="2"/>
    <x v="2"/>
    <x v="1"/>
    <x v="1"/>
  </r>
  <r>
    <x v="887"/>
    <x v="13"/>
    <x v="113"/>
    <x v="0"/>
    <x v="277"/>
    <n v="40"/>
    <n v="3.8"/>
    <x v="1"/>
    <x v="2"/>
    <x v="1"/>
    <x v="1"/>
  </r>
  <r>
    <x v="888"/>
    <x v="9"/>
    <x v="84"/>
    <x v="0"/>
    <x v="277"/>
    <n v="82"/>
    <n v="3.1"/>
    <x v="0"/>
    <x v="1"/>
    <x v="1"/>
    <x v="1"/>
  </r>
  <r>
    <x v="889"/>
    <x v="0"/>
    <x v="96"/>
    <x v="4"/>
    <x v="278"/>
    <n v="90"/>
    <n v="4.4000000000000004"/>
    <x v="0"/>
    <x v="2"/>
    <x v="1"/>
    <x v="2"/>
  </r>
  <r>
    <x v="890"/>
    <x v="2"/>
    <x v="134"/>
    <x v="3"/>
    <x v="279"/>
    <n v="66"/>
    <n v="4.8"/>
    <x v="1"/>
    <x v="0"/>
    <x v="1"/>
    <x v="3"/>
  </r>
  <r>
    <x v="891"/>
    <x v="14"/>
    <x v="63"/>
    <x v="1"/>
    <x v="279"/>
    <n v="78"/>
    <n v="3.5"/>
    <x v="0"/>
    <x v="2"/>
    <x v="1"/>
    <x v="3"/>
  </r>
  <r>
    <x v="892"/>
    <x v="3"/>
    <x v="6"/>
    <x v="3"/>
    <x v="280"/>
    <n v="66"/>
    <n v="4.4000000000000004"/>
    <x v="0"/>
    <x v="2"/>
    <x v="1"/>
    <x v="4"/>
  </r>
  <r>
    <x v="893"/>
    <x v="13"/>
    <x v="108"/>
    <x v="4"/>
    <x v="281"/>
    <n v="160"/>
    <n v="3.8"/>
    <x v="2"/>
    <x v="2"/>
    <x v="1"/>
    <x v="5"/>
  </r>
  <r>
    <x v="894"/>
    <x v="12"/>
    <x v="59"/>
    <x v="0"/>
    <x v="282"/>
    <n v="144"/>
    <n v="3.8"/>
    <x v="0"/>
    <x v="2"/>
    <x v="1"/>
    <x v="6"/>
  </r>
  <r>
    <x v="895"/>
    <x v="13"/>
    <x v="142"/>
    <x v="2"/>
    <x v="282"/>
    <n v="200"/>
    <n v="4.5999999999999996"/>
    <x v="0"/>
    <x v="0"/>
    <x v="1"/>
    <x v="6"/>
  </r>
  <r>
    <x v="896"/>
    <x v="5"/>
    <x v="144"/>
    <x v="1"/>
    <x v="283"/>
    <n v="220"/>
    <n v="5"/>
    <x v="2"/>
    <x v="0"/>
    <x v="1"/>
    <x v="1"/>
  </r>
  <r>
    <x v="897"/>
    <x v="3"/>
    <x v="28"/>
    <x v="3"/>
    <x v="284"/>
    <n v="112"/>
    <n v="3.2"/>
    <x v="0"/>
    <x v="1"/>
    <x v="1"/>
    <x v="2"/>
  </r>
  <r>
    <x v="898"/>
    <x v="2"/>
    <x v="130"/>
    <x v="4"/>
    <x v="284"/>
    <n v="110"/>
    <n v="3.7"/>
    <x v="0"/>
    <x v="2"/>
    <x v="1"/>
    <x v="2"/>
  </r>
  <r>
    <x v="899"/>
    <x v="11"/>
    <x v="33"/>
    <x v="0"/>
    <x v="285"/>
    <n v="160"/>
    <n v="2.7"/>
    <x v="0"/>
    <x v="1"/>
    <x v="1"/>
    <x v="3"/>
  </r>
  <r>
    <x v="900"/>
    <x v="11"/>
    <x v="78"/>
    <x v="4"/>
    <x v="285"/>
    <n v="84"/>
    <n v="4"/>
    <x v="3"/>
    <x v="2"/>
    <x v="1"/>
    <x v="3"/>
  </r>
  <r>
    <x v="901"/>
    <x v="2"/>
    <x v="108"/>
    <x v="1"/>
    <x v="285"/>
    <n v="124"/>
    <n v="2.6"/>
    <x v="2"/>
    <x v="1"/>
    <x v="1"/>
    <x v="3"/>
  </r>
  <r>
    <x v="902"/>
    <x v="11"/>
    <x v="89"/>
    <x v="2"/>
    <x v="285"/>
    <n v="84"/>
    <n v="4.5999999999999996"/>
    <x v="1"/>
    <x v="0"/>
    <x v="1"/>
    <x v="3"/>
  </r>
  <r>
    <x v="903"/>
    <x v="1"/>
    <x v="131"/>
    <x v="3"/>
    <x v="286"/>
    <n v="130"/>
    <n v="2.7"/>
    <x v="0"/>
    <x v="1"/>
    <x v="1"/>
    <x v="4"/>
  </r>
  <r>
    <x v="904"/>
    <x v="12"/>
    <x v="55"/>
    <x v="0"/>
    <x v="286"/>
    <n v="215"/>
    <n v="3.5"/>
    <x v="1"/>
    <x v="2"/>
    <x v="1"/>
    <x v="4"/>
  </r>
  <r>
    <x v="905"/>
    <x v="3"/>
    <x v="50"/>
    <x v="1"/>
    <x v="287"/>
    <n v="132"/>
    <n v="3.6"/>
    <x v="0"/>
    <x v="2"/>
    <x v="1"/>
    <x v="5"/>
  </r>
  <r>
    <x v="906"/>
    <x v="6"/>
    <x v="34"/>
    <x v="3"/>
    <x v="287"/>
    <n v="88"/>
    <n v="4.9000000000000004"/>
    <x v="0"/>
    <x v="0"/>
    <x v="1"/>
    <x v="5"/>
  </r>
  <r>
    <x v="907"/>
    <x v="0"/>
    <x v="48"/>
    <x v="1"/>
    <x v="287"/>
    <n v="140"/>
    <n v="3.9"/>
    <x v="0"/>
    <x v="2"/>
    <x v="1"/>
    <x v="5"/>
  </r>
  <r>
    <x v="908"/>
    <x v="11"/>
    <x v="5"/>
    <x v="3"/>
    <x v="288"/>
    <n v="66"/>
    <n v="4.7"/>
    <x v="0"/>
    <x v="0"/>
    <x v="1"/>
    <x v="6"/>
  </r>
  <r>
    <x v="909"/>
    <x v="8"/>
    <x v="34"/>
    <x v="0"/>
    <x v="288"/>
    <n v="23"/>
    <n v="4.5"/>
    <x v="0"/>
    <x v="0"/>
    <x v="1"/>
    <x v="6"/>
  </r>
  <r>
    <x v="910"/>
    <x v="6"/>
    <x v="149"/>
    <x v="0"/>
    <x v="289"/>
    <n v="220"/>
    <n v="4.5"/>
    <x v="1"/>
    <x v="0"/>
    <x v="1"/>
    <x v="0"/>
  </r>
  <r>
    <x v="911"/>
    <x v="7"/>
    <x v="63"/>
    <x v="4"/>
    <x v="290"/>
    <n v="175"/>
    <n v="4.4000000000000004"/>
    <x v="0"/>
    <x v="2"/>
    <x v="1"/>
    <x v="1"/>
  </r>
  <r>
    <x v="912"/>
    <x v="13"/>
    <x v="25"/>
    <x v="0"/>
    <x v="290"/>
    <n v="172"/>
    <n v="4.0999999999999996"/>
    <x v="0"/>
    <x v="2"/>
    <x v="1"/>
    <x v="1"/>
  </r>
  <r>
    <x v="913"/>
    <x v="9"/>
    <x v="130"/>
    <x v="2"/>
    <x v="290"/>
    <n v="108"/>
    <n v="3.8"/>
    <x v="0"/>
    <x v="2"/>
    <x v="1"/>
    <x v="1"/>
  </r>
  <r>
    <x v="914"/>
    <x v="8"/>
    <x v="122"/>
    <x v="0"/>
    <x v="291"/>
    <n v="43"/>
    <n v="4.2"/>
    <x v="2"/>
    <x v="2"/>
    <x v="1"/>
    <x v="2"/>
  </r>
  <r>
    <x v="915"/>
    <x v="6"/>
    <x v="40"/>
    <x v="1"/>
    <x v="291"/>
    <n v="44"/>
    <n v="2.2000000000000002"/>
    <x v="1"/>
    <x v="3"/>
    <x v="1"/>
    <x v="2"/>
  </r>
  <r>
    <x v="916"/>
    <x v="13"/>
    <x v="87"/>
    <x v="4"/>
    <x v="291"/>
    <n v="105"/>
    <n v="3.9"/>
    <x v="1"/>
    <x v="2"/>
    <x v="1"/>
    <x v="2"/>
  </r>
  <r>
    <x v="917"/>
    <x v="7"/>
    <x v="97"/>
    <x v="1"/>
    <x v="292"/>
    <n v="34"/>
    <n v="3.9"/>
    <x v="0"/>
    <x v="2"/>
    <x v="1"/>
    <x v="3"/>
  </r>
  <r>
    <x v="918"/>
    <x v="4"/>
    <x v="118"/>
    <x v="0"/>
    <x v="292"/>
    <n v="220"/>
    <n v="4.0999999999999996"/>
    <x v="0"/>
    <x v="2"/>
    <x v="1"/>
    <x v="3"/>
  </r>
  <r>
    <x v="919"/>
    <x v="0"/>
    <x v="90"/>
    <x v="4"/>
    <x v="292"/>
    <n v="225"/>
    <n v="4.5999999999999996"/>
    <x v="0"/>
    <x v="0"/>
    <x v="1"/>
    <x v="3"/>
  </r>
  <r>
    <x v="920"/>
    <x v="2"/>
    <x v="93"/>
    <x v="4"/>
    <x v="293"/>
    <n v="37"/>
    <n v="4.0999999999999996"/>
    <x v="2"/>
    <x v="2"/>
    <x v="1"/>
    <x v="4"/>
  </r>
  <r>
    <x v="921"/>
    <x v="12"/>
    <x v="47"/>
    <x v="1"/>
    <x v="293"/>
    <n v="44"/>
    <n v="5"/>
    <x v="0"/>
    <x v="0"/>
    <x v="1"/>
    <x v="4"/>
  </r>
  <r>
    <x v="922"/>
    <x v="5"/>
    <x v="17"/>
    <x v="1"/>
    <x v="294"/>
    <n v="35"/>
    <n v="2.8"/>
    <x v="2"/>
    <x v="1"/>
    <x v="1"/>
    <x v="5"/>
  </r>
  <r>
    <x v="923"/>
    <x v="12"/>
    <x v="17"/>
    <x v="0"/>
    <x v="294"/>
    <n v="145"/>
    <n v="2.7"/>
    <x v="2"/>
    <x v="1"/>
    <x v="1"/>
    <x v="5"/>
  </r>
  <r>
    <x v="924"/>
    <x v="6"/>
    <x v="51"/>
    <x v="4"/>
    <x v="294"/>
    <n v="64"/>
    <n v="3.9"/>
    <x v="0"/>
    <x v="2"/>
    <x v="1"/>
    <x v="5"/>
  </r>
  <r>
    <x v="925"/>
    <x v="12"/>
    <x v="107"/>
    <x v="0"/>
    <x v="295"/>
    <n v="185"/>
    <n v="4.3"/>
    <x v="0"/>
    <x v="2"/>
    <x v="1"/>
    <x v="6"/>
  </r>
  <r>
    <x v="926"/>
    <x v="3"/>
    <x v="74"/>
    <x v="1"/>
    <x v="295"/>
    <n v="215"/>
    <n v="2.5"/>
    <x v="0"/>
    <x v="1"/>
    <x v="1"/>
    <x v="6"/>
  </r>
  <r>
    <x v="927"/>
    <x v="8"/>
    <x v="7"/>
    <x v="2"/>
    <x v="295"/>
    <n v="88"/>
    <n v="3.4"/>
    <x v="2"/>
    <x v="1"/>
    <x v="1"/>
    <x v="6"/>
  </r>
  <r>
    <x v="928"/>
    <x v="12"/>
    <x v="99"/>
    <x v="4"/>
    <x v="295"/>
    <n v="23"/>
    <n v="3.4"/>
    <x v="0"/>
    <x v="1"/>
    <x v="1"/>
    <x v="6"/>
  </r>
  <r>
    <x v="929"/>
    <x v="2"/>
    <x v="54"/>
    <x v="2"/>
    <x v="296"/>
    <n v="180"/>
    <n v="1.8"/>
    <x v="2"/>
    <x v="3"/>
    <x v="1"/>
    <x v="0"/>
  </r>
  <r>
    <x v="930"/>
    <x v="13"/>
    <x v="53"/>
    <x v="4"/>
    <x v="297"/>
    <n v="225"/>
    <n v="3.7"/>
    <x v="0"/>
    <x v="2"/>
    <x v="1"/>
    <x v="1"/>
  </r>
  <r>
    <x v="931"/>
    <x v="4"/>
    <x v="138"/>
    <x v="1"/>
    <x v="298"/>
    <n v="74"/>
    <n v="4.0999999999999996"/>
    <x v="3"/>
    <x v="2"/>
    <x v="1"/>
    <x v="2"/>
  </r>
  <r>
    <x v="932"/>
    <x v="3"/>
    <x v="120"/>
    <x v="4"/>
    <x v="298"/>
    <n v="36"/>
    <n v="3"/>
    <x v="1"/>
    <x v="1"/>
    <x v="1"/>
    <x v="2"/>
  </r>
  <r>
    <x v="933"/>
    <x v="5"/>
    <x v="15"/>
    <x v="4"/>
    <x v="299"/>
    <n v="116"/>
    <n v="3.9"/>
    <x v="0"/>
    <x v="2"/>
    <x v="1"/>
    <x v="4"/>
  </r>
  <r>
    <x v="934"/>
    <x v="3"/>
    <x v="67"/>
    <x v="2"/>
    <x v="299"/>
    <n v="140"/>
    <n v="4"/>
    <x v="0"/>
    <x v="2"/>
    <x v="1"/>
    <x v="4"/>
  </r>
  <r>
    <x v="935"/>
    <x v="3"/>
    <x v="9"/>
    <x v="1"/>
    <x v="300"/>
    <n v="104"/>
    <n v="4.5"/>
    <x v="0"/>
    <x v="0"/>
    <x v="1"/>
    <x v="5"/>
  </r>
  <r>
    <x v="936"/>
    <x v="5"/>
    <x v="120"/>
    <x v="3"/>
    <x v="300"/>
    <n v="148"/>
    <n v="4"/>
    <x v="1"/>
    <x v="2"/>
    <x v="1"/>
    <x v="5"/>
  </r>
  <r>
    <x v="937"/>
    <x v="8"/>
    <x v="108"/>
    <x v="4"/>
    <x v="300"/>
    <n v="205"/>
    <n v="4.3"/>
    <x v="2"/>
    <x v="2"/>
    <x v="1"/>
    <x v="5"/>
  </r>
  <r>
    <x v="938"/>
    <x v="1"/>
    <x v="133"/>
    <x v="0"/>
    <x v="300"/>
    <n v="210"/>
    <n v="4.8"/>
    <x v="3"/>
    <x v="0"/>
    <x v="1"/>
    <x v="5"/>
  </r>
  <r>
    <x v="939"/>
    <x v="4"/>
    <x v="38"/>
    <x v="3"/>
    <x v="301"/>
    <n v="41"/>
    <n v="4.7"/>
    <x v="0"/>
    <x v="0"/>
    <x v="1"/>
    <x v="0"/>
  </r>
  <r>
    <x v="940"/>
    <x v="11"/>
    <x v="74"/>
    <x v="2"/>
    <x v="301"/>
    <n v="136"/>
    <n v="5"/>
    <x v="0"/>
    <x v="0"/>
    <x v="1"/>
    <x v="0"/>
  </r>
  <r>
    <x v="941"/>
    <x v="9"/>
    <x v="45"/>
    <x v="1"/>
    <x v="302"/>
    <n v="126"/>
    <n v="1.5"/>
    <x v="0"/>
    <x v="3"/>
    <x v="1"/>
    <x v="1"/>
  </r>
  <r>
    <x v="942"/>
    <x v="2"/>
    <x v="24"/>
    <x v="0"/>
    <x v="303"/>
    <n v="148"/>
    <n v="4.0999999999999996"/>
    <x v="0"/>
    <x v="2"/>
    <x v="1"/>
    <x v="2"/>
  </r>
  <r>
    <x v="943"/>
    <x v="9"/>
    <x v="72"/>
    <x v="1"/>
    <x v="303"/>
    <n v="125"/>
    <n v="3.9"/>
    <x v="1"/>
    <x v="2"/>
    <x v="1"/>
    <x v="2"/>
  </r>
  <r>
    <x v="944"/>
    <x v="6"/>
    <x v="145"/>
    <x v="2"/>
    <x v="303"/>
    <n v="25"/>
    <n v="4.0999999999999996"/>
    <x v="2"/>
    <x v="2"/>
    <x v="1"/>
    <x v="2"/>
  </r>
  <r>
    <x v="945"/>
    <x v="7"/>
    <x v="163"/>
    <x v="4"/>
    <x v="304"/>
    <n v="62"/>
    <n v="2.8"/>
    <x v="4"/>
    <x v="1"/>
    <x v="1"/>
    <x v="3"/>
  </r>
  <r>
    <x v="946"/>
    <x v="2"/>
    <x v="116"/>
    <x v="2"/>
    <x v="305"/>
    <n v="90"/>
    <n v="4.5999999999999996"/>
    <x v="1"/>
    <x v="0"/>
    <x v="1"/>
    <x v="4"/>
  </r>
  <r>
    <x v="947"/>
    <x v="1"/>
    <x v="117"/>
    <x v="3"/>
    <x v="306"/>
    <n v="33"/>
    <n v="4.8"/>
    <x v="1"/>
    <x v="0"/>
    <x v="1"/>
    <x v="5"/>
  </r>
  <r>
    <x v="948"/>
    <x v="3"/>
    <x v="42"/>
    <x v="4"/>
    <x v="306"/>
    <n v="115"/>
    <n v="2.2999999999999998"/>
    <x v="0"/>
    <x v="3"/>
    <x v="1"/>
    <x v="5"/>
  </r>
  <r>
    <x v="949"/>
    <x v="1"/>
    <x v="123"/>
    <x v="3"/>
    <x v="306"/>
    <n v="45"/>
    <n v="2.6"/>
    <x v="1"/>
    <x v="1"/>
    <x v="1"/>
    <x v="5"/>
  </r>
  <r>
    <x v="950"/>
    <x v="6"/>
    <x v="157"/>
    <x v="0"/>
    <x v="306"/>
    <n v="114"/>
    <n v="4.8"/>
    <x v="0"/>
    <x v="0"/>
    <x v="1"/>
    <x v="5"/>
  </r>
  <r>
    <x v="951"/>
    <x v="3"/>
    <x v="9"/>
    <x v="1"/>
    <x v="307"/>
    <n v="72"/>
    <n v="3.7"/>
    <x v="0"/>
    <x v="2"/>
    <x v="1"/>
    <x v="6"/>
  </r>
  <r>
    <x v="952"/>
    <x v="10"/>
    <x v="63"/>
    <x v="0"/>
    <x v="307"/>
    <n v="205"/>
    <n v="4.2"/>
    <x v="0"/>
    <x v="2"/>
    <x v="1"/>
    <x v="6"/>
  </r>
  <r>
    <x v="953"/>
    <x v="1"/>
    <x v="40"/>
    <x v="1"/>
    <x v="308"/>
    <n v="42"/>
    <n v="3.3"/>
    <x v="1"/>
    <x v="1"/>
    <x v="1"/>
    <x v="0"/>
  </r>
  <r>
    <x v="954"/>
    <x v="7"/>
    <x v="123"/>
    <x v="0"/>
    <x v="308"/>
    <n v="96"/>
    <n v="4.3"/>
    <x v="1"/>
    <x v="2"/>
    <x v="1"/>
    <x v="0"/>
  </r>
  <r>
    <x v="955"/>
    <x v="3"/>
    <x v="146"/>
    <x v="4"/>
    <x v="308"/>
    <n v="64"/>
    <n v="3.7"/>
    <x v="2"/>
    <x v="2"/>
    <x v="1"/>
    <x v="0"/>
  </r>
  <r>
    <x v="956"/>
    <x v="10"/>
    <x v="50"/>
    <x v="0"/>
    <x v="309"/>
    <n v="72"/>
    <n v="3.7"/>
    <x v="0"/>
    <x v="2"/>
    <x v="1"/>
    <x v="1"/>
  </r>
  <r>
    <x v="957"/>
    <x v="6"/>
    <x v="18"/>
    <x v="3"/>
    <x v="310"/>
    <n v="27"/>
    <n v="3.1"/>
    <x v="2"/>
    <x v="1"/>
    <x v="1"/>
    <x v="2"/>
  </r>
  <r>
    <x v="958"/>
    <x v="7"/>
    <x v="67"/>
    <x v="3"/>
    <x v="311"/>
    <n v="200"/>
    <n v="2.4"/>
    <x v="0"/>
    <x v="3"/>
    <x v="1"/>
    <x v="4"/>
  </r>
  <r>
    <x v="959"/>
    <x v="6"/>
    <x v="129"/>
    <x v="1"/>
    <x v="312"/>
    <n v="93"/>
    <n v="3.5"/>
    <x v="3"/>
    <x v="2"/>
    <x v="1"/>
    <x v="5"/>
  </r>
  <r>
    <x v="960"/>
    <x v="12"/>
    <x v="54"/>
    <x v="4"/>
    <x v="312"/>
    <n v="54"/>
    <n v="4.3"/>
    <x v="2"/>
    <x v="2"/>
    <x v="1"/>
    <x v="5"/>
  </r>
  <r>
    <x v="961"/>
    <x v="6"/>
    <x v="6"/>
    <x v="1"/>
    <x v="313"/>
    <n v="72"/>
    <n v="3.4"/>
    <x v="0"/>
    <x v="1"/>
    <x v="1"/>
    <x v="6"/>
  </r>
  <r>
    <x v="962"/>
    <x v="9"/>
    <x v="47"/>
    <x v="2"/>
    <x v="313"/>
    <n v="82"/>
    <n v="3.7"/>
    <x v="0"/>
    <x v="2"/>
    <x v="1"/>
    <x v="6"/>
  </r>
  <r>
    <x v="963"/>
    <x v="12"/>
    <x v="74"/>
    <x v="4"/>
    <x v="314"/>
    <n v="164"/>
    <n v="4.8"/>
    <x v="0"/>
    <x v="0"/>
    <x v="1"/>
    <x v="3"/>
  </r>
  <r>
    <x v="964"/>
    <x v="2"/>
    <x v="30"/>
    <x v="1"/>
    <x v="314"/>
    <n v="78"/>
    <n v="3.3"/>
    <x v="0"/>
    <x v="1"/>
    <x v="1"/>
    <x v="3"/>
  </r>
  <r>
    <x v="965"/>
    <x v="10"/>
    <x v="109"/>
    <x v="3"/>
    <x v="315"/>
    <n v="135"/>
    <n v="4.2"/>
    <x v="2"/>
    <x v="2"/>
    <x v="1"/>
    <x v="4"/>
  </r>
  <r>
    <x v="966"/>
    <x v="14"/>
    <x v="76"/>
    <x v="4"/>
    <x v="316"/>
    <n v="145"/>
    <n v="2.6"/>
    <x v="1"/>
    <x v="1"/>
    <x v="1"/>
    <x v="5"/>
  </r>
  <r>
    <x v="967"/>
    <x v="5"/>
    <x v="74"/>
    <x v="3"/>
    <x v="316"/>
    <n v="115"/>
    <n v="4.9000000000000004"/>
    <x v="0"/>
    <x v="0"/>
    <x v="1"/>
    <x v="5"/>
  </r>
  <r>
    <x v="968"/>
    <x v="13"/>
    <x v="89"/>
    <x v="1"/>
    <x v="316"/>
    <n v="117"/>
    <n v="2"/>
    <x v="1"/>
    <x v="3"/>
    <x v="1"/>
    <x v="5"/>
  </r>
  <r>
    <x v="969"/>
    <x v="14"/>
    <x v="120"/>
    <x v="0"/>
    <x v="317"/>
    <n v="36"/>
    <n v="4.7"/>
    <x v="1"/>
    <x v="0"/>
    <x v="1"/>
    <x v="6"/>
  </r>
  <r>
    <x v="970"/>
    <x v="2"/>
    <x v="64"/>
    <x v="0"/>
    <x v="317"/>
    <n v="84"/>
    <n v="2.8"/>
    <x v="2"/>
    <x v="1"/>
    <x v="1"/>
    <x v="6"/>
  </r>
  <r>
    <x v="971"/>
    <x v="8"/>
    <x v="56"/>
    <x v="0"/>
    <x v="317"/>
    <n v="66"/>
    <n v="3.2"/>
    <x v="1"/>
    <x v="1"/>
    <x v="1"/>
    <x v="6"/>
  </r>
  <r>
    <x v="972"/>
    <x v="6"/>
    <x v="52"/>
    <x v="3"/>
    <x v="317"/>
    <n v="76"/>
    <n v="4.7"/>
    <x v="1"/>
    <x v="0"/>
    <x v="1"/>
    <x v="6"/>
  </r>
  <r>
    <x v="973"/>
    <x v="11"/>
    <x v="117"/>
    <x v="3"/>
    <x v="317"/>
    <n v="185"/>
    <n v="4.8"/>
    <x v="1"/>
    <x v="0"/>
    <x v="1"/>
    <x v="6"/>
  </r>
  <r>
    <x v="974"/>
    <x v="2"/>
    <x v="117"/>
    <x v="2"/>
    <x v="318"/>
    <n v="80"/>
    <n v="4.7"/>
    <x v="1"/>
    <x v="0"/>
    <x v="1"/>
    <x v="0"/>
  </r>
  <r>
    <x v="975"/>
    <x v="7"/>
    <x v="81"/>
    <x v="3"/>
    <x v="318"/>
    <n v="148"/>
    <n v="4"/>
    <x v="2"/>
    <x v="2"/>
    <x v="1"/>
    <x v="0"/>
  </r>
  <r>
    <x v="976"/>
    <x v="2"/>
    <x v="5"/>
    <x v="4"/>
    <x v="319"/>
    <n v="180"/>
    <n v="4.9000000000000004"/>
    <x v="0"/>
    <x v="0"/>
    <x v="1"/>
    <x v="2"/>
  </r>
  <r>
    <x v="977"/>
    <x v="9"/>
    <x v="135"/>
    <x v="2"/>
    <x v="320"/>
    <n v="190"/>
    <n v="3.7"/>
    <x v="0"/>
    <x v="2"/>
    <x v="1"/>
    <x v="3"/>
  </r>
  <r>
    <x v="978"/>
    <x v="4"/>
    <x v="107"/>
    <x v="3"/>
    <x v="320"/>
    <n v="38"/>
    <n v="4.5"/>
    <x v="0"/>
    <x v="0"/>
    <x v="1"/>
    <x v="3"/>
  </r>
  <r>
    <x v="979"/>
    <x v="5"/>
    <x v="77"/>
    <x v="1"/>
    <x v="321"/>
    <n v="82"/>
    <n v="2.1"/>
    <x v="0"/>
    <x v="3"/>
    <x v="1"/>
    <x v="4"/>
  </r>
  <r>
    <x v="980"/>
    <x v="14"/>
    <x v="34"/>
    <x v="3"/>
    <x v="322"/>
    <n v="88"/>
    <n v="2.8"/>
    <x v="0"/>
    <x v="1"/>
    <x v="1"/>
    <x v="0"/>
  </r>
  <r>
    <x v="981"/>
    <x v="3"/>
    <x v="130"/>
    <x v="4"/>
    <x v="322"/>
    <n v="42"/>
    <n v="4.0999999999999996"/>
    <x v="0"/>
    <x v="2"/>
    <x v="1"/>
    <x v="0"/>
  </r>
  <r>
    <x v="982"/>
    <x v="10"/>
    <x v="164"/>
    <x v="0"/>
    <x v="323"/>
    <n v="64"/>
    <n v="3.3"/>
    <x v="4"/>
    <x v="1"/>
    <x v="1"/>
    <x v="1"/>
  </r>
  <r>
    <x v="983"/>
    <x v="7"/>
    <x v="116"/>
    <x v="0"/>
    <x v="323"/>
    <n v="105"/>
    <n v="1.7"/>
    <x v="1"/>
    <x v="3"/>
    <x v="1"/>
    <x v="1"/>
  </r>
  <r>
    <x v="984"/>
    <x v="1"/>
    <x v="20"/>
    <x v="2"/>
    <x v="323"/>
    <n v="25"/>
    <n v="3.6"/>
    <x v="2"/>
    <x v="2"/>
    <x v="1"/>
    <x v="1"/>
  </r>
  <r>
    <x v="985"/>
    <x v="0"/>
    <x v="31"/>
    <x v="1"/>
    <x v="324"/>
    <n v="176"/>
    <n v="3.6"/>
    <x v="0"/>
    <x v="2"/>
    <x v="1"/>
    <x v="2"/>
  </r>
  <r>
    <x v="986"/>
    <x v="0"/>
    <x v="32"/>
    <x v="3"/>
    <x v="325"/>
    <n v="46"/>
    <n v="4.5999999999999996"/>
    <x v="0"/>
    <x v="0"/>
    <x v="1"/>
    <x v="3"/>
  </r>
  <r>
    <x v="987"/>
    <x v="9"/>
    <x v="114"/>
    <x v="0"/>
    <x v="325"/>
    <n v="164"/>
    <n v="4.8"/>
    <x v="0"/>
    <x v="0"/>
    <x v="1"/>
    <x v="3"/>
  </r>
  <r>
    <x v="988"/>
    <x v="10"/>
    <x v="55"/>
    <x v="0"/>
    <x v="326"/>
    <n v="64"/>
    <n v="4.5"/>
    <x v="1"/>
    <x v="0"/>
    <x v="1"/>
    <x v="4"/>
  </r>
  <r>
    <x v="989"/>
    <x v="8"/>
    <x v="96"/>
    <x v="4"/>
    <x v="326"/>
    <n v="205"/>
    <n v="4.5"/>
    <x v="0"/>
    <x v="0"/>
    <x v="1"/>
    <x v="4"/>
  </r>
  <r>
    <x v="990"/>
    <x v="2"/>
    <x v="156"/>
    <x v="4"/>
    <x v="327"/>
    <n v="100"/>
    <n v="4.5999999999999996"/>
    <x v="1"/>
    <x v="0"/>
    <x v="1"/>
    <x v="5"/>
  </r>
  <r>
    <x v="991"/>
    <x v="4"/>
    <x v="101"/>
    <x v="1"/>
    <x v="327"/>
    <n v="111"/>
    <n v="4.5999999999999996"/>
    <x v="2"/>
    <x v="0"/>
    <x v="1"/>
    <x v="5"/>
  </r>
  <r>
    <x v="992"/>
    <x v="3"/>
    <x v="77"/>
    <x v="2"/>
    <x v="327"/>
    <n v="80"/>
    <n v="3.5"/>
    <x v="0"/>
    <x v="2"/>
    <x v="1"/>
    <x v="5"/>
  </r>
  <r>
    <x v="993"/>
    <x v="10"/>
    <x v="48"/>
    <x v="3"/>
    <x v="327"/>
    <n v="50"/>
    <n v="2.9"/>
    <x v="0"/>
    <x v="1"/>
    <x v="1"/>
    <x v="5"/>
  </r>
  <r>
    <x v="994"/>
    <x v="3"/>
    <x v="97"/>
    <x v="0"/>
    <x v="328"/>
    <n v="165"/>
    <n v="4.7"/>
    <x v="0"/>
    <x v="0"/>
    <x v="1"/>
    <x v="6"/>
  </r>
  <r>
    <x v="995"/>
    <x v="8"/>
    <x v="22"/>
    <x v="0"/>
    <x v="328"/>
    <n v="28"/>
    <n v="3.9"/>
    <x v="0"/>
    <x v="2"/>
    <x v="1"/>
    <x v="6"/>
  </r>
  <r>
    <x v="996"/>
    <x v="5"/>
    <x v="76"/>
    <x v="3"/>
    <x v="328"/>
    <n v="215"/>
    <n v="3.8"/>
    <x v="1"/>
    <x v="2"/>
    <x v="1"/>
    <x v="6"/>
  </r>
  <r>
    <x v="997"/>
    <x v="7"/>
    <x v="149"/>
    <x v="0"/>
    <x v="329"/>
    <n v="115"/>
    <n v="2.2999999999999998"/>
    <x v="1"/>
    <x v="3"/>
    <x v="1"/>
    <x v="0"/>
  </r>
  <r>
    <x v="998"/>
    <x v="6"/>
    <x v="115"/>
    <x v="0"/>
    <x v="329"/>
    <n v="64"/>
    <n v="3.7"/>
    <x v="1"/>
    <x v="2"/>
    <x v="1"/>
    <x v="0"/>
  </r>
  <r>
    <x v="999"/>
    <x v="9"/>
    <x v="59"/>
    <x v="2"/>
    <x v="329"/>
    <n v="40"/>
    <n v="3.9"/>
    <x v="0"/>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BF5339-4C34-4DC6-9C69-6A0A3F6015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4">
    <pivotField dataField="1" showAll="0"/>
    <pivotField showAll="0"/>
    <pivotField showAll="0">
      <items count="166">
        <item x="163"/>
        <item x="160"/>
        <item x="91"/>
        <item x="164"/>
        <item x="127"/>
        <item x="36"/>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6">
        <item x="0"/>
        <item x="1"/>
        <item x="2"/>
        <item x="3"/>
        <item x="4"/>
        <item x="5"/>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55381-0B32-4F75-A463-7BD98CF59D4D}" name="summary 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call centre.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704B5-C715-4554-91ED-CAE79F475D93}" name="selected rep "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8:A8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0">
      <pivotArea dataOnly="0" labelOnly="1" fieldPosition="0">
        <references count="1">
          <reference field="0" count="0"/>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15BAF-C8FB-448C-A6B0-A4426845F433}" name="rep pivo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4">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call centre.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AAF4CE-F6E9-4E4E-AD64-E725880E5414}"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33:G152" firstHeaderRow="1" firstDataRow="2" firstDataCol="1"/>
  <pivotFields count="4">
    <pivotField axis="axisRow" allDrilled="1" subtotalTop="0" showAll="0" dataSourceSort="1" defaultSubtotal="0" defaultAttributeDrillState="1">
      <items count="4">
        <item x="0"/>
        <item x="1"/>
        <item x="2"/>
        <item x="3" e="0"/>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x v="2"/>
    </i>
    <i r="1">
      <x v="9"/>
    </i>
    <i r="1">
      <x v="10"/>
    </i>
    <i r="1">
      <x v="11"/>
    </i>
    <i r="1">
      <x v="12"/>
    </i>
    <i r="1">
      <x v="13"/>
    </i>
    <i>
      <x v="3"/>
    </i>
  </rowItems>
  <colFields count="1">
    <field x="2"/>
  </colFields>
  <colItems count="6">
    <i>
      <x/>
    </i>
    <i>
      <x v="1"/>
    </i>
    <i>
      <x v="2"/>
    </i>
    <i>
      <x v="3"/>
    </i>
    <i>
      <x v="4"/>
    </i>
    <i t="grand">
      <x/>
    </i>
  </colItems>
  <dataFields count="1">
    <dataField fld="3"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EB7E65-6AFA-4E80-9FF2-802E19CF5C0B}"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nt2" fld="4" subtotal="count" baseField="0" baseItem="0">
      <extLst>
        <ext xmlns:x14="http://schemas.microsoft.com/office/spreadsheetml/2009/9/main" uri="{E15A36E0-9728-4e99-A89B-3F7291B0FE68}">
          <x14:dataField sourceField="3" uniqueName="[__Xl2].[Measures].[Call cnt]"/>
        </ext>
      </extLst>
    </dataField>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8"/>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call centre.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CFB692-A524-49B2-86F8-EE41420E9B80}"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98:D10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s="1" x="0"/>
        <item s="1" x="1"/>
        <item x="2"/>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8">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13" format="5" series="1">
      <pivotArea type="data" outline="0" fieldPosition="0">
        <references count="2">
          <reference field="4294967294" count="1" selected="0">
            <x v="0"/>
          </reference>
          <reference field="1" count="1" selected="0">
            <x v="0"/>
          </reference>
        </references>
      </pivotArea>
    </chartFormat>
    <chartFormat chart="13" format="6" series="1">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C8D5E1-EDCA-4EAE-8D9A-8CF7B82C1BE1}" name="rep satsification"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A111:B118" firstHeaderRow="1" firstDataRow="1" firstDataCol="1"/>
  <pivotFields count="4">
    <pivotField allDrilled="1" subtotalTop="0" showAll="0" dataSourceSort="1" defaultSubtotal="0" defaultAttributeDrillState="1">
      <items count="3">
        <item s="1" x="0"/>
        <item s="1" x="1"/>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fld="1" subtotal="count" baseField="0" baseItem="0"/>
  </dataFields>
  <chartFormats count="5">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E4109D-B28F-49EF-826B-6BE77C4D5BD7}" name="week tren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5:B5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 count="1" selected="0">
            <x v="4"/>
          </reference>
        </references>
      </pivotArea>
    </chartFormat>
    <chartFormat chart="21"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call centre.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6C22B4-82DC-441B-A694-4E74A6F29F40}" name="reps "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C63"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67F2A2-859A-4B5B-995D-2DD5B2D1FB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9"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6">
        <item x="163"/>
        <item x="160"/>
        <item x="91"/>
        <item x="164"/>
        <item x="127"/>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x="36"/>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Satisfaction Rating" fld="6" subtotal="average" baseField="0" baseItem="0" numFmtId="165"/>
    <dataField name="Count of Call number" fld="0"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07A446-882E-4667-BB95-4DFE6A60DE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6"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6">
        <item x="163"/>
        <item x="160"/>
        <item x="91"/>
        <item x="164"/>
        <item x="127"/>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x="36"/>
        <item t="default"/>
      </items>
    </pivotField>
    <pivotField showAll="0">
      <items count="6">
        <item h="1" x="2"/>
        <item h="1" x="1"/>
        <item h="1" x="4"/>
        <item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axis="axisRow" showAll="0">
      <items count="3">
        <item x="0"/>
        <item x="1"/>
        <item t="default"/>
      </items>
    </pivotField>
    <pivotField showAll="0"/>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9"/>
    <field x="1"/>
  </rowFields>
  <rowItems count="23">
    <i>
      <x/>
    </i>
    <i r="1">
      <x v="4"/>
    </i>
    <i r="1">
      <x v="12"/>
    </i>
    <i r="1">
      <x v="8"/>
    </i>
    <i r="1">
      <x v="9"/>
    </i>
    <i r="1">
      <x v="7"/>
    </i>
    <i r="1">
      <x v="6"/>
    </i>
    <i r="1">
      <x v="3"/>
    </i>
    <i r="1">
      <x v="2"/>
    </i>
    <i r="1">
      <x v="1"/>
    </i>
    <i r="1">
      <x/>
    </i>
    <i>
      <x v="1"/>
    </i>
    <i r="1">
      <x v="12"/>
    </i>
    <i r="1">
      <x v="6"/>
    </i>
    <i r="1">
      <x v="10"/>
    </i>
    <i r="1">
      <x v="5"/>
    </i>
    <i r="1">
      <x v="13"/>
    </i>
    <i r="1">
      <x v="9"/>
    </i>
    <i r="1">
      <x v="11"/>
    </i>
    <i r="1">
      <x v="4"/>
    </i>
    <i r="1">
      <x v="14"/>
    </i>
    <i r="1">
      <x/>
    </i>
    <i t="grand">
      <x/>
    </i>
  </rowItems>
  <colItems count="1">
    <i/>
  </colItems>
  <dataFields count="1">
    <dataField name="Sum of Purchase Amount" fld="5" baseField="0" baseItem="0" numFmtId="166"/>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3F6CF9-E8A0-499B-8BDE-D80A1833C2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65" firstHeaderRow="1" firstDataRow="1" firstDataCol="1"/>
  <pivotFields count="14">
    <pivotField dataField="1" showAll="0"/>
    <pivotField showAll="0"/>
    <pivotField axis="axisRow" showAll="0">
      <items count="166">
        <item x="163"/>
        <item x="160"/>
        <item x="91"/>
        <item x="164"/>
        <item x="127"/>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x="36"/>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7">
        <item x="0"/>
        <item sd="0"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1"/>
    <field x="2"/>
  </rowFields>
  <rowItems count="163">
    <i>
      <x/>
    </i>
    <i r="1">
      <x/>
    </i>
    <i r="1">
      <x v="1"/>
    </i>
    <i r="1">
      <x v="2"/>
    </i>
    <i r="1">
      <x v="3"/>
    </i>
    <i r="1">
      <x v="4"/>
    </i>
    <i r="1">
      <x v="5"/>
    </i>
    <i>
      <x v="1"/>
    </i>
    <i>
      <x v="2"/>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x v="5"/>
    </i>
    <i r="1">
      <x v="16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F6241A-3CCD-4334-B5CC-2626974B4F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4">
    <pivotField axis="axisRow"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6">
        <item x="163"/>
        <item x="160"/>
        <item x="91"/>
        <item x="164"/>
        <item x="127"/>
        <item x="36"/>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6">
        <item x="0"/>
        <item x="1"/>
        <item x="2"/>
        <item x="3"/>
        <item x="4"/>
        <item x="5"/>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3"/>
    <field x="12"/>
    <field x="4"/>
    <field x="0"/>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F21C1D5-04B8-4360-9086-E7F38138FC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8" firstHeaderRow="1" firstDataRow="1" firstDataCol="1"/>
  <pivotFields count="14">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6">
        <item x="163"/>
        <item x="160"/>
        <item x="91"/>
        <item x="164"/>
        <item x="127"/>
        <item x="36"/>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6">
        <item x="0"/>
        <item x="1"/>
        <item x="2"/>
        <item x="3"/>
        <item x="4"/>
        <item x="5"/>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3"/>
    <field x="12"/>
    <field x="4"/>
    <field x="0"/>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639CA98-2055-437E-81DE-27B5FE5A41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6">
        <item x="163"/>
        <item x="160"/>
        <item x="91"/>
        <item x="164"/>
        <item x="127"/>
        <item x="36"/>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Col" showAll="0">
      <items count="8">
        <item x="0"/>
        <item x="1"/>
        <item x="2"/>
        <item x="3"/>
        <item x="4"/>
        <item x="5"/>
        <item x="6"/>
        <item t="default"/>
      </items>
    </pivotField>
    <pivotField showAll="0" defaultSubtotal="0">
      <items count="6">
        <item x="0"/>
        <item x="1"/>
        <item x="2"/>
        <item x="3"/>
        <item x="4"/>
        <item x="5"/>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0"/>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5F4CDE-E469-4077-A3FF-57F7952442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H10" firstHeaderRow="1" firstDataRow="2" firstDataCol="1"/>
  <pivotFields count="14">
    <pivotField dataField="1" showAll="0"/>
    <pivotField showAll="0"/>
    <pivotField showAll="0">
      <items count="166">
        <item x="163"/>
        <item x="160"/>
        <item x="91"/>
        <item x="164"/>
        <item x="127"/>
        <item x="36"/>
        <item x="155"/>
        <item x="100"/>
        <item x="159"/>
        <item x="112"/>
        <item x="141"/>
        <item x="139"/>
        <item x="133"/>
        <item x="158"/>
        <item x="79"/>
        <item x="105"/>
        <item x="98"/>
        <item x="124"/>
        <item x="136"/>
        <item x="129"/>
        <item x="138"/>
        <item x="80"/>
        <item x="16"/>
        <item x="26"/>
        <item x="78"/>
        <item x="7"/>
        <item x="81"/>
        <item x="148"/>
        <item x="145"/>
        <item x="143"/>
        <item x="126"/>
        <item x="39"/>
        <item x="18"/>
        <item x="122"/>
        <item x="101"/>
        <item x="103"/>
        <item x="60"/>
        <item x="62"/>
        <item x="8"/>
        <item x="64"/>
        <item x="109"/>
        <item x="68"/>
        <item x="13"/>
        <item x="4"/>
        <item x="54"/>
        <item x="146"/>
        <item x="144"/>
        <item x="93"/>
        <item x="17"/>
        <item x="71"/>
        <item x="108"/>
        <item x="82"/>
        <item x="20"/>
        <item x="44"/>
        <item x="73"/>
        <item x="84"/>
        <item x="63"/>
        <item x="47"/>
        <item x="90"/>
        <item x="83"/>
        <item x="132"/>
        <item x="19"/>
        <item x="2"/>
        <item x="53"/>
        <item x="95"/>
        <item x="51"/>
        <item x="114"/>
        <item x="21"/>
        <item x="33"/>
        <item x="29"/>
        <item x="77"/>
        <item x="121"/>
        <item x="67"/>
        <item x="42"/>
        <item x="24"/>
        <item x="22"/>
        <item x="25"/>
        <item x="45"/>
        <item x="5"/>
        <item x="106"/>
        <item x="96"/>
        <item x="69"/>
        <item x="118"/>
        <item x="34"/>
        <item x="31"/>
        <item x="130"/>
        <item x="102"/>
        <item x="107"/>
        <item x="30"/>
        <item x="48"/>
        <item x="74"/>
        <item x="157"/>
        <item x="11"/>
        <item x="15"/>
        <item x="41"/>
        <item x="58"/>
        <item x="9"/>
        <item x="6"/>
        <item x="38"/>
        <item x="28"/>
        <item x="32"/>
        <item x="99"/>
        <item x="131"/>
        <item x="66"/>
        <item x="50"/>
        <item x="75"/>
        <item x="142"/>
        <item x="97"/>
        <item x="59"/>
        <item x="86"/>
        <item x="0"/>
        <item x="147"/>
        <item x="46"/>
        <item x="1"/>
        <item x="135"/>
        <item x="110"/>
        <item x="151"/>
        <item x="115"/>
        <item x="55"/>
        <item x="119"/>
        <item x="117"/>
        <item x="76"/>
        <item x="3"/>
        <item x="92"/>
        <item x="49"/>
        <item x="37"/>
        <item x="35"/>
        <item x="123"/>
        <item x="104"/>
        <item x="10"/>
        <item x="152"/>
        <item x="65"/>
        <item x="87"/>
        <item x="12"/>
        <item x="116"/>
        <item x="56"/>
        <item x="113"/>
        <item x="70"/>
        <item x="111"/>
        <item x="61"/>
        <item x="149"/>
        <item x="52"/>
        <item x="150"/>
        <item x="40"/>
        <item x="125"/>
        <item x="89"/>
        <item x="72"/>
        <item x="88"/>
        <item x="85"/>
        <item x="23"/>
        <item x="140"/>
        <item x="43"/>
        <item x="120"/>
        <item x="128"/>
        <item x="27"/>
        <item x="154"/>
        <item x="137"/>
        <item x="156"/>
        <item x="134"/>
        <item x="94"/>
        <item x="57"/>
        <item x="162"/>
        <item x="153"/>
        <item x="161"/>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pivotField showAll="0"/>
    <pivotField showAll="0" defaultSubtotal="0">
      <items count="6">
        <item x="0"/>
        <item x="1"/>
        <item x="2"/>
        <item x="3"/>
        <item x="4"/>
        <item x="5"/>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Fields count="1">
    <field x="8"/>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7" count="0" selected="0"/>
            <reference field="8" count="0" selected="0"/>
          </references>
        </pivotArea>
      </pivotAreas>
    </conditionalFormat>
  </conditionalFormats>
  <chartFormats count="6">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8" count="1" selected="0">
            <x v="2"/>
          </reference>
        </references>
      </pivotArea>
    </chartFormat>
    <chartFormat chart="6" format="3" series="1">
      <pivotArea type="data" outline="0" fieldPosition="0">
        <references count="2">
          <reference field="4294967294" count="1" selected="0">
            <x v="0"/>
          </reference>
          <reference field="8" count="1" selected="0">
            <x v="3"/>
          </reference>
        </references>
      </pivotArea>
    </chartFormat>
    <chartFormat chart="6" format="4" series="1">
      <pivotArea type="data" outline="0" fieldPosition="0">
        <references count="2">
          <reference field="4294967294" count="1" selected="0">
            <x v="0"/>
          </reference>
          <reference field="8" count="1" selected="0">
            <x v="4"/>
          </reference>
        </references>
      </pivotArea>
    </chartFormat>
    <chartFormat chart="6"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4CC62C-990A-410D-9EDD-8B50258A809E}" autoFormatId="16" applyNumberFormats="0" applyBorderFormats="0" applyFontFormats="0" applyPatternFormats="0" applyAlignmentFormats="0" applyWidthHeightFormats="0">
  <queryTableRefresh nextId="21">
    <queryTableFields count="20">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avg satisfication]" tableColumnId="7"/>
      <queryTableField id="8" name="calls[flag reps]" tableColumnId="8"/>
      <queryTableField id="9" name="calls[Satisfaction Rating]" tableColumnId="9"/>
      <queryTableField id="10" name="calls[FY]" tableColumnId="10"/>
      <queryTableField id="11" name="calls[Day of week]" tableColumnId="11"/>
      <queryTableField id="12" name="calls[Duration Bucket]" tableColumnId="12"/>
      <queryTableField id="13" name="calls[Rating rounded]" tableColumnId="13"/>
      <queryTableField id="14" name="calls[count no. of class per person]" tableColumnId="14"/>
      <queryTableField id="15" name="calls[Average purchase per call]" tableColumnId="15"/>
      <queryTableField id="16" name="calls[&quot;time wasters&quot;column ratio]" tableColumnId="16"/>
      <queryTableField id="17" name="calls[call count]" tableColumnId="17"/>
      <queryTableField id="18" name="calls[call to purchase ratio]" tableColumnId="18"/>
      <queryTableField id="19" name="calls[Date of Call (Month)]" tableColumnId="19"/>
      <queryTableField id="20" name="calls[Date of Call (Month Index)]" tableColumnId="2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3726147-AB3E-4201-8E22-6E2213C90B8F}" autoFormatId="16" applyNumberFormats="0" applyBorderFormats="0" applyFontFormats="0" applyPatternFormats="0" applyAlignmentFormats="0" applyWidthHeightFormats="0">
  <queryTableRefresh nextId="21">
    <queryTableFields count="20">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avg satisfication]" tableColumnId="7"/>
      <queryTableField id="8" name="calls[flag reps]" tableColumnId="8"/>
      <queryTableField id="9" name="calls[Satisfaction Rating]" tableColumnId="9"/>
      <queryTableField id="10" name="calls[FY]" tableColumnId="10"/>
      <queryTableField id="11" name="calls[Day of week]" tableColumnId="11"/>
      <queryTableField id="12" name="calls[Duration Bucket]" tableColumnId="12"/>
      <queryTableField id="13" name="calls[Rating rounded]" tableColumnId="13"/>
      <queryTableField id="14" name="calls[count no. of class per person]" tableColumnId="14"/>
      <queryTableField id="15" name="calls[Average purchase per call]" tableColumnId="15"/>
      <queryTableField id="16" name="calls[&quot;time wasters&quot;column ratio]" tableColumnId="16"/>
      <queryTableField id="17" name="calls[call count]" tableColumnId="17"/>
      <queryTableField id="18" name="calls[call to purchase ratio]" tableColumnId="18"/>
      <queryTableField id="19" name="calls[Date of Call (Month)]" tableColumnId="19"/>
      <queryTableField id="20" name="calls[Date of Call (Month Index)]" tableColumnId="20"/>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4197600-3B97-433E-9126-95AFEBBA3179}" autoFormatId="16" applyNumberFormats="0" applyBorderFormats="0" applyFontFormats="0" applyPatternFormats="0" applyAlignmentFormats="0" applyWidthHeightFormats="0">
  <queryTableRefresh nextId="21">
    <queryTableFields count="20">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avg satisfication]" tableColumnId="7"/>
      <queryTableField id="8" name="calls[flag reps]" tableColumnId="8"/>
      <queryTableField id="9" name="calls[Satisfaction Rating]" tableColumnId="9"/>
      <queryTableField id="10" name="calls[FY]" tableColumnId="10"/>
      <queryTableField id="11" name="calls[Day of week]" tableColumnId="11"/>
      <queryTableField id="12" name="calls[Duration Bucket]" tableColumnId="12"/>
      <queryTableField id="13" name="calls[Rating rounded]" tableColumnId="13"/>
      <queryTableField id="14" name="calls[count no. of class per person]" tableColumnId="14"/>
      <queryTableField id="15" name="calls[Average purchase per call]" tableColumnId="15"/>
      <queryTableField id="16" name="calls[&quot;time wasters&quot;column ratio]" tableColumnId="16"/>
      <queryTableField id="17" name="calls[call count]" tableColumnId="17"/>
      <queryTableField id="18" name="calls[call to purchase ratio]" tableColumnId="18"/>
      <queryTableField id="19" name="calls[Date of Call (Month)]" tableColumnId="19"/>
      <queryTableField id="20" name="calls[Date of Call (Month Index)]" tableColumnId="20"/>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563EDD6-9648-4D00-8BD3-30BDFA75509E}" autoFormatId="16" applyNumberFormats="0" applyBorderFormats="0" applyFontFormats="0" applyPatternFormats="0" applyAlignmentFormats="0" applyWidthHeightFormats="0">
  <queryTableRefresh nextId="21">
    <queryTableFields count="20">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avg satisfication]" tableColumnId="7"/>
      <queryTableField id="8" name="calls[flag reps]" tableColumnId="8"/>
      <queryTableField id="9" name="calls[Satisfaction Rating]" tableColumnId="9"/>
      <queryTableField id="10" name="calls[FY]" tableColumnId="10"/>
      <queryTableField id="11" name="calls[Day of week]" tableColumnId="11"/>
      <queryTableField id="12" name="calls[Duration Bucket]" tableColumnId="12"/>
      <queryTableField id="13" name="calls[Rating rounded]" tableColumnId="13"/>
      <queryTableField id="14" name="calls[count no. of class per person]" tableColumnId="14"/>
      <queryTableField id="15" name="calls[Average purchase per call]" tableColumnId="15"/>
      <queryTableField id="16" name="calls[&quot;time wasters&quot;column ratio]" tableColumnId="16"/>
      <queryTableField id="17" name="calls[call count]" tableColumnId="17"/>
      <queryTableField id="18" name="calls[call to purchase ratio]" tableColumnId="18"/>
      <queryTableField id="19" name="calls[Date of Call (Month)]" tableColumnId="19"/>
      <queryTableField id="20" name="calls[Date of Call (Month Index)]"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ABCBC18-131E-409F-B15C-DA9888347E5B}" sourceName="Representative">
  <pivotTables>
    <pivotTable tabId="4" name="PivotTable3"/>
  </pivotTables>
  <data>
    <tabular pivotCacheId="872782020">
      <items count="5">
        <i x="2"/>
        <i x="1"/>
        <i x="4"/>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F621200D-9300-4274-BEE3-568C6082CE65}" sourceName="Representative">
  <pivotTables>
    <pivotTable tabId="7" name="PivotTable5"/>
    <pivotTable tabId="7" name="PivotTable6"/>
  </pivotTables>
  <data>
    <tabular pivotCacheId="872782020">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62099B59-EFC1-4E31-AB73-F0D054FB89C6}" sourceName="[calls].[Representative]">
  <pivotTables>
    <pivotTable tabId="13" name="rep pivot"/>
    <pivotTable tabId="13" name="PivotTable7"/>
    <pivotTable tabId="13" name="week trend"/>
    <pivotTable tabId="13" name="selected rep "/>
    <pivotTable tabId="13" name="rep satsification"/>
  </pivotTables>
  <data>
    <olap pivotCacheId="178176747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DA1D3D27-8109-4A6A-892B-F52B0F9DB82C}" cache="Slicer_Representative2" caption="Representativ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F99A61DE-DAFF-4411-BCA1-5EE69126CBCE}" cache="Slicer_Representative2" caption="Representative" level="1" style="SlicerStyleDark5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D6C6EC0-2FD3-49E3-BF87-1D3D30E80832}" cache="Slicer_Representative" caption="Representativ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9599060-EE7A-4E9F-92B2-AE09EAEB5A21}" cache="Slicer_Representative1" caption="Representativ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FCA7A8-D80A-4E91-BC70-C0B8068A1EE7}" name="Table_ExternalData_1" displayName="Table_ExternalData_1" ref="A3:T210" tableType="queryTable" totalsRowShown="0">
  <autoFilter ref="A3:T210" xr:uid="{43FCA7A8-D80A-4E91-BC70-C0B8068A1EE7}"/>
  <tableColumns count="20">
    <tableColumn id="1" xr3:uid="{98CBBA13-3E94-43AF-BFE0-2069C4F30729}" uniqueName="1" name="calls[Call number]" queryTableFieldId="1"/>
    <tableColumn id="2" xr3:uid="{98DE6BA0-CA53-4E5D-8912-8958D099D4A9}" uniqueName="2" name="calls[Customer ID]" queryTableFieldId="2"/>
    <tableColumn id="3" xr3:uid="{B0400820-97D7-41E4-A73D-56475252A2EC}" uniqueName="3" name="calls[Duration]" queryTableFieldId="3"/>
    <tableColumn id="4" xr3:uid="{830D85E1-63D6-40F3-931A-DE360D672C9A}" uniqueName="4" name="calls[Representative]" queryTableFieldId="4"/>
    <tableColumn id="5" xr3:uid="{8616B809-D851-418D-9B73-5D9E28F72844}" uniqueName="5" name="calls[Date of Call]" queryTableFieldId="5" dataDxfId="24"/>
    <tableColumn id="6" xr3:uid="{7360F62B-0596-490F-ABC1-F560031C1601}" uniqueName="6" name="calls[Purchase Amount]" queryTableFieldId="6"/>
    <tableColumn id="7" xr3:uid="{337B241F-8281-491E-BF6E-C6748B0838AF}" uniqueName="7" name="calls[avg satisfication]" queryTableFieldId="7"/>
    <tableColumn id="8" xr3:uid="{A2F4742A-896A-4411-9CB7-0C8CEC6D8329}" uniqueName="8" name="calls[flag reps]" queryTableFieldId="8"/>
    <tableColumn id="9" xr3:uid="{644E783C-4E7F-4469-82C3-D6E176B24853}" uniqueName="9" name="calls[Satisfaction Rating]" queryTableFieldId="9"/>
    <tableColumn id="10" xr3:uid="{9D00EF90-4E7A-4A34-804D-8EE57548E7A9}" uniqueName="10" name="calls[FY]" queryTableFieldId="10"/>
    <tableColumn id="11" xr3:uid="{4BAA8567-BB28-4D1C-93E6-CB61EC053B37}" uniqueName="11" name="calls[Day of week]" queryTableFieldId="11"/>
    <tableColumn id="12" xr3:uid="{DBC24EEB-A35A-4A2A-AE81-C774B337664E}" uniqueName="12" name="calls[Duration Bucket]" queryTableFieldId="12"/>
    <tableColumn id="13" xr3:uid="{9503090E-D2FD-4BCE-BAA2-B47E9DB283A3}" uniqueName="13" name="calls[Rating rounded]" queryTableFieldId="13"/>
    <tableColumn id="14" xr3:uid="{CCF241D7-391A-4113-9289-8E13763BA7C2}" uniqueName="14" name="calls[count no. of class per person]" queryTableFieldId="14"/>
    <tableColumn id="15" xr3:uid="{AB741BBE-F7F1-475D-8A00-278327FC7557}" uniqueName="15" name="calls[Average purchase per call]" queryTableFieldId="15"/>
    <tableColumn id="16" xr3:uid="{BBC3CA16-E275-49C1-8CC0-6E93AE225084}" uniqueName="16" name="calls[&quot;time wasters&quot;column ratio]" queryTableFieldId="16"/>
    <tableColumn id="17" xr3:uid="{4C761D14-CE7E-4DAF-BEBD-237C5897ADFF}" uniqueName="17" name="calls[call count]" queryTableFieldId="17"/>
    <tableColumn id="18" xr3:uid="{7A043F59-E2AA-4301-A56F-F4A7BDF37066}" uniqueName="18" name="calls[call to purchase ratio]" queryTableFieldId="18"/>
    <tableColumn id="19" xr3:uid="{06A2F708-A8DC-47FB-8C0D-3E262F931777}" uniqueName="19" name="calls[Date of Call (Month)]" queryTableFieldId="19"/>
    <tableColumn id="20" xr3:uid="{8634AA17-F16A-4B4F-A91A-5B163AD7F0DC}" uniqueName="20" name="calls[Date of Call (Month Index)]" queryTableField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720D0E-7EA2-480C-8CA4-6D5649CF155D}" name="Table_ExternalData_15" displayName="Table_ExternalData_15" ref="A3:T189" tableType="queryTable" totalsRowShown="0">
  <autoFilter ref="A3:T189" xr:uid="{E9720D0E-7EA2-480C-8CA4-6D5649CF155D}"/>
  <tableColumns count="20">
    <tableColumn id="1" xr3:uid="{47D10B35-6961-4FB8-8749-730D3A6FFFE3}" uniqueName="1" name="calls[Call number]" queryTableFieldId="1"/>
    <tableColumn id="2" xr3:uid="{3DB3457E-4F5E-4192-AD15-3DFA7B0FEE5C}" uniqueName="2" name="calls[Customer ID]" queryTableFieldId="2"/>
    <tableColumn id="3" xr3:uid="{43534691-AB59-4EF0-A437-4D2316B1A541}" uniqueName="3" name="calls[Duration]" queryTableFieldId="3"/>
    <tableColumn id="4" xr3:uid="{F6A62811-C000-4E50-AD28-A5E563C7755D}" uniqueName="4" name="calls[Representative]" queryTableFieldId="4"/>
    <tableColumn id="5" xr3:uid="{0DA39BC8-AF61-4509-8811-D2233A77B5A8}" uniqueName="5" name="calls[Date of Call]" queryTableFieldId="5" dataDxfId="23"/>
    <tableColumn id="6" xr3:uid="{0B23E3CC-EBAB-43B8-9F4C-A20C5B031837}" uniqueName="6" name="calls[Purchase Amount]" queryTableFieldId="6"/>
    <tableColumn id="7" xr3:uid="{6268BDEF-4D4A-4F16-8672-5FDA595B7D28}" uniqueName="7" name="calls[avg satisfication]" queryTableFieldId="7"/>
    <tableColumn id="8" xr3:uid="{E6CD3DDE-AF88-43F1-9CD1-3FAB61258E46}" uniqueName="8" name="calls[flag reps]" queryTableFieldId="8"/>
    <tableColumn id="9" xr3:uid="{2DD69C01-D7D7-42E9-8168-889CB140838E}" uniqueName="9" name="calls[Satisfaction Rating]" queryTableFieldId="9"/>
    <tableColumn id="10" xr3:uid="{5867FCFA-14B1-4C75-B73C-E491E6BDB220}" uniqueName="10" name="calls[FY]" queryTableFieldId="10"/>
    <tableColumn id="11" xr3:uid="{4BC12F2B-1CBE-4FED-9C0D-2DDFA18D900D}" uniqueName="11" name="calls[Day of week]" queryTableFieldId="11"/>
    <tableColumn id="12" xr3:uid="{44229110-248F-43DD-96A4-4850F17987EE}" uniqueName="12" name="calls[Duration Bucket]" queryTableFieldId="12"/>
    <tableColumn id="13" xr3:uid="{E4FC656D-6F0D-442C-9D96-EEEBC12568FA}" uniqueName="13" name="calls[Rating rounded]" queryTableFieldId="13"/>
    <tableColumn id="14" xr3:uid="{5359538C-7DF9-43D3-95B4-EE8DF7B6659F}" uniqueName="14" name="calls[count no. of class per person]" queryTableFieldId="14"/>
    <tableColumn id="15" xr3:uid="{4B3E481C-38CF-4FA5-A1AD-DC383A7E36EF}" uniqueName="15" name="calls[Average purchase per call]" queryTableFieldId="15"/>
    <tableColumn id="16" xr3:uid="{94E41E57-C540-48D1-82F9-CDD14960247C}" uniqueName="16" name="calls[&quot;time wasters&quot;column ratio]" queryTableFieldId="16"/>
    <tableColumn id="17" xr3:uid="{6B213E31-B3F9-4F72-B364-FAB225B158DD}" uniqueName="17" name="calls[call count]" queryTableFieldId="17"/>
    <tableColumn id="18" xr3:uid="{E179B1AC-A48F-47BE-9D35-E6FF7A3D5EBC}" uniqueName="18" name="calls[call to purchase ratio]" queryTableFieldId="18"/>
    <tableColumn id="19" xr3:uid="{8C193AAD-FAE8-4665-84CE-FAB098F0B8A1}" uniqueName="19" name="calls[Date of Call (Month)]" queryTableFieldId="19"/>
    <tableColumn id="20" xr3:uid="{DDD17F75-A3DA-4B93-9B3B-691F1B40A934}" uniqueName="20" name="calls[Date of Call (Month Index)]"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33397F-279A-4ACC-A2D0-DE1C25A18C8D}" name="Table_ExternalData_16" displayName="Table_ExternalData_16" ref="A3:T203" tableType="queryTable" totalsRowShown="0">
  <autoFilter ref="A3:T203" xr:uid="{6933397F-279A-4ACC-A2D0-DE1C25A18C8D}"/>
  <tableColumns count="20">
    <tableColumn id="1" xr3:uid="{67E7E77D-4AAA-4166-938E-E02895982728}" uniqueName="1" name="calls[Call number]" queryTableFieldId="1"/>
    <tableColumn id="2" xr3:uid="{B9D4A0F0-95F6-44F3-91A1-6B295117DB74}" uniqueName="2" name="calls[Customer ID]" queryTableFieldId="2"/>
    <tableColumn id="3" xr3:uid="{849CD521-98CA-4FB0-A7E1-B6115BE6F669}" uniqueName="3" name="calls[Duration]" queryTableFieldId="3"/>
    <tableColumn id="4" xr3:uid="{53DFD89F-2EE1-4EFF-90E7-FF7A926A5617}" uniqueName="4" name="calls[Representative]" queryTableFieldId="4"/>
    <tableColumn id="5" xr3:uid="{AE087383-554A-4A80-8199-A040B9693F44}" uniqueName="5" name="calls[Date of Call]" queryTableFieldId="5" dataDxfId="22"/>
    <tableColumn id="6" xr3:uid="{5DA8CC6F-24AB-488B-9842-30381D7D658C}" uniqueName="6" name="calls[Purchase Amount]" queryTableFieldId="6"/>
    <tableColumn id="7" xr3:uid="{EE4A12E2-DAC2-493E-9A09-1121133CB596}" uniqueName="7" name="calls[avg satisfication]" queryTableFieldId="7"/>
    <tableColumn id="8" xr3:uid="{22F18870-4EC7-4989-A84E-E8BDBF897DC9}" uniqueName="8" name="calls[flag reps]" queryTableFieldId="8"/>
    <tableColumn id="9" xr3:uid="{94EC67FA-6474-4352-B13F-A43DBD257F2D}" uniqueName="9" name="calls[Satisfaction Rating]" queryTableFieldId="9"/>
    <tableColumn id="10" xr3:uid="{2174F8D7-2A26-422B-BC5D-FCD98F39D252}" uniqueName="10" name="calls[FY]" queryTableFieldId="10"/>
    <tableColumn id="11" xr3:uid="{23447AE6-ACD0-439D-A0DD-8237106C6487}" uniqueName="11" name="calls[Day of week]" queryTableFieldId="11"/>
    <tableColumn id="12" xr3:uid="{C9088CAE-B56B-459B-9A9E-D16C946B23B1}" uniqueName="12" name="calls[Duration Bucket]" queryTableFieldId="12"/>
    <tableColumn id="13" xr3:uid="{4E22CDEC-FC62-4361-B94C-55C92C6AB3B9}" uniqueName="13" name="calls[Rating rounded]" queryTableFieldId="13"/>
    <tableColumn id="14" xr3:uid="{FB0944AD-5EFA-49E4-AB49-743C001755CF}" uniqueName="14" name="calls[count no. of class per person]" queryTableFieldId="14"/>
    <tableColumn id="15" xr3:uid="{E8304123-A97E-4134-A3F1-F1E26C7AA1BE}" uniqueName="15" name="calls[Average purchase per call]" queryTableFieldId="15"/>
    <tableColumn id="16" xr3:uid="{B3548F62-6AE1-4AD8-8ABE-0CE8249C9E21}" uniqueName="16" name="calls[&quot;time wasters&quot;column ratio]" queryTableFieldId="16"/>
    <tableColumn id="17" xr3:uid="{B3E28C24-A591-4B40-8896-5BEB5909183A}" uniqueName="17" name="calls[call count]" queryTableFieldId="17"/>
    <tableColumn id="18" xr3:uid="{6F59114B-2A15-4F82-970E-FFB0EF433E99}" uniqueName="18" name="calls[call to purchase ratio]" queryTableFieldId="18"/>
    <tableColumn id="19" xr3:uid="{0D48E1F2-6E6A-4F27-A5E0-C7AD76D3B14F}" uniqueName="19" name="calls[Date of Call (Month)]" queryTableFieldId="19"/>
    <tableColumn id="20" xr3:uid="{8B0A1841-B01A-4BEC-A7AF-0F1C510835B6}" uniqueName="20" name="calls[Date of Call (Month Index)]"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44CF85-EC9E-458A-AD56-19F181E8501F}" name="Table_ExternalData_17" displayName="Table_ExternalData_17" ref="A3:T12" tableType="queryTable" totalsRowShown="0">
  <autoFilter ref="A3:T12" xr:uid="{5844CF85-EC9E-458A-AD56-19F181E8501F}"/>
  <tableColumns count="20">
    <tableColumn id="1" xr3:uid="{C660318D-C95B-4EFD-97FB-E95791D2628B}" uniqueName="1" name="calls[Call number]" queryTableFieldId="1"/>
    <tableColumn id="2" xr3:uid="{49E71149-8CB0-4537-A104-992D2B3BEA40}" uniqueName="2" name="calls[Customer ID]" queryTableFieldId="2"/>
    <tableColumn id="3" xr3:uid="{1785C1C1-F6D5-4102-81C3-4E11E7CF9496}" uniqueName="3" name="calls[Duration]" queryTableFieldId="3"/>
    <tableColumn id="4" xr3:uid="{A495040A-3F8A-45CD-8CAC-2D0C59D1ECB1}" uniqueName="4" name="calls[Representative]" queryTableFieldId="4"/>
    <tableColumn id="5" xr3:uid="{6397D0EA-7458-41E5-AF09-3163BD2E9DEF}" uniqueName="5" name="calls[Date of Call]" queryTableFieldId="5" dataDxfId="21"/>
    <tableColumn id="6" xr3:uid="{9C886424-4EF5-4E56-A992-B7F457B8ED89}" uniqueName="6" name="calls[Purchase Amount]" queryTableFieldId="6"/>
    <tableColumn id="7" xr3:uid="{651619DC-E562-43E8-90A2-89F9135E844E}" uniqueName="7" name="calls[avg satisfication]" queryTableFieldId="7"/>
    <tableColumn id="8" xr3:uid="{BF924713-A4C8-4CB7-82E5-36E9E7957C8D}" uniqueName="8" name="calls[flag reps]" queryTableFieldId="8"/>
    <tableColumn id="9" xr3:uid="{D5EC7C82-F31B-4829-9F9D-E9C2583849A2}" uniqueName="9" name="calls[Satisfaction Rating]" queryTableFieldId="9"/>
    <tableColumn id="10" xr3:uid="{8FE3EA35-046F-40C2-9636-FBB705E22157}" uniqueName="10" name="calls[FY]" queryTableFieldId="10"/>
    <tableColumn id="11" xr3:uid="{2137A12D-DFD9-4BA5-8982-67016DC12706}" uniqueName="11" name="calls[Day of week]" queryTableFieldId="11"/>
    <tableColumn id="12" xr3:uid="{55FF0C62-0085-4997-AD1F-6390FF07C89B}" uniqueName="12" name="calls[Duration Bucket]" queryTableFieldId="12"/>
    <tableColumn id="13" xr3:uid="{0394943B-59FC-4FD3-A33A-85BF8DF75818}" uniqueName="13" name="calls[Rating rounded]" queryTableFieldId="13"/>
    <tableColumn id="14" xr3:uid="{CBF0A072-4F98-49EA-8290-E954515F72FD}" uniqueName="14" name="calls[count no. of class per person]" queryTableFieldId="14"/>
    <tableColumn id="15" xr3:uid="{A3B20070-404B-491D-962F-E49B36BCF794}" uniqueName="15" name="calls[Average purchase per call]" queryTableFieldId="15"/>
    <tableColumn id="16" xr3:uid="{853701C9-A42D-404C-A62E-2E009A5C05DB}" uniqueName="16" name="calls[&quot;time wasters&quot;column ratio]" queryTableFieldId="16"/>
    <tableColumn id="17" xr3:uid="{59F11078-1E1E-4006-B3C9-2A7E330C0FA6}" uniqueName="17" name="calls[call count]" queryTableFieldId="17"/>
    <tableColumn id="18" xr3:uid="{FEFCC6DF-B99F-4F41-A664-1E55D6B9420B}" uniqueName="18" name="calls[call to purchase ratio]" queryTableFieldId="18"/>
    <tableColumn id="19" xr3:uid="{7550B65B-BAE6-4EAF-B8A0-2BA4216DF888}" uniqueName="19" name="calls[Date of Call (Month)]" queryTableFieldId="19"/>
    <tableColumn id="20" xr3:uid="{7408C0DA-F53C-48E7-A73B-CD44FCFEB5EC}" uniqueName="20" name="calls[Date of Call (Month Index)]" queryTableFieldId="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6C2607-661E-4B04-A026-63F480ED7358}" name="calls" displayName="calls" ref="A1:R1001" totalsRowShown="0">
  <autoFilter ref="A1:R1001" xr:uid="{9A6C2607-661E-4B04-A026-63F480ED7358}"/>
  <tableColumns count="18">
    <tableColumn id="1" xr3:uid="{66D8A93C-F594-4F45-A8F6-2A6D8671E8DC}" name="Call number"/>
    <tableColumn id="2" xr3:uid="{4A1788D2-A367-4DCA-83F9-B0D67D15FFFC}" name="Customer ID"/>
    <tableColumn id="3" xr3:uid="{4ACB36E4-56DB-43FA-AD0E-572D6D133F77}" name="Duration"/>
    <tableColumn id="4" xr3:uid="{2A97BB1C-2ED2-4FCD-8857-D0481ABF7B0F}" name="Representative" dataDxfId="19"/>
    <tableColumn id="5" xr3:uid="{31E28BE8-F216-4CED-9F3C-9F672A2B3BEC}" name="Date of Call" dataDxfId="18"/>
    <tableColumn id="6" xr3:uid="{28FD26E4-0080-49A5-9704-8A36869F8E8C}" name="Purchase Amount"/>
    <tableColumn id="21" xr3:uid="{6D19FAD0-5B08-4BA9-9C38-BCF443EE5A83}" name="avg satisfication" dataDxfId="17">
      <calculatedColumnFormula>AVERAGEIF(calls[Representative], calls[[#This Row],[Representative]], calls[Satisfaction Rating])</calculatedColumnFormula>
    </tableColumn>
    <tableColumn id="24" xr3:uid="{FAD8A66F-0A95-4E97-887D-621C3483E1DF}" name="flag reps" dataDxfId="16">
      <calculatedColumnFormula>IF(AVERAGEIF(calls[Representative],calls[[#This Row],[Representative]],calls[Satisfaction Rating])&lt;3.5,"Needs Training","OK")</calculatedColumnFormula>
    </tableColumn>
    <tableColumn id="7" xr3:uid="{E7D50ABB-0D4D-4C35-8515-B75B6367D949}" name="Satisfaction Rating"/>
    <tableColumn id="12" xr3:uid="{AD430C10-F788-4FF2-952F-59EE197564B8}" name="FY" dataDxfId="15">
      <calculatedColumnFormula>IF(MONTH(calls[[#This Row],[Date of Call]])&lt;=6, YEAR(calls[[#This Row],[Date of Call]]), YEAR(calls[[#This Row],[Date of Call]])+1)</calculatedColumnFormula>
    </tableColumn>
    <tableColumn id="13" xr3:uid="{34518C94-0A59-431C-9FA4-0253209B9DC3}" name="Day of week" dataDxfId="14">
      <calculatedColumnFormula>TEXT(calls[[#This Row],[Date of Call]],"DDDD")</calculatedColumnFormula>
    </tableColumn>
    <tableColumn id="14" xr3:uid="{1A92F187-4422-41B2-93BC-45986D19E14A}" name="Duration Bucket" dataDxfId="13">
      <calculatedColumnFormula array="1">_xlfn.IFS(calls[[#This Row],[Duration]]&lt;=10,"under 10 mins",calls[[#This Row],[Duration]]&lt;=30,"10 to 30mins",calls[[#This Row],[Duration]]&lt;=60,"60 to 30mins",calls[[#This Row],[Duration]]&lt;=120,"1 to 2hrs",TRUE,"More than 2 hrs")</calculatedColumnFormula>
    </tableColumn>
    <tableColumn id="15" xr3:uid="{B3EDE093-0427-482A-AF53-77948C16418D}" name="Rating rounded" dataDxfId="12">
      <calculatedColumnFormula>ROUND(calls[[#This Row],[Satisfaction Rating]],0)</calculatedColumnFormula>
    </tableColumn>
    <tableColumn id="16" xr3:uid="{92EDAFF6-3A8F-48C7-9FB1-12A7925A79A7}" name="count no. of class per person" dataDxfId="11">
      <calculatedColumnFormula>COUNTIF(calls[Customer ID], calls[[#This Row],[Customer ID]])</calculatedColumnFormula>
    </tableColumn>
    <tableColumn id="17" xr3:uid="{45C255AE-D6F0-4FC0-8C53-F05350381927}" name="Average purchase per call" dataDxfId="10">
      <calculatedColumnFormula>SUMIF(calls[Customer ID], calls[[#This Row],[Customer ID]], calls[Purchase Amount])</calculatedColumnFormula>
    </tableColumn>
    <tableColumn id="18" xr3:uid="{B9493E44-753E-4F28-9856-D1AC64562830}" name="&quot;time wasters&quot;column ratio" dataDxfId="9">
      <calculatedColumnFormula>calls[[#This Row],[call count]]/calls[[#This Row],[Purchase Amount]]</calculatedColumnFormula>
    </tableColumn>
    <tableColumn id="19" xr3:uid="{BFC08DA5-1F7E-4346-ABB6-4CF0F474ADA3}" name="call count" dataDxfId="8">
      <calculatedColumnFormula>COUNTIF(calls[Customer ID],calls[[#This Row],[Customer ID]])</calculatedColumnFormula>
    </tableColumn>
    <tableColumn id="20" xr3:uid="{017F97C6-931D-459C-9A06-5256C8A403EF}" name="call to purchase ratio" dataDxfId="7">
      <calculatedColumnFormula>calls[[#This Row],[call count]]/calls[[#This Row],[Purchase Amount]]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666427-0942-4EA1-9312-8A8F11282D22}" name="customer" displayName="customer" ref="W7:Z21" totalsRowShown="0" headerRowDxfId="6" headerRowBorderDxfId="5">
  <autoFilter ref="W7:Z21" xr:uid="{49666427-0942-4EA1-9312-8A8F11282D22}"/>
  <tableColumns count="4">
    <tableColumn id="1" xr3:uid="{9A6458A0-3D9D-411A-AB99-1EBBBE462F50}" name="Customer ID" dataDxfId="4"/>
    <tableColumn id="2" xr3:uid="{B223DD76-A39A-4D07-BF0F-BD6E5810EAE2}" name="Gedner" dataDxfId="3"/>
    <tableColumn id="3" xr3:uid="{56811FB0-CD4E-4924-987E-F5D3C94CF64A}" name="Age" dataDxfId="2"/>
    <tableColumn id="4" xr3:uid="{7439DB73-05BB-4E24-839E-F997F2BB870B}" name="C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Black"/>
        <a:ea typeface=""/>
        <a:cs typeface=""/>
      </a:majorFont>
      <a:minorFont>
        <a:latin typeface="Tempus Sans IT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B174-BDED-42C1-B5B2-C54604DFC1C7}">
  <dimension ref="A3:N10"/>
  <sheetViews>
    <sheetView tabSelected="1" zoomScale="92" workbookViewId="0">
      <selection activeCell="B19" sqref="B19"/>
    </sheetView>
  </sheetViews>
  <sheetFormatPr defaultRowHeight="15" x14ac:dyDescent="0.4"/>
  <cols>
    <col min="1" max="1" width="18.796875" customWidth="1"/>
    <col min="2" max="2" width="15.265625" customWidth="1"/>
    <col min="3" max="3" width="8.59765625" customWidth="1"/>
    <col min="4" max="4" width="8.33203125" customWidth="1"/>
    <col min="5" max="5" width="9.265625" customWidth="1"/>
    <col min="6" max="6" width="8.796875" customWidth="1"/>
    <col min="7" max="7" width="6.6640625" customWidth="1"/>
    <col min="8" max="8" width="6.59765625" customWidth="1"/>
    <col min="9" max="9" width="7.86328125" customWidth="1"/>
    <col min="10" max="10" width="8.86328125" customWidth="1"/>
    <col min="11" max="11" width="3.796875" customWidth="1"/>
    <col min="12" max="12" width="4.06640625" customWidth="1"/>
    <col min="13" max="13" width="3.86328125" customWidth="1"/>
    <col min="14" max="14" width="10.6640625" customWidth="1"/>
  </cols>
  <sheetData>
    <row r="3" spans="1:14" x14ac:dyDescent="0.4">
      <c r="A3" s="6" t="s">
        <v>1045</v>
      </c>
      <c r="B3" s="6" t="s">
        <v>1065</v>
      </c>
    </row>
    <row r="4" spans="1:14" x14ac:dyDescent="0.4">
      <c r="A4" s="6" t="s">
        <v>1043</v>
      </c>
      <c r="B4" t="s">
        <v>1053</v>
      </c>
      <c r="C4" t="s">
        <v>1054</v>
      </c>
      <c r="D4" t="s">
        <v>1055</v>
      </c>
      <c r="E4" t="s">
        <v>1056</v>
      </c>
      <c r="F4" t="s">
        <v>1057</v>
      </c>
      <c r="G4" t="s">
        <v>1058</v>
      </c>
      <c r="H4" t="s">
        <v>1059</v>
      </c>
      <c r="I4" t="s">
        <v>1060</v>
      </c>
      <c r="J4" t="s">
        <v>1061</v>
      </c>
      <c r="K4" t="s">
        <v>1062</v>
      </c>
      <c r="L4" t="s">
        <v>1063</v>
      </c>
      <c r="M4" t="s">
        <v>1064</v>
      </c>
      <c r="N4" t="s">
        <v>1044</v>
      </c>
    </row>
    <row r="5" spans="1:14" x14ac:dyDescent="0.4">
      <c r="A5" s="7" t="s">
        <v>14</v>
      </c>
      <c r="B5">
        <v>16</v>
      </c>
      <c r="C5">
        <v>14</v>
      </c>
      <c r="D5">
        <v>26</v>
      </c>
      <c r="E5">
        <v>29</v>
      </c>
      <c r="F5">
        <v>17</v>
      </c>
      <c r="G5">
        <v>15</v>
      </c>
      <c r="H5">
        <v>15</v>
      </c>
      <c r="I5">
        <v>7</v>
      </c>
      <c r="J5">
        <v>11</v>
      </c>
      <c r="K5">
        <v>24</v>
      </c>
      <c r="L5">
        <v>9</v>
      </c>
      <c r="M5">
        <v>6</v>
      </c>
      <c r="N5">
        <v>189</v>
      </c>
    </row>
    <row r="6" spans="1:14" x14ac:dyDescent="0.4">
      <c r="A6" s="7" t="s">
        <v>9</v>
      </c>
      <c r="B6">
        <v>19</v>
      </c>
      <c r="C6">
        <v>10</v>
      </c>
      <c r="D6">
        <v>40</v>
      </c>
      <c r="E6">
        <v>40</v>
      </c>
      <c r="F6">
        <v>13</v>
      </c>
      <c r="G6">
        <v>12</v>
      </c>
      <c r="H6">
        <v>9</v>
      </c>
      <c r="I6">
        <v>13</v>
      </c>
      <c r="J6">
        <v>18</v>
      </c>
      <c r="K6">
        <v>21</v>
      </c>
      <c r="L6">
        <v>14</v>
      </c>
      <c r="M6">
        <v>9</v>
      </c>
      <c r="N6">
        <v>218</v>
      </c>
    </row>
    <row r="7" spans="1:14" x14ac:dyDescent="0.4">
      <c r="A7" s="7" t="s">
        <v>27</v>
      </c>
      <c r="B7">
        <v>13</v>
      </c>
      <c r="C7">
        <v>13</v>
      </c>
      <c r="D7">
        <v>28</v>
      </c>
      <c r="E7">
        <v>24</v>
      </c>
      <c r="F7">
        <v>23</v>
      </c>
      <c r="G7">
        <v>17</v>
      </c>
      <c r="H7">
        <v>11</v>
      </c>
      <c r="I7">
        <v>11</v>
      </c>
      <c r="J7">
        <v>14</v>
      </c>
      <c r="K7">
        <v>30</v>
      </c>
      <c r="L7">
        <v>14</v>
      </c>
      <c r="M7">
        <v>9</v>
      </c>
      <c r="N7">
        <v>207</v>
      </c>
    </row>
    <row r="8" spans="1:14" x14ac:dyDescent="0.4">
      <c r="A8" s="7" t="s">
        <v>23</v>
      </c>
      <c r="B8">
        <v>10</v>
      </c>
      <c r="C8">
        <v>11</v>
      </c>
      <c r="D8">
        <v>30</v>
      </c>
      <c r="E8">
        <v>23</v>
      </c>
      <c r="F8">
        <v>22</v>
      </c>
      <c r="G8">
        <v>11</v>
      </c>
      <c r="H8">
        <v>17</v>
      </c>
      <c r="I8">
        <v>12</v>
      </c>
      <c r="J8">
        <v>13</v>
      </c>
      <c r="K8">
        <v>15</v>
      </c>
      <c r="L8">
        <v>8</v>
      </c>
      <c r="M8">
        <v>14</v>
      </c>
      <c r="N8">
        <v>186</v>
      </c>
    </row>
    <row r="9" spans="1:14" x14ac:dyDescent="0.4">
      <c r="A9" s="7" t="s">
        <v>2</v>
      </c>
      <c r="B9">
        <v>21</v>
      </c>
      <c r="C9">
        <v>18</v>
      </c>
      <c r="D9">
        <v>31</v>
      </c>
      <c r="E9">
        <v>20</v>
      </c>
      <c r="F9">
        <v>8</v>
      </c>
      <c r="G9">
        <v>12</v>
      </c>
      <c r="H9">
        <v>12</v>
      </c>
      <c r="I9">
        <v>7</v>
      </c>
      <c r="J9">
        <v>20</v>
      </c>
      <c r="K9">
        <v>24</v>
      </c>
      <c r="L9">
        <v>12</v>
      </c>
      <c r="M9">
        <v>15</v>
      </c>
      <c r="N9">
        <v>200</v>
      </c>
    </row>
    <row r="10" spans="1:14" x14ac:dyDescent="0.4">
      <c r="A10" s="7" t="s">
        <v>1044</v>
      </c>
      <c r="B10">
        <v>79</v>
      </c>
      <c r="C10">
        <v>66</v>
      </c>
      <c r="D10">
        <v>155</v>
      </c>
      <c r="E10">
        <v>136</v>
      </c>
      <c r="F10">
        <v>83</v>
      </c>
      <c r="G10">
        <v>67</v>
      </c>
      <c r="H10">
        <v>64</v>
      </c>
      <c r="I10">
        <v>50</v>
      </c>
      <c r="J10">
        <v>76</v>
      </c>
      <c r="K10">
        <v>114</v>
      </c>
      <c r="L10">
        <v>57</v>
      </c>
      <c r="M10">
        <v>53</v>
      </c>
      <c r="N10">
        <v>1000</v>
      </c>
    </row>
  </sheetData>
  <conditionalFormatting pivot="1" sqref="B5:M9">
    <cfRule type="dataBar" priority="1">
      <dataBar>
        <cfvo type="min"/>
        <cfvo type="max"/>
        <color rgb="FF008AEF"/>
      </dataBar>
      <extLst>
        <ext xmlns:x14="http://schemas.microsoft.com/office/spreadsheetml/2009/9/main" uri="{B025F937-C7B1-47D3-B67F-A62EFF666E3E}">
          <x14:id>{B99D39B1-C10D-427E-913C-F3220EA8B917}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99D39B1-C10D-427E-913C-F3220EA8B917}">
            <x14:dataBar minLength="0" maxLength="100" border="1" negativeBarBorderColorSameAsPositive="0">
              <x14:cfvo type="autoMin"/>
              <x14:cfvo type="autoMax"/>
              <x14:borderColor rgb="FF008AEF"/>
              <x14:negativeFillColor rgb="FFFF0000"/>
              <x14:negativeBorderColor rgb="FFFF0000"/>
              <x14:axisColor rgb="FF000000"/>
            </x14:dataBar>
          </x14:cfRule>
          <xm:sqref>B5:M9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14E3-D383-4AA4-98AB-4252DD3BD815}">
  <dimension ref="A1:T210"/>
  <sheetViews>
    <sheetView topLeftCell="A62" workbookViewId="0"/>
  </sheetViews>
  <sheetFormatPr defaultRowHeight="15" x14ac:dyDescent="0.4"/>
  <cols>
    <col min="1" max="1" width="15.1328125" bestFit="1" customWidth="1"/>
    <col min="2" max="2" width="15.3984375" bestFit="1" customWidth="1"/>
    <col min="3" max="3" width="12.73046875" bestFit="1" customWidth="1"/>
    <col min="4" max="4" width="16.59765625" bestFit="1" customWidth="1"/>
    <col min="5" max="5" width="14.86328125" bestFit="1" customWidth="1"/>
    <col min="6" max="6" width="19" bestFit="1" customWidth="1"/>
    <col min="7" max="7" width="17.73046875" bestFit="1" customWidth="1"/>
    <col min="8" max="8" width="12.3984375" bestFit="1" customWidth="1"/>
    <col min="9" max="9" width="19.53125" bestFit="1" customWidth="1"/>
    <col min="10" max="10" width="8.46484375" bestFit="1" customWidth="1"/>
    <col min="11" max="11" width="15" bestFit="1" customWidth="1"/>
    <col min="12" max="12" width="17.796875" bestFit="1" customWidth="1"/>
    <col min="13" max="13" width="17.19921875" bestFit="1" customWidth="1"/>
    <col min="14" max="14" width="26.6640625" bestFit="1" customWidth="1"/>
    <col min="15" max="15" width="24.1328125" bestFit="1" customWidth="1"/>
    <col min="16" max="16" width="25.53125" bestFit="1" customWidth="1"/>
    <col min="17" max="17" width="13.3984375" bestFit="1" customWidth="1"/>
    <col min="18" max="18" width="21.265625" bestFit="1" customWidth="1"/>
    <col min="19" max="19" width="21.3984375" bestFit="1" customWidth="1"/>
    <col min="20" max="20" width="25.59765625" bestFit="1" customWidth="1"/>
  </cols>
  <sheetData>
    <row r="1" spans="1:20" x14ac:dyDescent="0.4">
      <c r="A1" s="1" t="s">
        <v>1114</v>
      </c>
    </row>
    <row r="3" spans="1:20" x14ac:dyDescent="0.4">
      <c r="A3" t="s">
        <v>1088</v>
      </c>
      <c r="B3" t="s">
        <v>1089</v>
      </c>
      <c r="C3" t="s">
        <v>1090</v>
      </c>
      <c r="D3" t="s">
        <v>1091</v>
      </c>
      <c r="E3" t="s">
        <v>1092</v>
      </c>
      <c r="F3" t="s">
        <v>1093</v>
      </c>
      <c r="G3" t="s">
        <v>1094</v>
      </c>
      <c r="H3" t="s">
        <v>1095</v>
      </c>
      <c r="I3" t="s">
        <v>1096</v>
      </c>
      <c r="J3" t="s">
        <v>1097</v>
      </c>
      <c r="K3" t="s">
        <v>1098</v>
      </c>
      <c r="L3" t="s">
        <v>1099</v>
      </c>
      <c r="M3" t="s">
        <v>1100</v>
      </c>
      <c r="N3" t="s">
        <v>1101</v>
      </c>
      <c r="O3" t="s">
        <v>1102</v>
      </c>
      <c r="P3" t="s">
        <v>1103</v>
      </c>
      <c r="Q3" t="s">
        <v>1104</v>
      </c>
      <c r="R3" t="s">
        <v>1105</v>
      </c>
      <c r="S3" t="s">
        <v>1106</v>
      </c>
      <c r="T3" t="s">
        <v>1107</v>
      </c>
    </row>
    <row r="4" spans="1:20" x14ac:dyDescent="0.4">
      <c r="A4" t="s">
        <v>25</v>
      </c>
      <c r="B4" t="s">
        <v>26</v>
      </c>
      <c r="C4">
        <v>44</v>
      </c>
      <c r="D4" t="s">
        <v>27</v>
      </c>
      <c r="E4" s="23">
        <v>44929</v>
      </c>
      <c r="F4">
        <v>105</v>
      </c>
      <c r="G4">
        <v>3.8589371980676304</v>
      </c>
      <c r="H4" t="s">
        <v>1108</v>
      </c>
      <c r="I4">
        <v>2.9</v>
      </c>
      <c r="J4">
        <v>2023</v>
      </c>
      <c r="K4" t="s">
        <v>18</v>
      </c>
      <c r="L4" t="s">
        <v>1109</v>
      </c>
      <c r="M4">
        <v>3</v>
      </c>
      <c r="N4">
        <v>72</v>
      </c>
      <c r="O4">
        <v>6242</v>
      </c>
      <c r="P4">
        <v>0.68571428571428572</v>
      </c>
      <c r="Q4">
        <v>72</v>
      </c>
      <c r="R4">
        <v>0.68571428571428572</v>
      </c>
      <c r="S4" t="s">
        <v>1053</v>
      </c>
      <c r="T4">
        <v>1</v>
      </c>
    </row>
    <row r="5" spans="1:20" x14ac:dyDescent="0.4">
      <c r="A5" t="s">
        <v>39</v>
      </c>
      <c r="B5" t="s">
        <v>40</v>
      </c>
      <c r="C5">
        <v>28</v>
      </c>
      <c r="D5" t="s">
        <v>27</v>
      </c>
      <c r="E5" s="23">
        <v>44931</v>
      </c>
      <c r="F5">
        <v>28</v>
      </c>
      <c r="G5">
        <v>3.8589371980676304</v>
      </c>
      <c r="H5" t="s">
        <v>1108</v>
      </c>
      <c r="I5">
        <v>3.8</v>
      </c>
      <c r="J5">
        <v>2023</v>
      </c>
      <c r="K5" t="s">
        <v>37</v>
      </c>
      <c r="L5" t="s">
        <v>1110</v>
      </c>
      <c r="M5">
        <v>4</v>
      </c>
      <c r="N5">
        <v>69</v>
      </c>
      <c r="O5">
        <v>6601</v>
      </c>
      <c r="P5">
        <v>2.4642857142857144</v>
      </c>
      <c r="Q5">
        <v>69</v>
      </c>
      <c r="R5">
        <v>2.4642857142857144</v>
      </c>
      <c r="S5" t="s">
        <v>1053</v>
      </c>
      <c r="T5">
        <v>1</v>
      </c>
    </row>
    <row r="6" spans="1:20" x14ac:dyDescent="0.4">
      <c r="A6" t="s">
        <v>65</v>
      </c>
      <c r="B6" t="s">
        <v>40</v>
      </c>
      <c r="C6">
        <v>75</v>
      </c>
      <c r="D6" t="s">
        <v>27</v>
      </c>
      <c r="E6" s="23">
        <v>44941</v>
      </c>
      <c r="F6">
        <v>26</v>
      </c>
      <c r="G6">
        <v>3.8589371980676304</v>
      </c>
      <c r="H6" t="s">
        <v>1108</v>
      </c>
      <c r="I6">
        <v>2.4</v>
      </c>
      <c r="J6">
        <v>2023</v>
      </c>
      <c r="K6" t="s">
        <v>3</v>
      </c>
      <c r="L6" t="s">
        <v>1111</v>
      </c>
      <c r="M6">
        <v>2</v>
      </c>
      <c r="N6">
        <v>69</v>
      </c>
      <c r="O6">
        <v>6601</v>
      </c>
      <c r="P6">
        <v>2.6538461538461537</v>
      </c>
      <c r="Q6">
        <v>69</v>
      </c>
      <c r="R6">
        <v>2.6538461538461537</v>
      </c>
      <c r="S6" t="s">
        <v>1053</v>
      </c>
      <c r="T6">
        <v>1</v>
      </c>
    </row>
    <row r="7" spans="1:20" x14ac:dyDescent="0.4">
      <c r="A7" t="s">
        <v>66</v>
      </c>
      <c r="B7" t="s">
        <v>51</v>
      </c>
      <c r="C7">
        <v>94</v>
      </c>
      <c r="D7" t="s">
        <v>27</v>
      </c>
      <c r="E7" s="23">
        <v>44942</v>
      </c>
      <c r="F7">
        <v>120</v>
      </c>
      <c r="G7">
        <v>3.8589371980676304</v>
      </c>
      <c r="H7" t="s">
        <v>1108</v>
      </c>
      <c r="I7">
        <v>3.1</v>
      </c>
      <c r="J7">
        <v>2023</v>
      </c>
      <c r="K7" t="s">
        <v>15</v>
      </c>
      <c r="L7" t="s">
        <v>1111</v>
      </c>
      <c r="M7">
        <v>3</v>
      </c>
      <c r="N7">
        <v>59</v>
      </c>
      <c r="O7">
        <v>6518</v>
      </c>
      <c r="P7">
        <v>0.49166666666666664</v>
      </c>
      <c r="Q7">
        <v>59</v>
      </c>
      <c r="R7">
        <v>0.49166666666666664</v>
      </c>
      <c r="S7" t="s">
        <v>1053</v>
      </c>
      <c r="T7">
        <v>1</v>
      </c>
    </row>
    <row r="8" spans="1:20" x14ac:dyDescent="0.4">
      <c r="A8" t="s">
        <v>73</v>
      </c>
      <c r="B8" t="s">
        <v>30</v>
      </c>
      <c r="C8">
        <v>132</v>
      </c>
      <c r="D8" t="s">
        <v>27</v>
      </c>
      <c r="E8" s="23">
        <v>44944</v>
      </c>
      <c r="F8">
        <v>168</v>
      </c>
      <c r="G8">
        <v>3.8589371980676304</v>
      </c>
      <c r="H8" t="s">
        <v>1108</v>
      </c>
      <c r="I8">
        <v>4.0999999999999996</v>
      </c>
      <c r="J8">
        <v>2023</v>
      </c>
      <c r="K8" t="s">
        <v>33</v>
      </c>
      <c r="L8" t="s">
        <v>1112</v>
      </c>
      <c r="M8">
        <v>4</v>
      </c>
      <c r="N8">
        <v>69</v>
      </c>
      <c r="O8">
        <v>7230</v>
      </c>
      <c r="P8">
        <v>0.4107142857142857</v>
      </c>
      <c r="Q8">
        <v>69</v>
      </c>
      <c r="R8">
        <v>0.4107142857142857</v>
      </c>
      <c r="S8" t="s">
        <v>1053</v>
      </c>
      <c r="T8">
        <v>1</v>
      </c>
    </row>
    <row r="9" spans="1:20" x14ac:dyDescent="0.4">
      <c r="A9" t="s">
        <v>75</v>
      </c>
      <c r="B9" t="s">
        <v>13</v>
      </c>
      <c r="C9">
        <v>9</v>
      </c>
      <c r="D9" t="s">
        <v>27</v>
      </c>
      <c r="E9" s="23">
        <v>44945</v>
      </c>
      <c r="F9">
        <v>32</v>
      </c>
      <c r="G9">
        <v>3.8589371980676304</v>
      </c>
      <c r="H9" t="s">
        <v>1108</v>
      </c>
      <c r="I9">
        <v>4.4000000000000004</v>
      </c>
      <c r="J9">
        <v>2023</v>
      </c>
      <c r="K9" t="s">
        <v>37</v>
      </c>
      <c r="L9" t="s">
        <v>1113</v>
      </c>
      <c r="M9">
        <v>4</v>
      </c>
      <c r="N9">
        <v>74</v>
      </c>
      <c r="O9">
        <v>6749</v>
      </c>
      <c r="P9">
        <v>2.3125</v>
      </c>
      <c r="Q9">
        <v>74</v>
      </c>
      <c r="R9">
        <v>2.3125</v>
      </c>
      <c r="S9" t="s">
        <v>1053</v>
      </c>
      <c r="T9">
        <v>1</v>
      </c>
    </row>
    <row r="10" spans="1:20" x14ac:dyDescent="0.4">
      <c r="A10" t="s">
        <v>82</v>
      </c>
      <c r="B10" t="s">
        <v>30</v>
      </c>
      <c r="C10">
        <v>79</v>
      </c>
      <c r="D10" t="s">
        <v>27</v>
      </c>
      <c r="E10" s="23">
        <v>44947</v>
      </c>
      <c r="F10">
        <v>140</v>
      </c>
      <c r="G10">
        <v>3.8589371980676304</v>
      </c>
      <c r="H10" t="s">
        <v>1108</v>
      </c>
      <c r="I10">
        <v>4.5</v>
      </c>
      <c r="J10">
        <v>2023</v>
      </c>
      <c r="K10" t="s">
        <v>48</v>
      </c>
      <c r="L10" t="s">
        <v>1111</v>
      </c>
      <c r="M10">
        <v>5</v>
      </c>
      <c r="N10">
        <v>69</v>
      </c>
      <c r="O10">
        <v>7230</v>
      </c>
      <c r="P10">
        <v>0.49285714285714288</v>
      </c>
      <c r="Q10">
        <v>69</v>
      </c>
      <c r="R10">
        <v>0.49285714285714288</v>
      </c>
      <c r="S10" t="s">
        <v>1053</v>
      </c>
      <c r="T10">
        <v>1</v>
      </c>
    </row>
    <row r="11" spans="1:20" x14ac:dyDescent="0.4">
      <c r="A11" t="s">
        <v>93</v>
      </c>
      <c r="B11" t="s">
        <v>51</v>
      </c>
      <c r="C11">
        <v>110</v>
      </c>
      <c r="D11" t="s">
        <v>27</v>
      </c>
      <c r="E11" s="23">
        <v>44950</v>
      </c>
      <c r="F11">
        <v>96</v>
      </c>
      <c r="G11">
        <v>3.8589371980676304</v>
      </c>
      <c r="H11" t="s">
        <v>1108</v>
      </c>
      <c r="I11">
        <v>5</v>
      </c>
      <c r="J11">
        <v>2023</v>
      </c>
      <c r="K11" t="s">
        <v>18</v>
      </c>
      <c r="L11" t="s">
        <v>1111</v>
      </c>
      <c r="M11">
        <v>5</v>
      </c>
      <c r="N11">
        <v>59</v>
      </c>
      <c r="O11">
        <v>6518</v>
      </c>
      <c r="P11">
        <v>0.61458333333333337</v>
      </c>
      <c r="Q11">
        <v>59</v>
      </c>
      <c r="R11">
        <v>0.61458333333333337</v>
      </c>
      <c r="S11" t="s">
        <v>1053</v>
      </c>
      <c r="T11">
        <v>1</v>
      </c>
    </row>
    <row r="12" spans="1:20" x14ac:dyDescent="0.4">
      <c r="A12" t="s">
        <v>100</v>
      </c>
      <c r="B12" t="s">
        <v>44</v>
      </c>
      <c r="C12">
        <v>141</v>
      </c>
      <c r="D12" t="s">
        <v>27</v>
      </c>
      <c r="E12" s="23">
        <v>44953</v>
      </c>
      <c r="F12">
        <v>54</v>
      </c>
      <c r="G12">
        <v>3.8589371980676304</v>
      </c>
      <c r="H12" t="s">
        <v>1108</v>
      </c>
      <c r="I12">
        <v>0</v>
      </c>
      <c r="J12">
        <v>2023</v>
      </c>
      <c r="K12" t="s">
        <v>45</v>
      </c>
      <c r="L12" t="s">
        <v>1112</v>
      </c>
      <c r="M12">
        <v>0</v>
      </c>
      <c r="N12">
        <v>62</v>
      </c>
      <c r="O12">
        <v>6176</v>
      </c>
      <c r="P12">
        <v>1.1481481481481481</v>
      </c>
      <c r="Q12">
        <v>62</v>
      </c>
      <c r="R12">
        <v>1.1481481481481481</v>
      </c>
      <c r="S12" t="s">
        <v>1053</v>
      </c>
      <c r="T12">
        <v>1</v>
      </c>
    </row>
    <row r="13" spans="1:20" x14ac:dyDescent="0.4">
      <c r="A13" t="s">
        <v>101</v>
      </c>
      <c r="B13" t="s">
        <v>44</v>
      </c>
      <c r="C13">
        <v>168</v>
      </c>
      <c r="D13" t="s">
        <v>27</v>
      </c>
      <c r="E13" s="23">
        <v>44954</v>
      </c>
      <c r="F13">
        <v>160</v>
      </c>
      <c r="G13">
        <v>3.8589371980676304</v>
      </c>
      <c r="H13" t="s">
        <v>1108</v>
      </c>
      <c r="I13">
        <v>3.9</v>
      </c>
      <c r="J13">
        <v>2023</v>
      </c>
      <c r="K13" t="s">
        <v>48</v>
      </c>
      <c r="L13" t="s">
        <v>1112</v>
      </c>
      <c r="M13">
        <v>4</v>
      </c>
      <c r="N13">
        <v>62</v>
      </c>
      <c r="O13">
        <v>6176</v>
      </c>
      <c r="P13">
        <v>0.38750000000000001</v>
      </c>
      <c r="Q13">
        <v>62</v>
      </c>
      <c r="R13">
        <v>0.38750000000000001</v>
      </c>
      <c r="S13" t="s">
        <v>1053</v>
      </c>
      <c r="T13">
        <v>1</v>
      </c>
    </row>
    <row r="14" spans="1:20" x14ac:dyDescent="0.4">
      <c r="A14" t="s">
        <v>104</v>
      </c>
      <c r="B14" t="s">
        <v>84</v>
      </c>
      <c r="C14">
        <v>114</v>
      </c>
      <c r="D14" t="s">
        <v>27</v>
      </c>
      <c r="E14" s="23">
        <v>44956</v>
      </c>
      <c r="F14">
        <v>42</v>
      </c>
      <c r="G14">
        <v>3.8589371980676304</v>
      </c>
      <c r="H14" t="s">
        <v>1108</v>
      </c>
      <c r="I14">
        <v>2.6</v>
      </c>
      <c r="J14">
        <v>2023</v>
      </c>
      <c r="K14" t="s">
        <v>15</v>
      </c>
      <c r="L14" t="s">
        <v>1111</v>
      </c>
      <c r="M14">
        <v>3</v>
      </c>
      <c r="N14">
        <v>59</v>
      </c>
      <c r="O14">
        <v>5009</v>
      </c>
      <c r="P14">
        <v>1.4047619047619047</v>
      </c>
      <c r="Q14">
        <v>59</v>
      </c>
      <c r="R14">
        <v>1.4047619047619047</v>
      </c>
      <c r="S14" t="s">
        <v>1053</v>
      </c>
      <c r="T14">
        <v>1</v>
      </c>
    </row>
    <row r="15" spans="1:20" x14ac:dyDescent="0.4">
      <c r="A15" t="s">
        <v>106</v>
      </c>
      <c r="B15" t="s">
        <v>13</v>
      </c>
      <c r="C15">
        <v>69</v>
      </c>
      <c r="D15" t="s">
        <v>27</v>
      </c>
      <c r="E15" s="23">
        <v>44956</v>
      </c>
      <c r="F15">
        <v>108</v>
      </c>
      <c r="G15">
        <v>3.8589371980676304</v>
      </c>
      <c r="H15" t="s">
        <v>1108</v>
      </c>
      <c r="I15">
        <v>3.3</v>
      </c>
      <c r="J15">
        <v>2023</v>
      </c>
      <c r="K15" t="s">
        <v>15</v>
      </c>
      <c r="L15" t="s">
        <v>1111</v>
      </c>
      <c r="M15">
        <v>3</v>
      </c>
      <c r="N15">
        <v>74</v>
      </c>
      <c r="O15">
        <v>6749</v>
      </c>
      <c r="P15">
        <v>0.68518518518518523</v>
      </c>
      <c r="Q15">
        <v>74</v>
      </c>
      <c r="R15">
        <v>0.68518518518518523</v>
      </c>
      <c r="S15" t="s">
        <v>1053</v>
      </c>
      <c r="T15">
        <v>1</v>
      </c>
    </row>
    <row r="16" spans="1:20" x14ac:dyDescent="0.4">
      <c r="A16" t="s">
        <v>108</v>
      </c>
      <c r="B16" t="s">
        <v>6</v>
      </c>
      <c r="C16">
        <v>43</v>
      </c>
      <c r="D16" t="s">
        <v>27</v>
      </c>
      <c r="E16" s="23">
        <v>44956</v>
      </c>
      <c r="F16">
        <v>23</v>
      </c>
      <c r="G16">
        <v>3.8589371980676304</v>
      </c>
      <c r="H16" t="s">
        <v>1108</v>
      </c>
      <c r="I16">
        <v>4.9000000000000004</v>
      </c>
      <c r="J16">
        <v>2023</v>
      </c>
      <c r="K16" t="s">
        <v>15</v>
      </c>
      <c r="L16" t="s">
        <v>1109</v>
      </c>
      <c r="M16">
        <v>5</v>
      </c>
      <c r="N16">
        <v>82</v>
      </c>
      <c r="O16">
        <v>7689</v>
      </c>
      <c r="P16">
        <v>3.5652173913043477</v>
      </c>
      <c r="Q16">
        <v>82</v>
      </c>
      <c r="R16">
        <v>3.5652173913043477</v>
      </c>
      <c r="S16" t="s">
        <v>1053</v>
      </c>
      <c r="T16">
        <v>1</v>
      </c>
    </row>
    <row r="17" spans="1:20" x14ac:dyDescent="0.4">
      <c r="A17" t="s">
        <v>110</v>
      </c>
      <c r="B17" t="s">
        <v>40</v>
      </c>
      <c r="C17">
        <v>79</v>
      </c>
      <c r="D17" t="s">
        <v>27</v>
      </c>
      <c r="E17" s="23">
        <v>44958</v>
      </c>
      <c r="F17">
        <v>148</v>
      </c>
      <c r="G17">
        <v>3.8589371980676304</v>
      </c>
      <c r="H17" t="s">
        <v>1108</v>
      </c>
      <c r="I17">
        <v>4.5</v>
      </c>
      <c r="J17">
        <v>2023</v>
      </c>
      <c r="K17" t="s">
        <v>33</v>
      </c>
      <c r="L17" t="s">
        <v>1111</v>
      </c>
      <c r="M17">
        <v>5</v>
      </c>
      <c r="N17">
        <v>69</v>
      </c>
      <c r="O17">
        <v>6601</v>
      </c>
      <c r="P17">
        <v>0.46621621621621623</v>
      </c>
      <c r="Q17">
        <v>69</v>
      </c>
      <c r="R17">
        <v>0.46621621621621623</v>
      </c>
      <c r="S17" t="s">
        <v>1054</v>
      </c>
      <c r="T17">
        <v>2</v>
      </c>
    </row>
    <row r="18" spans="1:20" x14ac:dyDescent="0.4">
      <c r="A18" t="s">
        <v>112</v>
      </c>
      <c r="B18" t="s">
        <v>13</v>
      </c>
      <c r="C18">
        <v>137</v>
      </c>
      <c r="D18" t="s">
        <v>27</v>
      </c>
      <c r="E18" s="23">
        <v>44958</v>
      </c>
      <c r="F18">
        <v>86</v>
      </c>
      <c r="G18">
        <v>3.8589371980676304</v>
      </c>
      <c r="H18" t="s">
        <v>1108</v>
      </c>
      <c r="I18">
        <v>4.8</v>
      </c>
      <c r="J18">
        <v>2023</v>
      </c>
      <c r="K18" t="s">
        <v>33</v>
      </c>
      <c r="L18" t="s">
        <v>1112</v>
      </c>
      <c r="M18">
        <v>5</v>
      </c>
      <c r="N18">
        <v>74</v>
      </c>
      <c r="O18">
        <v>6749</v>
      </c>
      <c r="P18">
        <v>0.86046511627906974</v>
      </c>
      <c r="Q18">
        <v>74</v>
      </c>
      <c r="R18">
        <v>0.86046511627906974</v>
      </c>
      <c r="S18" t="s">
        <v>1054</v>
      </c>
      <c r="T18">
        <v>2</v>
      </c>
    </row>
    <row r="19" spans="1:20" x14ac:dyDescent="0.4">
      <c r="A19" t="s">
        <v>128</v>
      </c>
      <c r="B19" t="s">
        <v>1</v>
      </c>
      <c r="C19">
        <v>96</v>
      </c>
      <c r="D19" t="s">
        <v>27</v>
      </c>
      <c r="E19" s="23">
        <v>44965</v>
      </c>
      <c r="F19">
        <v>120</v>
      </c>
      <c r="G19">
        <v>3.8589371980676304</v>
      </c>
      <c r="H19" t="s">
        <v>1108</v>
      </c>
      <c r="I19">
        <v>4</v>
      </c>
      <c r="J19">
        <v>2023</v>
      </c>
      <c r="K19" t="s">
        <v>33</v>
      </c>
      <c r="L19" t="s">
        <v>1111</v>
      </c>
      <c r="M19">
        <v>4</v>
      </c>
      <c r="N19">
        <v>50</v>
      </c>
      <c r="O19">
        <v>4804</v>
      </c>
      <c r="P19">
        <v>0.41666666666666669</v>
      </c>
      <c r="Q19">
        <v>50</v>
      </c>
      <c r="R19">
        <v>0.41666666666666669</v>
      </c>
      <c r="S19" t="s">
        <v>1054</v>
      </c>
      <c r="T19">
        <v>2</v>
      </c>
    </row>
    <row r="20" spans="1:20" x14ac:dyDescent="0.4">
      <c r="A20" t="s">
        <v>130</v>
      </c>
      <c r="B20" t="s">
        <v>1</v>
      </c>
      <c r="C20">
        <v>132</v>
      </c>
      <c r="D20" t="s">
        <v>27</v>
      </c>
      <c r="E20" s="23">
        <v>44967</v>
      </c>
      <c r="F20">
        <v>112</v>
      </c>
      <c r="G20">
        <v>3.8589371980676304</v>
      </c>
      <c r="H20" t="s">
        <v>1108</v>
      </c>
      <c r="I20">
        <v>4.5</v>
      </c>
      <c r="J20">
        <v>2023</v>
      </c>
      <c r="K20" t="s">
        <v>45</v>
      </c>
      <c r="L20" t="s">
        <v>1112</v>
      </c>
      <c r="M20">
        <v>5</v>
      </c>
      <c r="N20">
        <v>50</v>
      </c>
      <c r="O20">
        <v>4804</v>
      </c>
      <c r="P20">
        <v>0.44642857142857145</v>
      </c>
      <c r="Q20">
        <v>50</v>
      </c>
      <c r="R20">
        <v>0.44642857142857145</v>
      </c>
      <c r="S20" t="s">
        <v>1054</v>
      </c>
      <c r="T20">
        <v>2</v>
      </c>
    </row>
    <row r="21" spans="1:20" x14ac:dyDescent="0.4">
      <c r="A21" t="s">
        <v>136</v>
      </c>
      <c r="B21" t="s">
        <v>32</v>
      </c>
      <c r="C21">
        <v>28</v>
      </c>
      <c r="D21" t="s">
        <v>27</v>
      </c>
      <c r="E21" s="23">
        <v>44969</v>
      </c>
      <c r="F21">
        <v>74</v>
      </c>
      <c r="G21">
        <v>3.8589371980676304</v>
      </c>
      <c r="H21" t="s">
        <v>1108</v>
      </c>
      <c r="I21">
        <v>3.5</v>
      </c>
      <c r="J21">
        <v>2023</v>
      </c>
      <c r="K21" t="s">
        <v>3</v>
      </c>
      <c r="L21" t="s">
        <v>1110</v>
      </c>
      <c r="M21">
        <v>4</v>
      </c>
      <c r="N21">
        <v>63</v>
      </c>
      <c r="O21">
        <v>5634</v>
      </c>
      <c r="P21">
        <v>0.85135135135135132</v>
      </c>
      <c r="Q21">
        <v>63</v>
      </c>
      <c r="R21">
        <v>0.85135135135135132</v>
      </c>
      <c r="S21" t="s">
        <v>1054</v>
      </c>
      <c r="T21">
        <v>2</v>
      </c>
    </row>
    <row r="22" spans="1:20" x14ac:dyDescent="0.4">
      <c r="A22" t="s">
        <v>139</v>
      </c>
      <c r="B22" t="s">
        <v>6</v>
      </c>
      <c r="C22">
        <v>76</v>
      </c>
      <c r="D22" t="s">
        <v>27</v>
      </c>
      <c r="E22" s="23">
        <v>44970</v>
      </c>
      <c r="F22">
        <v>64</v>
      </c>
      <c r="G22">
        <v>3.8589371980676304</v>
      </c>
      <c r="H22" t="s">
        <v>1108</v>
      </c>
      <c r="I22">
        <v>3.4</v>
      </c>
      <c r="J22">
        <v>2023</v>
      </c>
      <c r="K22" t="s">
        <v>15</v>
      </c>
      <c r="L22" t="s">
        <v>1111</v>
      </c>
      <c r="M22">
        <v>3</v>
      </c>
      <c r="N22">
        <v>82</v>
      </c>
      <c r="O22">
        <v>7689</v>
      </c>
      <c r="P22">
        <v>1.28125</v>
      </c>
      <c r="Q22">
        <v>82</v>
      </c>
      <c r="R22">
        <v>1.28125</v>
      </c>
      <c r="S22" t="s">
        <v>1054</v>
      </c>
      <c r="T22">
        <v>2</v>
      </c>
    </row>
    <row r="23" spans="1:20" x14ac:dyDescent="0.4">
      <c r="A23" t="s">
        <v>142</v>
      </c>
      <c r="B23" t="s">
        <v>44</v>
      </c>
      <c r="C23">
        <v>30</v>
      </c>
      <c r="D23" t="s">
        <v>27</v>
      </c>
      <c r="E23" s="23">
        <v>44972</v>
      </c>
      <c r="F23">
        <v>105</v>
      </c>
      <c r="G23">
        <v>3.8589371980676304</v>
      </c>
      <c r="H23" t="s">
        <v>1108</v>
      </c>
      <c r="I23">
        <v>3.6</v>
      </c>
      <c r="J23">
        <v>2023</v>
      </c>
      <c r="K23" t="s">
        <v>33</v>
      </c>
      <c r="L23" t="s">
        <v>1110</v>
      </c>
      <c r="M23">
        <v>4</v>
      </c>
      <c r="N23">
        <v>62</v>
      </c>
      <c r="O23">
        <v>6176</v>
      </c>
      <c r="P23">
        <v>0.59047619047619049</v>
      </c>
      <c r="Q23">
        <v>62</v>
      </c>
      <c r="R23">
        <v>0.59047619047619049</v>
      </c>
      <c r="S23" t="s">
        <v>1054</v>
      </c>
      <c r="T23">
        <v>2</v>
      </c>
    </row>
    <row r="24" spans="1:20" x14ac:dyDescent="0.4">
      <c r="A24" t="s">
        <v>146</v>
      </c>
      <c r="B24" t="s">
        <v>40</v>
      </c>
      <c r="C24">
        <v>27</v>
      </c>
      <c r="D24" t="s">
        <v>27</v>
      </c>
      <c r="E24" s="23">
        <v>44973</v>
      </c>
      <c r="F24">
        <v>70</v>
      </c>
      <c r="G24">
        <v>3.8589371980676304</v>
      </c>
      <c r="H24" t="s">
        <v>1108</v>
      </c>
      <c r="I24">
        <v>3.9</v>
      </c>
      <c r="J24">
        <v>2023</v>
      </c>
      <c r="K24" t="s">
        <v>37</v>
      </c>
      <c r="L24" t="s">
        <v>1110</v>
      </c>
      <c r="M24">
        <v>4</v>
      </c>
      <c r="N24">
        <v>69</v>
      </c>
      <c r="O24">
        <v>6601</v>
      </c>
      <c r="P24">
        <v>0.98571428571428577</v>
      </c>
      <c r="Q24">
        <v>69</v>
      </c>
      <c r="R24">
        <v>0.98571428571428577</v>
      </c>
      <c r="S24" t="s">
        <v>1054</v>
      </c>
      <c r="T24">
        <v>2</v>
      </c>
    </row>
    <row r="25" spans="1:20" x14ac:dyDescent="0.4">
      <c r="A25" t="s">
        <v>147</v>
      </c>
      <c r="B25" t="s">
        <v>40</v>
      </c>
      <c r="C25">
        <v>32</v>
      </c>
      <c r="D25" t="s">
        <v>27</v>
      </c>
      <c r="E25" s="23">
        <v>44973</v>
      </c>
      <c r="F25">
        <v>37</v>
      </c>
      <c r="G25">
        <v>3.8589371980676304</v>
      </c>
      <c r="H25" t="s">
        <v>1108</v>
      </c>
      <c r="I25">
        <v>1.9</v>
      </c>
      <c r="J25">
        <v>2023</v>
      </c>
      <c r="K25" t="s">
        <v>37</v>
      </c>
      <c r="L25" t="s">
        <v>1109</v>
      </c>
      <c r="M25">
        <v>2</v>
      </c>
      <c r="N25">
        <v>69</v>
      </c>
      <c r="O25">
        <v>6601</v>
      </c>
      <c r="P25">
        <v>1.8648648648648649</v>
      </c>
      <c r="Q25">
        <v>69</v>
      </c>
      <c r="R25">
        <v>1.8648648648648649</v>
      </c>
      <c r="S25" t="s">
        <v>1054</v>
      </c>
      <c r="T25">
        <v>2</v>
      </c>
    </row>
    <row r="26" spans="1:20" x14ac:dyDescent="0.4">
      <c r="A26" t="s">
        <v>150</v>
      </c>
      <c r="B26" t="s">
        <v>6</v>
      </c>
      <c r="C26">
        <v>75</v>
      </c>
      <c r="D26" t="s">
        <v>27</v>
      </c>
      <c r="E26" s="23">
        <v>44974</v>
      </c>
      <c r="F26">
        <v>21</v>
      </c>
      <c r="G26">
        <v>3.8589371980676304</v>
      </c>
      <c r="H26" t="s">
        <v>1108</v>
      </c>
      <c r="I26">
        <v>4.2</v>
      </c>
      <c r="J26">
        <v>2023</v>
      </c>
      <c r="K26" t="s">
        <v>45</v>
      </c>
      <c r="L26" t="s">
        <v>1111</v>
      </c>
      <c r="M26">
        <v>4</v>
      </c>
      <c r="N26">
        <v>82</v>
      </c>
      <c r="O26">
        <v>7689</v>
      </c>
      <c r="P26">
        <v>3.9047619047619047</v>
      </c>
      <c r="Q26">
        <v>82</v>
      </c>
      <c r="R26">
        <v>3.9047619047619047</v>
      </c>
      <c r="S26" t="s">
        <v>1054</v>
      </c>
      <c r="T26">
        <v>2</v>
      </c>
    </row>
    <row r="27" spans="1:20" x14ac:dyDescent="0.4">
      <c r="A27" t="s">
        <v>161</v>
      </c>
      <c r="B27" t="s">
        <v>64</v>
      </c>
      <c r="C27">
        <v>61</v>
      </c>
      <c r="D27" t="s">
        <v>27</v>
      </c>
      <c r="E27" s="23">
        <v>44979</v>
      </c>
      <c r="F27">
        <v>140</v>
      </c>
      <c r="G27">
        <v>3.8589371980676304</v>
      </c>
      <c r="H27" t="s">
        <v>1108</v>
      </c>
      <c r="I27">
        <v>3.4</v>
      </c>
      <c r="J27">
        <v>2023</v>
      </c>
      <c r="K27" t="s">
        <v>33</v>
      </c>
      <c r="L27" t="s">
        <v>1111</v>
      </c>
      <c r="M27">
        <v>3</v>
      </c>
      <c r="N27">
        <v>65</v>
      </c>
      <c r="O27">
        <v>6785</v>
      </c>
      <c r="P27">
        <v>0.4642857142857143</v>
      </c>
      <c r="Q27">
        <v>65</v>
      </c>
      <c r="R27">
        <v>0.4642857142857143</v>
      </c>
      <c r="S27" t="s">
        <v>1054</v>
      </c>
      <c r="T27">
        <v>2</v>
      </c>
    </row>
    <row r="28" spans="1:20" x14ac:dyDescent="0.4">
      <c r="A28" t="s">
        <v>166</v>
      </c>
      <c r="B28" t="s">
        <v>51</v>
      </c>
      <c r="C28">
        <v>61</v>
      </c>
      <c r="D28" t="s">
        <v>27</v>
      </c>
      <c r="E28" s="23">
        <v>44982</v>
      </c>
      <c r="F28">
        <v>150</v>
      </c>
      <c r="G28">
        <v>3.8589371980676304</v>
      </c>
      <c r="H28" t="s">
        <v>1108</v>
      </c>
      <c r="I28">
        <v>4.5999999999999996</v>
      </c>
      <c r="J28">
        <v>2023</v>
      </c>
      <c r="K28" t="s">
        <v>48</v>
      </c>
      <c r="L28" t="s">
        <v>1111</v>
      </c>
      <c r="M28">
        <v>5</v>
      </c>
      <c r="N28">
        <v>59</v>
      </c>
      <c r="O28">
        <v>6518</v>
      </c>
      <c r="P28">
        <v>0.39333333333333331</v>
      </c>
      <c r="Q28">
        <v>59</v>
      </c>
      <c r="R28">
        <v>0.39333333333333331</v>
      </c>
      <c r="S28" t="s">
        <v>1054</v>
      </c>
      <c r="T28">
        <v>2</v>
      </c>
    </row>
    <row r="29" spans="1:20" x14ac:dyDescent="0.4">
      <c r="A29" t="s">
        <v>175</v>
      </c>
      <c r="B29" t="s">
        <v>40</v>
      </c>
      <c r="C29">
        <v>71</v>
      </c>
      <c r="D29" t="s">
        <v>27</v>
      </c>
      <c r="E29" s="23">
        <v>44985</v>
      </c>
      <c r="F29">
        <v>104</v>
      </c>
      <c r="G29">
        <v>3.8589371980676304</v>
      </c>
      <c r="H29" t="s">
        <v>1108</v>
      </c>
      <c r="I29">
        <v>3.1</v>
      </c>
      <c r="J29">
        <v>2023</v>
      </c>
      <c r="K29" t="s">
        <v>18</v>
      </c>
      <c r="L29" t="s">
        <v>1111</v>
      </c>
      <c r="M29">
        <v>3</v>
      </c>
      <c r="N29">
        <v>69</v>
      </c>
      <c r="O29">
        <v>6601</v>
      </c>
      <c r="P29">
        <v>0.66346153846153844</v>
      </c>
      <c r="Q29">
        <v>69</v>
      </c>
      <c r="R29">
        <v>0.66346153846153844</v>
      </c>
      <c r="S29" t="s">
        <v>1054</v>
      </c>
      <c r="T29">
        <v>2</v>
      </c>
    </row>
    <row r="30" spans="1:20" x14ac:dyDescent="0.4">
      <c r="A30" t="s">
        <v>177</v>
      </c>
      <c r="B30" t="s">
        <v>13</v>
      </c>
      <c r="C30">
        <v>155</v>
      </c>
      <c r="D30" t="s">
        <v>27</v>
      </c>
      <c r="E30" s="23">
        <v>44986</v>
      </c>
      <c r="F30">
        <v>132</v>
      </c>
      <c r="G30">
        <v>3.8589371980676304</v>
      </c>
      <c r="H30" t="s">
        <v>1108</v>
      </c>
      <c r="I30">
        <v>4.5999999999999996</v>
      </c>
      <c r="J30">
        <v>2023</v>
      </c>
      <c r="K30" t="s">
        <v>33</v>
      </c>
      <c r="L30" t="s">
        <v>1112</v>
      </c>
      <c r="M30">
        <v>5</v>
      </c>
      <c r="N30">
        <v>74</v>
      </c>
      <c r="O30">
        <v>6749</v>
      </c>
      <c r="P30">
        <v>0.56060606060606055</v>
      </c>
      <c r="Q30">
        <v>74</v>
      </c>
      <c r="R30">
        <v>0.56060606060606055</v>
      </c>
      <c r="S30" t="s">
        <v>1055</v>
      </c>
      <c r="T30">
        <v>3</v>
      </c>
    </row>
    <row r="31" spans="1:20" x14ac:dyDescent="0.4">
      <c r="A31" t="s">
        <v>180</v>
      </c>
      <c r="B31" t="s">
        <v>32</v>
      </c>
      <c r="C31">
        <v>89</v>
      </c>
      <c r="D31" t="s">
        <v>27</v>
      </c>
      <c r="E31" s="23">
        <v>44986</v>
      </c>
      <c r="F31">
        <v>126</v>
      </c>
      <c r="G31">
        <v>3.8589371980676304</v>
      </c>
      <c r="H31" t="s">
        <v>1108</v>
      </c>
      <c r="I31">
        <v>3.6</v>
      </c>
      <c r="J31">
        <v>2023</v>
      </c>
      <c r="K31" t="s">
        <v>33</v>
      </c>
      <c r="L31" t="s">
        <v>1111</v>
      </c>
      <c r="M31">
        <v>4</v>
      </c>
      <c r="N31">
        <v>63</v>
      </c>
      <c r="O31">
        <v>5634</v>
      </c>
      <c r="P31">
        <v>0.5</v>
      </c>
      <c r="Q31">
        <v>63</v>
      </c>
      <c r="R31">
        <v>0.5</v>
      </c>
      <c r="S31" t="s">
        <v>1055</v>
      </c>
      <c r="T31">
        <v>3</v>
      </c>
    </row>
    <row r="32" spans="1:20" x14ac:dyDescent="0.4">
      <c r="A32" t="s">
        <v>185</v>
      </c>
      <c r="B32" t="s">
        <v>11</v>
      </c>
      <c r="C32">
        <v>103</v>
      </c>
      <c r="D32" t="s">
        <v>27</v>
      </c>
      <c r="E32" s="23">
        <v>44987</v>
      </c>
      <c r="F32">
        <v>75</v>
      </c>
      <c r="G32">
        <v>3.8589371980676304</v>
      </c>
      <c r="H32" t="s">
        <v>1108</v>
      </c>
      <c r="I32">
        <v>2.7</v>
      </c>
      <c r="J32">
        <v>2023</v>
      </c>
      <c r="K32" t="s">
        <v>37</v>
      </c>
      <c r="L32" t="s">
        <v>1111</v>
      </c>
      <c r="M32">
        <v>3</v>
      </c>
      <c r="N32">
        <v>60</v>
      </c>
      <c r="O32">
        <v>5404</v>
      </c>
      <c r="P32">
        <v>0.8</v>
      </c>
      <c r="Q32">
        <v>60</v>
      </c>
      <c r="R32">
        <v>0.8</v>
      </c>
      <c r="S32" t="s">
        <v>1055</v>
      </c>
      <c r="T32">
        <v>3</v>
      </c>
    </row>
    <row r="33" spans="1:20" x14ac:dyDescent="0.4">
      <c r="A33" t="s">
        <v>196</v>
      </c>
      <c r="B33" t="s">
        <v>1</v>
      </c>
      <c r="C33">
        <v>11</v>
      </c>
      <c r="D33" t="s">
        <v>27</v>
      </c>
      <c r="E33" s="23">
        <v>44988</v>
      </c>
      <c r="F33">
        <v>25</v>
      </c>
      <c r="G33">
        <v>3.8589371980676304</v>
      </c>
      <c r="H33" t="s">
        <v>1108</v>
      </c>
      <c r="I33">
        <v>2.1</v>
      </c>
      <c r="J33">
        <v>2023</v>
      </c>
      <c r="K33" t="s">
        <v>45</v>
      </c>
      <c r="L33" t="s">
        <v>1110</v>
      </c>
      <c r="M33">
        <v>2</v>
      </c>
      <c r="N33">
        <v>50</v>
      </c>
      <c r="O33">
        <v>4804</v>
      </c>
      <c r="P33">
        <v>2</v>
      </c>
      <c r="Q33">
        <v>50</v>
      </c>
      <c r="R33">
        <v>2</v>
      </c>
      <c r="S33" t="s">
        <v>1055</v>
      </c>
      <c r="T33">
        <v>3</v>
      </c>
    </row>
    <row r="34" spans="1:20" x14ac:dyDescent="0.4">
      <c r="A34" t="s">
        <v>198</v>
      </c>
      <c r="B34" t="s">
        <v>8</v>
      </c>
      <c r="C34">
        <v>28</v>
      </c>
      <c r="D34" t="s">
        <v>27</v>
      </c>
      <c r="E34" s="23">
        <v>44988</v>
      </c>
      <c r="F34">
        <v>84</v>
      </c>
      <c r="G34">
        <v>3.8589371980676304</v>
      </c>
      <c r="H34" t="s">
        <v>1108</v>
      </c>
      <c r="I34">
        <v>3.2</v>
      </c>
      <c r="J34">
        <v>2023</v>
      </c>
      <c r="K34" t="s">
        <v>45</v>
      </c>
      <c r="L34" t="s">
        <v>1110</v>
      </c>
      <c r="M34">
        <v>3</v>
      </c>
      <c r="N34">
        <v>79</v>
      </c>
      <c r="O34">
        <v>7747</v>
      </c>
      <c r="P34">
        <v>0.94047619047619047</v>
      </c>
      <c r="Q34">
        <v>79</v>
      </c>
      <c r="R34">
        <v>0.94047619047619047</v>
      </c>
      <c r="S34" t="s">
        <v>1055</v>
      </c>
      <c r="T34">
        <v>3</v>
      </c>
    </row>
    <row r="35" spans="1:20" x14ac:dyDescent="0.4">
      <c r="A35" t="s">
        <v>201</v>
      </c>
      <c r="B35" t="s">
        <v>6</v>
      </c>
      <c r="C35">
        <v>101</v>
      </c>
      <c r="D35" t="s">
        <v>27</v>
      </c>
      <c r="E35" s="23">
        <v>44989</v>
      </c>
      <c r="F35">
        <v>128</v>
      </c>
      <c r="G35">
        <v>3.8589371980676304</v>
      </c>
      <c r="H35" t="s">
        <v>1108</v>
      </c>
      <c r="I35">
        <v>5</v>
      </c>
      <c r="J35">
        <v>2023</v>
      </c>
      <c r="K35" t="s">
        <v>48</v>
      </c>
      <c r="L35" t="s">
        <v>1111</v>
      </c>
      <c r="M35">
        <v>5</v>
      </c>
      <c r="N35">
        <v>82</v>
      </c>
      <c r="O35">
        <v>7689</v>
      </c>
      <c r="P35">
        <v>0.640625</v>
      </c>
      <c r="Q35">
        <v>82</v>
      </c>
      <c r="R35">
        <v>0.640625</v>
      </c>
      <c r="S35" t="s">
        <v>1055</v>
      </c>
      <c r="T35">
        <v>3</v>
      </c>
    </row>
    <row r="36" spans="1:20" x14ac:dyDescent="0.4">
      <c r="A36" t="s">
        <v>203</v>
      </c>
      <c r="B36" t="s">
        <v>26</v>
      </c>
      <c r="C36">
        <v>40</v>
      </c>
      <c r="D36" t="s">
        <v>27</v>
      </c>
      <c r="E36" s="23">
        <v>44990</v>
      </c>
      <c r="F36">
        <v>92</v>
      </c>
      <c r="G36">
        <v>3.8589371980676304</v>
      </c>
      <c r="H36" t="s">
        <v>1108</v>
      </c>
      <c r="I36">
        <v>4.7</v>
      </c>
      <c r="J36">
        <v>2023</v>
      </c>
      <c r="K36" t="s">
        <v>3</v>
      </c>
      <c r="L36" t="s">
        <v>1109</v>
      </c>
      <c r="M36">
        <v>5</v>
      </c>
      <c r="N36">
        <v>72</v>
      </c>
      <c r="O36">
        <v>6242</v>
      </c>
      <c r="P36">
        <v>0.78260869565217395</v>
      </c>
      <c r="Q36">
        <v>72</v>
      </c>
      <c r="R36">
        <v>0.78260869565217395</v>
      </c>
      <c r="S36" t="s">
        <v>1055</v>
      </c>
      <c r="T36">
        <v>3</v>
      </c>
    </row>
    <row r="37" spans="1:20" x14ac:dyDescent="0.4">
      <c r="A37" t="s">
        <v>207</v>
      </c>
      <c r="B37" t="s">
        <v>84</v>
      </c>
      <c r="C37">
        <v>71</v>
      </c>
      <c r="D37" t="s">
        <v>27</v>
      </c>
      <c r="E37" s="23">
        <v>44990</v>
      </c>
      <c r="F37">
        <v>102</v>
      </c>
      <c r="G37">
        <v>3.8589371980676304</v>
      </c>
      <c r="H37" t="s">
        <v>1108</v>
      </c>
      <c r="I37">
        <v>4.7</v>
      </c>
      <c r="J37">
        <v>2023</v>
      </c>
      <c r="K37" t="s">
        <v>3</v>
      </c>
      <c r="L37" t="s">
        <v>1111</v>
      </c>
      <c r="M37">
        <v>5</v>
      </c>
      <c r="N37">
        <v>59</v>
      </c>
      <c r="O37">
        <v>5009</v>
      </c>
      <c r="P37">
        <v>0.57843137254901966</v>
      </c>
      <c r="Q37">
        <v>59</v>
      </c>
      <c r="R37">
        <v>0.57843137254901966</v>
      </c>
      <c r="S37" t="s">
        <v>1055</v>
      </c>
      <c r="T37">
        <v>3</v>
      </c>
    </row>
    <row r="38" spans="1:20" x14ac:dyDescent="0.4">
      <c r="A38" t="s">
        <v>220</v>
      </c>
      <c r="B38" t="s">
        <v>64</v>
      </c>
      <c r="C38">
        <v>80</v>
      </c>
      <c r="D38" t="s">
        <v>27</v>
      </c>
      <c r="E38" s="23">
        <v>44992</v>
      </c>
      <c r="F38">
        <v>45</v>
      </c>
      <c r="G38">
        <v>3.8589371980676304</v>
      </c>
      <c r="H38" t="s">
        <v>1108</v>
      </c>
      <c r="I38">
        <v>3</v>
      </c>
      <c r="J38">
        <v>2023</v>
      </c>
      <c r="K38" t="s">
        <v>18</v>
      </c>
      <c r="L38" t="s">
        <v>1111</v>
      </c>
      <c r="M38">
        <v>3</v>
      </c>
      <c r="N38">
        <v>65</v>
      </c>
      <c r="O38">
        <v>6785</v>
      </c>
      <c r="P38">
        <v>1.4444444444444444</v>
      </c>
      <c r="Q38">
        <v>65</v>
      </c>
      <c r="R38">
        <v>1.4444444444444444</v>
      </c>
      <c r="S38" t="s">
        <v>1055</v>
      </c>
      <c r="T38">
        <v>3</v>
      </c>
    </row>
    <row r="39" spans="1:20" x14ac:dyDescent="0.4">
      <c r="A39" t="s">
        <v>223</v>
      </c>
      <c r="B39" t="s">
        <v>84</v>
      </c>
      <c r="C39">
        <v>75</v>
      </c>
      <c r="D39" t="s">
        <v>27</v>
      </c>
      <c r="E39" s="23">
        <v>44994</v>
      </c>
      <c r="F39">
        <v>195</v>
      </c>
      <c r="G39">
        <v>3.8589371980676304</v>
      </c>
      <c r="H39" t="s">
        <v>1108</v>
      </c>
      <c r="I39">
        <v>3</v>
      </c>
      <c r="J39">
        <v>2023</v>
      </c>
      <c r="K39" t="s">
        <v>37</v>
      </c>
      <c r="L39" t="s">
        <v>1111</v>
      </c>
      <c r="M39">
        <v>3</v>
      </c>
      <c r="N39">
        <v>59</v>
      </c>
      <c r="O39">
        <v>5009</v>
      </c>
      <c r="P39">
        <v>0.30256410256410254</v>
      </c>
      <c r="Q39">
        <v>59</v>
      </c>
      <c r="R39">
        <v>0.30256410256410254</v>
      </c>
      <c r="S39" t="s">
        <v>1055</v>
      </c>
      <c r="T39">
        <v>3</v>
      </c>
    </row>
    <row r="40" spans="1:20" x14ac:dyDescent="0.4">
      <c r="A40" t="s">
        <v>233</v>
      </c>
      <c r="B40" t="s">
        <v>64</v>
      </c>
      <c r="C40">
        <v>56</v>
      </c>
      <c r="D40" t="s">
        <v>27</v>
      </c>
      <c r="E40" s="23">
        <v>44996</v>
      </c>
      <c r="F40">
        <v>129</v>
      </c>
      <c r="G40">
        <v>3.8589371980676304</v>
      </c>
      <c r="H40" t="s">
        <v>1108</v>
      </c>
      <c r="I40">
        <v>2.1</v>
      </c>
      <c r="J40">
        <v>2023</v>
      </c>
      <c r="K40" t="s">
        <v>48</v>
      </c>
      <c r="L40" t="s">
        <v>1109</v>
      </c>
      <c r="M40">
        <v>2</v>
      </c>
      <c r="N40">
        <v>65</v>
      </c>
      <c r="O40">
        <v>6785</v>
      </c>
      <c r="P40">
        <v>0.50387596899224807</v>
      </c>
      <c r="Q40">
        <v>65</v>
      </c>
      <c r="R40">
        <v>0.50387596899224807</v>
      </c>
      <c r="S40" t="s">
        <v>1055</v>
      </c>
      <c r="T40">
        <v>3</v>
      </c>
    </row>
    <row r="41" spans="1:20" x14ac:dyDescent="0.4">
      <c r="A41" t="s">
        <v>238</v>
      </c>
      <c r="B41" t="s">
        <v>84</v>
      </c>
      <c r="C41">
        <v>6</v>
      </c>
      <c r="D41" t="s">
        <v>27</v>
      </c>
      <c r="E41" s="23">
        <v>44997</v>
      </c>
      <c r="F41">
        <v>29</v>
      </c>
      <c r="G41">
        <v>3.8589371980676304</v>
      </c>
      <c r="H41" t="s">
        <v>1108</v>
      </c>
      <c r="I41">
        <v>4.7</v>
      </c>
      <c r="J41">
        <v>2023</v>
      </c>
      <c r="K41" t="s">
        <v>3</v>
      </c>
      <c r="L41" t="s">
        <v>1113</v>
      </c>
      <c r="M41">
        <v>5</v>
      </c>
      <c r="N41">
        <v>59</v>
      </c>
      <c r="O41">
        <v>5009</v>
      </c>
      <c r="P41">
        <v>2.0344827586206895</v>
      </c>
      <c r="Q41">
        <v>59</v>
      </c>
      <c r="R41">
        <v>2.0344827586206895</v>
      </c>
      <c r="S41" t="s">
        <v>1055</v>
      </c>
      <c r="T41">
        <v>3</v>
      </c>
    </row>
    <row r="42" spans="1:20" x14ac:dyDescent="0.4">
      <c r="A42" t="s">
        <v>244</v>
      </c>
      <c r="B42" t="s">
        <v>8</v>
      </c>
      <c r="C42">
        <v>85</v>
      </c>
      <c r="D42" t="s">
        <v>27</v>
      </c>
      <c r="E42" s="23">
        <v>44998</v>
      </c>
      <c r="F42">
        <v>66</v>
      </c>
      <c r="G42">
        <v>3.8589371980676304</v>
      </c>
      <c r="H42" t="s">
        <v>1108</v>
      </c>
      <c r="I42">
        <v>2.8</v>
      </c>
      <c r="J42">
        <v>2023</v>
      </c>
      <c r="K42" t="s">
        <v>15</v>
      </c>
      <c r="L42" t="s">
        <v>1111</v>
      </c>
      <c r="M42">
        <v>3</v>
      </c>
      <c r="N42">
        <v>79</v>
      </c>
      <c r="O42">
        <v>7747</v>
      </c>
      <c r="P42">
        <v>1.196969696969697</v>
      </c>
      <c r="Q42">
        <v>79</v>
      </c>
      <c r="R42">
        <v>1.196969696969697</v>
      </c>
      <c r="S42" t="s">
        <v>1055</v>
      </c>
      <c r="T42">
        <v>3</v>
      </c>
    </row>
    <row r="43" spans="1:20" x14ac:dyDescent="0.4">
      <c r="A43" t="s">
        <v>249</v>
      </c>
      <c r="B43" t="s">
        <v>84</v>
      </c>
      <c r="C43">
        <v>65</v>
      </c>
      <c r="D43" t="s">
        <v>27</v>
      </c>
      <c r="E43" s="23">
        <v>44999</v>
      </c>
      <c r="F43">
        <v>84</v>
      </c>
      <c r="G43">
        <v>3.8589371980676304</v>
      </c>
      <c r="H43" t="s">
        <v>1108</v>
      </c>
      <c r="I43">
        <v>2.5</v>
      </c>
      <c r="J43">
        <v>2023</v>
      </c>
      <c r="K43" t="s">
        <v>18</v>
      </c>
      <c r="L43" t="s">
        <v>1111</v>
      </c>
      <c r="M43">
        <v>3</v>
      </c>
      <c r="N43">
        <v>59</v>
      </c>
      <c r="O43">
        <v>5009</v>
      </c>
      <c r="P43">
        <v>0.70238095238095233</v>
      </c>
      <c r="Q43">
        <v>59</v>
      </c>
      <c r="R43">
        <v>0.70238095238095233</v>
      </c>
      <c r="S43" t="s">
        <v>1055</v>
      </c>
      <c r="T43">
        <v>3</v>
      </c>
    </row>
    <row r="44" spans="1:20" x14ac:dyDescent="0.4">
      <c r="A44" t="s">
        <v>250</v>
      </c>
      <c r="B44" t="s">
        <v>32</v>
      </c>
      <c r="C44">
        <v>68</v>
      </c>
      <c r="D44" t="s">
        <v>27</v>
      </c>
      <c r="E44" s="23">
        <v>44999</v>
      </c>
      <c r="F44">
        <v>32</v>
      </c>
      <c r="G44">
        <v>3.8589371980676304</v>
      </c>
      <c r="H44" t="s">
        <v>1108</v>
      </c>
      <c r="I44">
        <v>4.9000000000000004</v>
      </c>
      <c r="J44">
        <v>2023</v>
      </c>
      <c r="K44" t="s">
        <v>18</v>
      </c>
      <c r="L44" t="s">
        <v>1111</v>
      </c>
      <c r="M44">
        <v>5</v>
      </c>
      <c r="N44">
        <v>63</v>
      </c>
      <c r="O44">
        <v>5634</v>
      </c>
      <c r="P44">
        <v>1.96875</v>
      </c>
      <c r="Q44">
        <v>63</v>
      </c>
      <c r="R44">
        <v>1.96875</v>
      </c>
      <c r="S44" t="s">
        <v>1055</v>
      </c>
      <c r="T44">
        <v>3</v>
      </c>
    </row>
    <row r="45" spans="1:20" x14ac:dyDescent="0.4">
      <c r="A45" t="s">
        <v>259</v>
      </c>
      <c r="B45" t="s">
        <v>13</v>
      </c>
      <c r="C45">
        <v>123</v>
      </c>
      <c r="D45" t="s">
        <v>27</v>
      </c>
      <c r="E45" s="23">
        <v>45000</v>
      </c>
      <c r="F45">
        <v>36</v>
      </c>
      <c r="G45">
        <v>3.8589371980676304</v>
      </c>
      <c r="H45" t="s">
        <v>1108</v>
      </c>
      <c r="I45">
        <v>3.6</v>
      </c>
      <c r="J45">
        <v>2023</v>
      </c>
      <c r="K45" t="s">
        <v>33</v>
      </c>
      <c r="L45" t="s">
        <v>1112</v>
      </c>
      <c r="M45">
        <v>4</v>
      </c>
      <c r="N45">
        <v>74</v>
      </c>
      <c r="O45">
        <v>6749</v>
      </c>
      <c r="P45">
        <v>2.0555555555555554</v>
      </c>
      <c r="Q45">
        <v>74</v>
      </c>
      <c r="R45">
        <v>2.0555555555555554</v>
      </c>
      <c r="S45" t="s">
        <v>1055</v>
      </c>
      <c r="T45">
        <v>3</v>
      </c>
    </row>
    <row r="46" spans="1:20" x14ac:dyDescent="0.4">
      <c r="A46" t="s">
        <v>272</v>
      </c>
      <c r="B46" t="s">
        <v>30</v>
      </c>
      <c r="C46">
        <v>75</v>
      </c>
      <c r="D46" t="s">
        <v>27</v>
      </c>
      <c r="E46" s="23">
        <v>45003</v>
      </c>
      <c r="F46">
        <v>32</v>
      </c>
      <c r="G46">
        <v>3.8589371980676304</v>
      </c>
      <c r="H46" t="s">
        <v>1108</v>
      </c>
      <c r="I46">
        <v>4.0999999999999996</v>
      </c>
      <c r="J46">
        <v>2023</v>
      </c>
      <c r="K46" t="s">
        <v>48</v>
      </c>
      <c r="L46" t="s">
        <v>1111</v>
      </c>
      <c r="M46">
        <v>4</v>
      </c>
      <c r="N46">
        <v>69</v>
      </c>
      <c r="O46">
        <v>7230</v>
      </c>
      <c r="P46">
        <v>2.15625</v>
      </c>
      <c r="Q46">
        <v>69</v>
      </c>
      <c r="R46">
        <v>2.15625</v>
      </c>
      <c r="S46" t="s">
        <v>1055</v>
      </c>
      <c r="T46">
        <v>3</v>
      </c>
    </row>
    <row r="47" spans="1:20" x14ac:dyDescent="0.4">
      <c r="A47" t="s">
        <v>283</v>
      </c>
      <c r="B47" t="s">
        <v>11</v>
      </c>
      <c r="C47">
        <v>88</v>
      </c>
      <c r="D47" t="s">
        <v>27</v>
      </c>
      <c r="E47" s="23">
        <v>45005</v>
      </c>
      <c r="F47">
        <v>144</v>
      </c>
      <c r="G47">
        <v>3.8589371980676304</v>
      </c>
      <c r="H47" t="s">
        <v>1108</v>
      </c>
      <c r="I47">
        <v>2.9</v>
      </c>
      <c r="J47">
        <v>2023</v>
      </c>
      <c r="K47" t="s">
        <v>15</v>
      </c>
      <c r="L47" t="s">
        <v>1111</v>
      </c>
      <c r="M47">
        <v>3</v>
      </c>
      <c r="N47">
        <v>60</v>
      </c>
      <c r="O47">
        <v>5404</v>
      </c>
      <c r="P47">
        <v>0.41666666666666669</v>
      </c>
      <c r="Q47">
        <v>60</v>
      </c>
      <c r="R47">
        <v>0.41666666666666669</v>
      </c>
      <c r="S47" t="s">
        <v>1055</v>
      </c>
      <c r="T47">
        <v>3</v>
      </c>
    </row>
    <row r="48" spans="1:20" x14ac:dyDescent="0.4">
      <c r="A48" t="s">
        <v>285</v>
      </c>
      <c r="B48" t="s">
        <v>11</v>
      </c>
      <c r="C48">
        <v>155</v>
      </c>
      <c r="D48" t="s">
        <v>27</v>
      </c>
      <c r="E48" s="23">
        <v>45006</v>
      </c>
      <c r="F48">
        <v>70</v>
      </c>
      <c r="G48">
        <v>3.8589371980676304</v>
      </c>
      <c r="H48" t="s">
        <v>1108</v>
      </c>
      <c r="I48">
        <v>4.4000000000000004</v>
      </c>
      <c r="J48">
        <v>2023</v>
      </c>
      <c r="K48" t="s">
        <v>18</v>
      </c>
      <c r="L48" t="s">
        <v>1112</v>
      </c>
      <c r="M48">
        <v>4</v>
      </c>
      <c r="N48">
        <v>60</v>
      </c>
      <c r="O48">
        <v>5404</v>
      </c>
      <c r="P48">
        <v>0.8571428571428571</v>
      </c>
      <c r="Q48">
        <v>60</v>
      </c>
      <c r="R48">
        <v>0.8571428571428571</v>
      </c>
      <c r="S48" t="s">
        <v>1055</v>
      </c>
      <c r="T48">
        <v>3</v>
      </c>
    </row>
    <row r="49" spans="1:20" x14ac:dyDescent="0.4">
      <c r="A49" t="s">
        <v>286</v>
      </c>
      <c r="B49" t="s">
        <v>6</v>
      </c>
      <c r="C49">
        <v>63</v>
      </c>
      <c r="D49" t="s">
        <v>27</v>
      </c>
      <c r="E49" s="23">
        <v>45006</v>
      </c>
      <c r="F49">
        <v>148</v>
      </c>
      <c r="G49">
        <v>3.8589371980676304</v>
      </c>
      <c r="H49" t="s">
        <v>1108</v>
      </c>
      <c r="I49">
        <v>5</v>
      </c>
      <c r="J49">
        <v>2023</v>
      </c>
      <c r="K49" t="s">
        <v>18</v>
      </c>
      <c r="L49" t="s">
        <v>1111</v>
      </c>
      <c r="M49">
        <v>5</v>
      </c>
      <c r="N49">
        <v>82</v>
      </c>
      <c r="O49">
        <v>7689</v>
      </c>
      <c r="P49">
        <v>0.55405405405405406</v>
      </c>
      <c r="Q49">
        <v>82</v>
      </c>
      <c r="R49">
        <v>0.55405405405405406</v>
      </c>
      <c r="S49" t="s">
        <v>1055</v>
      </c>
      <c r="T49">
        <v>3</v>
      </c>
    </row>
    <row r="50" spans="1:20" x14ac:dyDescent="0.4">
      <c r="A50" t="s">
        <v>292</v>
      </c>
      <c r="B50" t="s">
        <v>13</v>
      </c>
      <c r="C50">
        <v>63</v>
      </c>
      <c r="D50" t="s">
        <v>27</v>
      </c>
      <c r="E50" s="23">
        <v>45007</v>
      </c>
      <c r="F50">
        <v>87</v>
      </c>
      <c r="G50">
        <v>3.8589371980676304</v>
      </c>
      <c r="H50" t="s">
        <v>1108</v>
      </c>
      <c r="I50">
        <v>4.5999999999999996</v>
      </c>
      <c r="J50">
        <v>2023</v>
      </c>
      <c r="K50" t="s">
        <v>33</v>
      </c>
      <c r="L50" t="s">
        <v>1111</v>
      </c>
      <c r="M50">
        <v>5</v>
      </c>
      <c r="N50">
        <v>74</v>
      </c>
      <c r="O50">
        <v>6749</v>
      </c>
      <c r="P50">
        <v>0.85057471264367812</v>
      </c>
      <c r="Q50">
        <v>74</v>
      </c>
      <c r="R50">
        <v>0.85057471264367812</v>
      </c>
      <c r="S50" t="s">
        <v>1055</v>
      </c>
      <c r="T50">
        <v>3</v>
      </c>
    </row>
    <row r="51" spans="1:20" x14ac:dyDescent="0.4">
      <c r="A51" t="s">
        <v>294</v>
      </c>
      <c r="B51" t="s">
        <v>84</v>
      </c>
      <c r="C51">
        <v>129</v>
      </c>
      <c r="D51" t="s">
        <v>27</v>
      </c>
      <c r="E51" s="23">
        <v>45007</v>
      </c>
      <c r="F51">
        <v>120</v>
      </c>
      <c r="G51">
        <v>3.8589371980676304</v>
      </c>
      <c r="H51" t="s">
        <v>1108</v>
      </c>
      <c r="I51">
        <v>4.0999999999999996</v>
      </c>
      <c r="J51">
        <v>2023</v>
      </c>
      <c r="K51" t="s">
        <v>33</v>
      </c>
      <c r="L51" t="s">
        <v>1112</v>
      </c>
      <c r="M51">
        <v>4</v>
      </c>
      <c r="N51">
        <v>59</v>
      </c>
      <c r="O51">
        <v>5009</v>
      </c>
      <c r="P51">
        <v>0.49166666666666664</v>
      </c>
      <c r="Q51">
        <v>59</v>
      </c>
      <c r="R51">
        <v>0.49166666666666664</v>
      </c>
      <c r="S51" t="s">
        <v>1055</v>
      </c>
      <c r="T51">
        <v>3</v>
      </c>
    </row>
    <row r="52" spans="1:20" x14ac:dyDescent="0.4">
      <c r="A52" t="s">
        <v>300</v>
      </c>
      <c r="B52" t="s">
        <v>8</v>
      </c>
      <c r="C52">
        <v>93</v>
      </c>
      <c r="D52" t="s">
        <v>27</v>
      </c>
      <c r="E52" s="23">
        <v>45009</v>
      </c>
      <c r="F52">
        <v>72</v>
      </c>
      <c r="G52">
        <v>3.8589371980676304</v>
      </c>
      <c r="H52" t="s">
        <v>1108</v>
      </c>
      <c r="I52">
        <v>4.4000000000000004</v>
      </c>
      <c r="J52">
        <v>2023</v>
      </c>
      <c r="K52" t="s">
        <v>45</v>
      </c>
      <c r="L52" t="s">
        <v>1111</v>
      </c>
      <c r="M52">
        <v>4</v>
      </c>
      <c r="N52">
        <v>79</v>
      </c>
      <c r="O52">
        <v>7747</v>
      </c>
      <c r="P52">
        <v>1.0972222222222223</v>
      </c>
      <c r="Q52">
        <v>79</v>
      </c>
      <c r="R52">
        <v>1.0972222222222223</v>
      </c>
      <c r="S52" t="s">
        <v>1055</v>
      </c>
      <c r="T52">
        <v>3</v>
      </c>
    </row>
    <row r="53" spans="1:20" x14ac:dyDescent="0.4">
      <c r="A53" t="s">
        <v>303</v>
      </c>
      <c r="B53" t="s">
        <v>44</v>
      </c>
      <c r="C53">
        <v>69</v>
      </c>
      <c r="D53" t="s">
        <v>27</v>
      </c>
      <c r="E53" s="23">
        <v>45010</v>
      </c>
      <c r="F53">
        <v>126</v>
      </c>
      <c r="G53">
        <v>3.8589371980676304</v>
      </c>
      <c r="H53" t="s">
        <v>1108</v>
      </c>
      <c r="I53">
        <v>3.7</v>
      </c>
      <c r="J53">
        <v>2023</v>
      </c>
      <c r="K53" t="s">
        <v>48</v>
      </c>
      <c r="L53" t="s">
        <v>1111</v>
      </c>
      <c r="M53">
        <v>4</v>
      </c>
      <c r="N53">
        <v>62</v>
      </c>
      <c r="O53">
        <v>6176</v>
      </c>
      <c r="P53">
        <v>0.49206349206349204</v>
      </c>
      <c r="Q53">
        <v>62</v>
      </c>
      <c r="R53">
        <v>0.49206349206349204</v>
      </c>
      <c r="S53" t="s">
        <v>1055</v>
      </c>
      <c r="T53">
        <v>3</v>
      </c>
    </row>
    <row r="54" spans="1:20" x14ac:dyDescent="0.4">
      <c r="A54" t="s">
        <v>305</v>
      </c>
      <c r="B54" t="s">
        <v>54</v>
      </c>
      <c r="C54">
        <v>57</v>
      </c>
      <c r="D54" t="s">
        <v>27</v>
      </c>
      <c r="E54" s="23">
        <v>45010</v>
      </c>
      <c r="F54">
        <v>35</v>
      </c>
      <c r="G54">
        <v>3.8589371980676304</v>
      </c>
      <c r="H54" t="s">
        <v>1108</v>
      </c>
      <c r="I54">
        <v>3.5</v>
      </c>
      <c r="J54">
        <v>2023</v>
      </c>
      <c r="K54" t="s">
        <v>48</v>
      </c>
      <c r="L54" t="s">
        <v>1109</v>
      </c>
      <c r="M54">
        <v>4</v>
      </c>
      <c r="N54">
        <v>70</v>
      </c>
      <c r="O54">
        <v>6819</v>
      </c>
      <c r="P54">
        <v>2</v>
      </c>
      <c r="Q54">
        <v>70</v>
      </c>
      <c r="R54">
        <v>2</v>
      </c>
      <c r="S54" t="s">
        <v>1055</v>
      </c>
      <c r="T54">
        <v>3</v>
      </c>
    </row>
    <row r="55" spans="1:20" x14ac:dyDescent="0.4">
      <c r="A55" t="s">
        <v>316</v>
      </c>
      <c r="B55" t="s">
        <v>32</v>
      </c>
      <c r="C55">
        <v>141</v>
      </c>
      <c r="D55" t="s">
        <v>27</v>
      </c>
      <c r="E55" s="23">
        <v>45012</v>
      </c>
      <c r="F55">
        <v>80</v>
      </c>
      <c r="G55">
        <v>3.8589371980676304</v>
      </c>
      <c r="H55" t="s">
        <v>1108</v>
      </c>
      <c r="I55">
        <v>4.4000000000000004</v>
      </c>
      <c r="J55">
        <v>2023</v>
      </c>
      <c r="K55" t="s">
        <v>15</v>
      </c>
      <c r="L55" t="s">
        <v>1112</v>
      </c>
      <c r="M55">
        <v>4</v>
      </c>
      <c r="N55">
        <v>63</v>
      </c>
      <c r="O55">
        <v>5634</v>
      </c>
      <c r="P55">
        <v>0.78749999999999998</v>
      </c>
      <c r="Q55">
        <v>63</v>
      </c>
      <c r="R55">
        <v>0.78749999999999998</v>
      </c>
      <c r="S55" t="s">
        <v>1055</v>
      </c>
      <c r="T55">
        <v>3</v>
      </c>
    </row>
    <row r="56" spans="1:20" x14ac:dyDescent="0.4">
      <c r="A56" t="s">
        <v>323</v>
      </c>
      <c r="B56" t="s">
        <v>51</v>
      </c>
      <c r="C56">
        <v>59</v>
      </c>
      <c r="D56" t="s">
        <v>27</v>
      </c>
      <c r="E56" s="23">
        <v>45013</v>
      </c>
      <c r="F56">
        <v>210</v>
      </c>
      <c r="G56">
        <v>3.8589371980676304</v>
      </c>
      <c r="H56" t="s">
        <v>1108</v>
      </c>
      <c r="I56">
        <v>4.5</v>
      </c>
      <c r="J56">
        <v>2023</v>
      </c>
      <c r="K56" t="s">
        <v>18</v>
      </c>
      <c r="L56" t="s">
        <v>1109</v>
      </c>
      <c r="M56">
        <v>5</v>
      </c>
      <c r="N56">
        <v>59</v>
      </c>
      <c r="O56">
        <v>6518</v>
      </c>
      <c r="P56">
        <v>0.28095238095238095</v>
      </c>
      <c r="Q56">
        <v>59</v>
      </c>
      <c r="R56">
        <v>0.28095238095238095</v>
      </c>
      <c r="S56" t="s">
        <v>1055</v>
      </c>
      <c r="T56">
        <v>3</v>
      </c>
    </row>
    <row r="57" spans="1:20" x14ac:dyDescent="0.4">
      <c r="A57" t="s">
        <v>328</v>
      </c>
      <c r="B57" t="s">
        <v>64</v>
      </c>
      <c r="C57">
        <v>128</v>
      </c>
      <c r="D57" t="s">
        <v>27</v>
      </c>
      <c r="E57" s="23">
        <v>45014</v>
      </c>
      <c r="F57">
        <v>60</v>
      </c>
      <c r="G57">
        <v>3.8589371980676304</v>
      </c>
      <c r="H57" t="s">
        <v>1108</v>
      </c>
      <c r="I57">
        <v>3.8</v>
      </c>
      <c r="J57">
        <v>2023</v>
      </c>
      <c r="K57" t="s">
        <v>33</v>
      </c>
      <c r="L57" t="s">
        <v>1112</v>
      </c>
      <c r="M57">
        <v>4</v>
      </c>
      <c r="N57">
        <v>65</v>
      </c>
      <c r="O57">
        <v>6785</v>
      </c>
      <c r="P57">
        <v>1.0833333333333333</v>
      </c>
      <c r="Q57">
        <v>65</v>
      </c>
      <c r="R57">
        <v>1.0833333333333333</v>
      </c>
      <c r="S57" t="s">
        <v>1055</v>
      </c>
      <c r="T57">
        <v>3</v>
      </c>
    </row>
    <row r="58" spans="1:20" x14ac:dyDescent="0.4">
      <c r="A58" t="s">
        <v>338</v>
      </c>
      <c r="B58" t="s">
        <v>6</v>
      </c>
      <c r="C58">
        <v>95</v>
      </c>
      <c r="D58" t="s">
        <v>27</v>
      </c>
      <c r="E58" s="23">
        <v>45018</v>
      </c>
      <c r="F58">
        <v>52</v>
      </c>
      <c r="G58">
        <v>3.8589371980676304</v>
      </c>
      <c r="H58" t="s">
        <v>1108</v>
      </c>
      <c r="I58">
        <v>1.2</v>
      </c>
      <c r="J58">
        <v>2023</v>
      </c>
      <c r="K58" t="s">
        <v>3</v>
      </c>
      <c r="L58" t="s">
        <v>1111</v>
      </c>
      <c r="M58">
        <v>1</v>
      </c>
      <c r="N58">
        <v>82</v>
      </c>
      <c r="O58">
        <v>7689</v>
      </c>
      <c r="P58">
        <v>1.5769230769230769</v>
      </c>
      <c r="Q58">
        <v>82</v>
      </c>
      <c r="R58">
        <v>1.5769230769230769</v>
      </c>
      <c r="S58" t="s">
        <v>1056</v>
      </c>
      <c r="T58">
        <v>4</v>
      </c>
    </row>
    <row r="59" spans="1:20" x14ac:dyDescent="0.4">
      <c r="A59" t="s">
        <v>341</v>
      </c>
      <c r="B59" t="s">
        <v>44</v>
      </c>
      <c r="C59">
        <v>40</v>
      </c>
      <c r="D59" t="s">
        <v>27</v>
      </c>
      <c r="E59" s="23">
        <v>45019</v>
      </c>
      <c r="F59">
        <v>220</v>
      </c>
      <c r="G59">
        <v>3.8589371980676304</v>
      </c>
      <c r="H59" t="s">
        <v>1108</v>
      </c>
      <c r="I59">
        <v>4.5</v>
      </c>
      <c r="J59">
        <v>2023</v>
      </c>
      <c r="K59" t="s">
        <v>15</v>
      </c>
      <c r="L59" t="s">
        <v>1109</v>
      </c>
      <c r="M59">
        <v>5</v>
      </c>
      <c r="N59">
        <v>62</v>
      </c>
      <c r="O59">
        <v>6176</v>
      </c>
      <c r="P59">
        <v>0.2818181818181818</v>
      </c>
      <c r="Q59">
        <v>62</v>
      </c>
      <c r="R59">
        <v>0.2818181818181818</v>
      </c>
      <c r="S59" t="s">
        <v>1056</v>
      </c>
      <c r="T59">
        <v>4</v>
      </c>
    </row>
    <row r="60" spans="1:20" x14ac:dyDescent="0.4">
      <c r="A60" t="s">
        <v>346</v>
      </c>
      <c r="B60" t="s">
        <v>51</v>
      </c>
      <c r="C60">
        <v>130</v>
      </c>
      <c r="D60" t="s">
        <v>27</v>
      </c>
      <c r="E60" s="23">
        <v>45021</v>
      </c>
      <c r="F60">
        <v>54</v>
      </c>
      <c r="G60">
        <v>3.8589371980676304</v>
      </c>
      <c r="H60" t="s">
        <v>1108</v>
      </c>
      <c r="I60">
        <v>4.0999999999999996</v>
      </c>
      <c r="J60">
        <v>2023</v>
      </c>
      <c r="K60" t="s">
        <v>33</v>
      </c>
      <c r="L60" t="s">
        <v>1112</v>
      </c>
      <c r="M60">
        <v>4</v>
      </c>
      <c r="N60">
        <v>59</v>
      </c>
      <c r="O60">
        <v>6518</v>
      </c>
      <c r="P60">
        <v>1.0925925925925926</v>
      </c>
      <c r="Q60">
        <v>59</v>
      </c>
      <c r="R60">
        <v>1.0925925925925926</v>
      </c>
      <c r="S60" t="s">
        <v>1056</v>
      </c>
      <c r="T60">
        <v>4</v>
      </c>
    </row>
    <row r="61" spans="1:20" x14ac:dyDescent="0.4">
      <c r="A61" t="s">
        <v>351</v>
      </c>
      <c r="B61" t="s">
        <v>44</v>
      </c>
      <c r="C61">
        <v>158</v>
      </c>
      <c r="D61" t="s">
        <v>27</v>
      </c>
      <c r="E61" s="23">
        <v>45022</v>
      </c>
      <c r="F61">
        <v>100</v>
      </c>
      <c r="G61">
        <v>3.8589371980676304</v>
      </c>
      <c r="H61" t="s">
        <v>1108</v>
      </c>
      <c r="I61">
        <v>4.0999999999999996</v>
      </c>
      <c r="J61">
        <v>2023</v>
      </c>
      <c r="K61" t="s">
        <v>37</v>
      </c>
      <c r="L61" t="s">
        <v>1112</v>
      </c>
      <c r="M61">
        <v>4</v>
      </c>
      <c r="N61">
        <v>62</v>
      </c>
      <c r="O61">
        <v>6176</v>
      </c>
      <c r="P61">
        <v>0.62</v>
      </c>
      <c r="Q61">
        <v>62</v>
      </c>
      <c r="R61">
        <v>0.62</v>
      </c>
      <c r="S61" t="s">
        <v>1056</v>
      </c>
      <c r="T61">
        <v>4</v>
      </c>
    </row>
    <row r="62" spans="1:20" x14ac:dyDescent="0.4">
      <c r="A62" t="s">
        <v>352</v>
      </c>
      <c r="B62" t="s">
        <v>40</v>
      </c>
      <c r="C62">
        <v>110</v>
      </c>
      <c r="D62" t="s">
        <v>27</v>
      </c>
      <c r="E62" s="23">
        <v>45023</v>
      </c>
      <c r="F62">
        <v>36</v>
      </c>
      <c r="G62">
        <v>3.8589371980676304</v>
      </c>
      <c r="H62" t="s">
        <v>1108</v>
      </c>
      <c r="I62">
        <v>2.2000000000000002</v>
      </c>
      <c r="J62">
        <v>2023</v>
      </c>
      <c r="K62" t="s">
        <v>45</v>
      </c>
      <c r="L62" t="s">
        <v>1111</v>
      </c>
      <c r="M62">
        <v>2</v>
      </c>
      <c r="N62">
        <v>69</v>
      </c>
      <c r="O62">
        <v>6601</v>
      </c>
      <c r="P62">
        <v>1.9166666666666667</v>
      </c>
      <c r="Q62">
        <v>69</v>
      </c>
      <c r="R62">
        <v>1.9166666666666667</v>
      </c>
      <c r="S62" t="s">
        <v>1056</v>
      </c>
      <c r="T62">
        <v>4</v>
      </c>
    </row>
    <row r="63" spans="1:20" x14ac:dyDescent="0.4">
      <c r="A63" t="s">
        <v>353</v>
      </c>
      <c r="B63" t="s">
        <v>64</v>
      </c>
      <c r="C63">
        <v>70</v>
      </c>
      <c r="D63" t="s">
        <v>27</v>
      </c>
      <c r="E63" s="23">
        <v>45023</v>
      </c>
      <c r="F63">
        <v>114</v>
      </c>
      <c r="G63">
        <v>3.8589371980676304</v>
      </c>
      <c r="H63" t="s">
        <v>1108</v>
      </c>
      <c r="I63">
        <v>5</v>
      </c>
      <c r="J63">
        <v>2023</v>
      </c>
      <c r="K63" t="s">
        <v>45</v>
      </c>
      <c r="L63" t="s">
        <v>1111</v>
      </c>
      <c r="M63">
        <v>5</v>
      </c>
      <c r="N63">
        <v>65</v>
      </c>
      <c r="O63">
        <v>6785</v>
      </c>
      <c r="P63">
        <v>0.57017543859649122</v>
      </c>
      <c r="Q63">
        <v>65</v>
      </c>
      <c r="R63">
        <v>0.57017543859649122</v>
      </c>
      <c r="S63" t="s">
        <v>1056</v>
      </c>
      <c r="T63">
        <v>4</v>
      </c>
    </row>
    <row r="64" spans="1:20" x14ac:dyDescent="0.4">
      <c r="A64" t="s">
        <v>359</v>
      </c>
      <c r="B64" t="s">
        <v>40</v>
      </c>
      <c r="C64">
        <v>23</v>
      </c>
      <c r="D64" t="s">
        <v>27</v>
      </c>
      <c r="E64" s="23">
        <v>45023</v>
      </c>
      <c r="F64">
        <v>117</v>
      </c>
      <c r="G64">
        <v>3.8589371980676304</v>
      </c>
      <c r="H64" t="s">
        <v>1108</v>
      </c>
      <c r="I64">
        <v>2.4</v>
      </c>
      <c r="J64">
        <v>2023</v>
      </c>
      <c r="K64" t="s">
        <v>45</v>
      </c>
      <c r="L64" t="s">
        <v>1110</v>
      </c>
      <c r="M64">
        <v>2</v>
      </c>
      <c r="N64">
        <v>69</v>
      </c>
      <c r="O64">
        <v>6601</v>
      </c>
      <c r="P64">
        <v>0.58974358974358976</v>
      </c>
      <c r="Q64">
        <v>69</v>
      </c>
      <c r="R64">
        <v>0.58974358974358976</v>
      </c>
      <c r="S64" t="s">
        <v>1056</v>
      </c>
      <c r="T64">
        <v>4</v>
      </c>
    </row>
    <row r="65" spans="1:20" x14ac:dyDescent="0.4">
      <c r="A65" t="s">
        <v>363</v>
      </c>
      <c r="B65" t="s">
        <v>54</v>
      </c>
      <c r="C65">
        <v>8</v>
      </c>
      <c r="D65" t="s">
        <v>27</v>
      </c>
      <c r="E65" s="23">
        <v>45024</v>
      </c>
      <c r="F65">
        <v>20</v>
      </c>
      <c r="G65">
        <v>3.8589371980676304</v>
      </c>
      <c r="H65" t="s">
        <v>1108</v>
      </c>
      <c r="I65">
        <v>4.8</v>
      </c>
      <c r="J65">
        <v>2023</v>
      </c>
      <c r="K65" t="s">
        <v>48</v>
      </c>
      <c r="L65" t="s">
        <v>1113</v>
      </c>
      <c r="M65">
        <v>5</v>
      </c>
      <c r="N65">
        <v>70</v>
      </c>
      <c r="O65">
        <v>6819</v>
      </c>
      <c r="P65">
        <v>3.5</v>
      </c>
      <c r="Q65">
        <v>70</v>
      </c>
      <c r="R65">
        <v>3.5</v>
      </c>
      <c r="S65" t="s">
        <v>1056</v>
      </c>
      <c r="T65">
        <v>4</v>
      </c>
    </row>
    <row r="66" spans="1:20" x14ac:dyDescent="0.4">
      <c r="A66" t="s">
        <v>379</v>
      </c>
      <c r="B66" t="s">
        <v>54</v>
      </c>
      <c r="C66">
        <v>53</v>
      </c>
      <c r="D66" t="s">
        <v>27</v>
      </c>
      <c r="E66" s="23">
        <v>45028</v>
      </c>
      <c r="F66">
        <v>23</v>
      </c>
      <c r="G66">
        <v>3.8589371980676304</v>
      </c>
      <c r="H66" t="s">
        <v>1108</v>
      </c>
      <c r="I66">
        <v>4.9000000000000004</v>
      </c>
      <c r="J66">
        <v>2023</v>
      </c>
      <c r="K66" t="s">
        <v>33</v>
      </c>
      <c r="L66" t="s">
        <v>1109</v>
      </c>
      <c r="M66">
        <v>5</v>
      </c>
      <c r="N66">
        <v>70</v>
      </c>
      <c r="O66">
        <v>6819</v>
      </c>
      <c r="P66">
        <v>3.0434782608695654</v>
      </c>
      <c r="Q66">
        <v>70</v>
      </c>
      <c r="R66">
        <v>3.0434782608695654</v>
      </c>
      <c r="S66" t="s">
        <v>1056</v>
      </c>
      <c r="T66">
        <v>4</v>
      </c>
    </row>
    <row r="67" spans="1:20" x14ac:dyDescent="0.4">
      <c r="A67" t="s">
        <v>394</v>
      </c>
      <c r="B67" t="s">
        <v>64</v>
      </c>
      <c r="C67">
        <v>17</v>
      </c>
      <c r="D67" t="s">
        <v>27</v>
      </c>
      <c r="E67" s="23">
        <v>45031</v>
      </c>
      <c r="F67">
        <v>69</v>
      </c>
      <c r="G67">
        <v>3.8589371980676304</v>
      </c>
      <c r="H67" t="s">
        <v>1108</v>
      </c>
      <c r="I67">
        <v>4.5999999999999996</v>
      </c>
      <c r="J67">
        <v>2023</v>
      </c>
      <c r="K67" t="s">
        <v>48</v>
      </c>
      <c r="L67" t="s">
        <v>1110</v>
      </c>
      <c r="M67">
        <v>5</v>
      </c>
      <c r="N67">
        <v>65</v>
      </c>
      <c r="O67">
        <v>6785</v>
      </c>
      <c r="P67">
        <v>0.94202898550724634</v>
      </c>
      <c r="Q67">
        <v>65</v>
      </c>
      <c r="R67">
        <v>0.94202898550724634</v>
      </c>
      <c r="S67" t="s">
        <v>1056</v>
      </c>
      <c r="T67">
        <v>4</v>
      </c>
    </row>
    <row r="68" spans="1:20" x14ac:dyDescent="0.4">
      <c r="A68" t="s">
        <v>395</v>
      </c>
      <c r="B68" t="s">
        <v>44</v>
      </c>
      <c r="C68">
        <v>128</v>
      </c>
      <c r="D68" t="s">
        <v>27</v>
      </c>
      <c r="E68" s="23">
        <v>45031</v>
      </c>
      <c r="F68">
        <v>140</v>
      </c>
      <c r="G68">
        <v>3.8589371980676304</v>
      </c>
      <c r="H68" t="s">
        <v>1108</v>
      </c>
      <c r="I68">
        <v>3</v>
      </c>
      <c r="J68">
        <v>2023</v>
      </c>
      <c r="K68" t="s">
        <v>48</v>
      </c>
      <c r="L68" t="s">
        <v>1112</v>
      </c>
      <c r="M68">
        <v>3</v>
      </c>
      <c r="N68">
        <v>62</v>
      </c>
      <c r="O68">
        <v>6176</v>
      </c>
      <c r="P68">
        <v>0.44285714285714284</v>
      </c>
      <c r="Q68">
        <v>62</v>
      </c>
      <c r="R68">
        <v>0.44285714285714284</v>
      </c>
      <c r="S68" t="s">
        <v>1056</v>
      </c>
      <c r="T68">
        <v>4</v>
      </c>
    </row>
    <row r="69" spans="1:20" x14ac:dyDescent="0.4">
      <c r="A69" t="s">
        <v>397</v>
      </c>
      <c r="B69" t="s">
        <v>64</v>
      </c>
      <c r="C69">
        <v>41</v>
      </c>
      <c r="D69" t="s">
        <v>27</v>
      </c>
      <c r="E69" s="23">
        <v>45032</v>
      </c>
      <c r="F69">
        <v>164</v>
      </c>
      <c r="G69">
        <v>3.8589371980676304</v>
      </c>
      <c r="H69" t="s">
        <v>1108</v>
      </c>
      <c r="I69">
        <v>3.1</v>
      </c>
      <c r="J69">
        <v>2023</v>
      </c>
      <c r="K69" t="s">
        <v>3</v>
      </c>
      <c r="L69" t="s">
        <v>1109</v>
      </c>
      <c r="M69">
        <v>3</v>
      </c>
      <c r="N69">
        <v>65</v>
      </c>
      <c r="O69">
        <v>6785</v>
      </c>
      <c r="P69">
        <v>0.39634146341463417</v>
      </c>
      <c r="Q69">
        <v>65</v>
      </c>
      <c r="R69">
        <v>0.39634146341463417</v>
      </c>
      <c r="S69" t="s">
        <v>1056</v>
      </c>
      <c r="T69">
        <v>4</v>
      </c>
    </row>
    <row r="70" spans="1:20" x14ac:dyDescent="0.4">
      <c r="A70" t="s">
        <v>398</v>
      </c>
      <c r="B70" t="s">
        <v>32</v>
      </c>
      <c r="C70">
        <v>49</v>
      </c>
      <c r="D70" t="s">
        <v>27</v>
      </c>
      <c r="E70" s="23">
        <v>45032</v>
      </c>
      <c r="F70">
        <v>195</v>
      </c>
      <c r="G70">
        <v>3.8589371980676304</v>
      </c>
      <c r="H70" t="s">
        <v>1108</v>
      </c>
      <c r="I70">
        <v>2.6</v>
      </c>
      <c r="J70">
        <v>2023</v>
      </c>
      <c r="K70" t="s">
        <v>3</v>
      </c>
      <c r="L70" t="s">
        <v>1109</v>
      </c>
      <c r="M70">
        <v>3</v>
      </c>
      <c r="N70">
        <v>63</v>
      </c>
      <c r="O70">
        <v>5634</v>
      </c>
      <c r="P70">
        <v>0.32307692307692309</v>
      </c>
      <c r="Q70">
        <v>63</v>
      </c>
      <c r="R70">
        <v>0.32307692307692309</v>
      </c>
      <c r="S70" t="s">
        <v>1056</v>
      </c>
      <c r="T70">
        <v>4</v>
      </c>
    </row>
    <row r="71" spans="1:20" x14ac:dyDescent="0.4">
      <c r="A71" t="s">
        <v>405</v>
      </c>
      <c r="B71" t="s">
        <v>8</v>
      </c>
      <c r="C71">
        <v>105</v>
      </c>
      <c r="D71" t="s">
        <v>27</v>
      </c>
      <c r="E71" s="23">
        <v>45033</v>
      </c>
      <c r="F71">
        <v>35</v>
      </c>
      <c r="G71">
        <v>3.8589371980676304</v>
      </c>
      <c r="H71" t="s">
        <v>1108</v>
      </c>
      <c r="I71">
        <v>4.4000000000000004</v>
      </c>
      <c r="J71">
        <v>2023</v>
      </c>
      <c r="K71" t="s">
        <v>15</v>
      </c>
      <c r="L71" t="s">
        <v>1111</v>
      </c>
      <c r="M71">
        <v>4</v>
      </c>
      <c r="N71">
        <v>79</v>
      </c>
      <c r="O71">
        <v>7747</v>
      </c>
      <c r="P71">
        <v>2.2571428571428571</v>
      </c>
      <c r="Q71">
        <v>79</v>
      </c>
      <c r="R71">
        <v>2.2571428571428571</v>
      </c>
      <c r="S71" t="s">
        <v>1056</v>
      </c>
      <c r="T71">
        <v>4</v>
      </c>
    </row>
    <row r="72" spans="1:20" x14ac:dyDescent="0.4">
      <c r="A72" t="s">
        <v>413</v>
      </c>
      <c r="B72" t="s">
        <v>1</v>
      </c>
      <c r="C72">
        <v>120</v>
      </c>
      <c r="D72" t="s">
        <v>27</v>
      </c>
      <c r="E72" s="23">
        <v>45035</v>
      </c>
      <c r="F72">
        <v>26</v>
      </c>
      <c r="G72">
        <v>3.8589371980676304</v>
      </c>
      <c r="H72" t="s">
        <v>1108</v>
      </c>
      <c r="I72">
        <v>4</v>
      </c>
      <c r="J72">
        <v>2023</v>
      </c>
      <c r="K72" t="s">
        <v>33</v>
      </c>
      <c r="L72" t="s">
        <v>1111</v>
      </c>
      <c r="M72">
        <v>4</v>
      </c>
      <c r="N72">
        <v>50</v>
      </c>
      <c r="O72">
        <v>4804</v>
      </c>
      <c r="P72">
        <v>1.9230769230769231</v>
      </c>
      <c r="Q72">
        <v>50</v>
      </c>
      <c r="R72">
        <v>1.9230769230769231</v>
      </c>
      <c r="S72" t="s">
        <v>1056</v>
      </c>
      <c r="T72">
        <v>4</v>
      </c>
    </row>
    <row r="73" spans="1:20" x14ac:dyDescent="0.4">
      <c r="A73" t="s">
        <v>415</v>
      </c>
      <c r="B73" t="s">
        <v>11</v>
      </c>
      <c r="C73">
        <v>60</v>
      </c>
      <c r="D73" t="s">
        <v>27</v>
      </c>
      <c r="E73" s="23">
        <v>45035</v>
      </c>
      <c r="F73">
        <v>84</v>
      </c>
      <c r="G73">
        <v>3.8589371980676304</v>
      </c>
      <c r="H73" t="s">
        <v>1108</v>
      </c>
      <c r="I73">
        <v>4.8</v>
      </c>
      <c r="J73">
        <v>2023</v>
      </c>
      <c r="K73" t="s">
        <v>33</v>
      </c>
      <c r="L73" t="s">
        <v>1109</v>
      </c>
      <c r="M73">
        <v>5</v>
      </c>
      <c r="N73">
        <v>60</v>
      </c>
      <c r="O73">
        <v>5404</v>
      </c>
      <c r="P73">
        <v>0.7142857142857143</v>
      </c>
      <c r="Q73">
        <v>60</v>
      </c>
      <c r="R73">
        <v>0.7142857142857143</v>
      </c>
      <c r="S73" t="s">
        <v>1056</v>
      </c>
      <c r="T73">
        <v>4</v>
      </c>
    </row>
    <row r="74" spans="1:20" x14ac:dyDescent="0.4">
      <c r="A74" t="s">
        <v>423</v>
      </c>
      <c r="B74" t="s">
        <v>44</v>
      </c>
      <c r="C74">
        <v>61</v>
      </c>
      <c r="D74" t="s">
        <v>27</v>
      </c>
      <c r="E74" s="23">
        <v>45037</v>
      </c>
      <c r="F74">
        <v>38</v>
      </c>
      <c r="G74">
        <v>3.8589371980676304</v>
      </c>
      <c r="H74" t="s">
        <v>1108</v>
      </c>
      <c r="I74">
        <v>4.8</v>
      </c>
      <c r="J74">
        <v>2023</v>
      </c>
      <c r="K74" t="s">
        <v>45</v>
      </c>
      <c r="L74" t="s">
        <v>1111</v>
      </c>
      <c r="M74">
        <v>5</v>
      </c>
      <c r="N74">
        <v>62</v>
      </c>
      <c r="O74">
        <v>6176</v>
      </c>
      <c r="P74">
        <v>1.631578947368421</v>
      </c>
      <c r="Q74">
        <v>62</v>
      </c>
      <c r="R74">
        <v>1.631578947368421</v>
      </c>
      <c r="S74" t="s">
        <v>1056</v>
      </c>
      <c r="T74">
        <v>4</v>
      </c>
    </row>
    <row r="75" spans="1:20" x14ac:dyDescent="0.4">
      <c r="A75" t="s">
        <v>426</v>
      </c>
      <c r="B75" t="s">
        <v>32</v>
      </c>
      <c r="C75">
        <v>24</v>
      </c>
      <c r="D75" t="s">
        <v>27</v>
      </c>
      <c r="E75" s="23">
        <v>45037</v>
      </c>
      <c r="F75">
        <v>74</v>
      </c>
      <c r="G75">
        <v>3.8589371980676304</v>
      </c>
      <c r="H75" t="s">
        <v>1108</v>
      </c>
      <c r="I75">
        <v>4.8</v>
      </c>
      <c r="J75">
        <v>2023</v>
      </c>
      <c r="K75" t="s">
        <v>45</v>
      </c>
      <c r="L75" t="s">
        <v>1110</v>
      </c>
      <c r="M75">
        <v>5</v>
      </c>
      <c r="N75">
        <v>63</v>
      </c>
      <c r="O75">
        <v>5634</v>
      </c>
      <c r="P75">
        <v>0.85135135135135132</v>
      </c>
      <c r="Q75">
        <v>63</v>
      </c>
      <c r="R75">
        <v>0.85135135135135132</v>
      </c>
      <c r="S75" t="s">
        <v>1056</v>
      </c>
      <c r="T75">
        <v>4</v>
      </c>
    </row>
    <row r="76" spans="1:20" x14ac:dyDescent="0.4">
      <c r="A76" t="s">
        <v>437</v>
      </c>
      <c r="B76" t="s">
        <v>21</v>
      </c>
      <c r="C76">
        <v>88</v>
      </c>
      <c r="D76" t="s">
        <v>27</v>
      </c>
      <c r="E76" s="23">
        <v>45039</v>
      </c>
      <c r="F76">
        <v>72</v>
      </c>
      <c r="G76">
        <v>3.8589371980676304</v>
      </c>
      <c r="H76" t="s">
        <v>1108</v>
      </c>
      <c r="I76">
        <v>4</v>
      </c>
      <c r="J76">
        <v>2023</v>
      </c>
      <c r="K76" t="s">
        <v>3</v>
      </c>
      <c r="L76" t="s">
        <v>1111</v>
      </c>
      <c r="M76">
        <v>4</v>
      </c>
      <c r="N76">
        <v>67</v>
      </c>
      <c r="O76">
        <v>7216</v>
      </c>
      <c r="P76">
        <v>0.93055555555555558</v>
      </c>
      <c r="Q76">
        <v>67</v>
      </c>
      <c r="R76">
        <v>0.93055555555555558</v>
      </c>
      <c r="S76" t="s">
        <v>1056</v>
      </c>
      <c r="T76">
        <v>4</v>
      </c>
    </row>
    <row r="77" spans="1:20" x14ac:dyDescent="0.4">
      <c r="A77" t="s">
        <v>442</v>
      </c>
      <c r="B77" t="s">
        <v>26</v>
      </c>
      <c r="C77">
        <v>131</v>
      </c>
      <c r="D77" t="s">
        <v>27</v>
      </c>
      <c r="E77" s="23">
        <v>45040</v>
      </c>
      <c r="F77">
        <v>41</v>
      </c>
      <c r="G77">
        <v>3.8589371980676304</v>
      </c>
      <c r="H77" t="s">
        <v>1108</v>
      </c>
      <c r="I77">
        <v>4.9000000000000004</v>
      </c>
      <c r="J77">
        <v>2023</v>
      </c>
      <c r="K77" t="s">
        <v>15</v>
      </c>
      <c r="L77" t="s">
        <v>1112</v>
      </c>
      <c r="M77">
        <v>5</v>
      </c>
      <c r="N77">
        <v>72</v>
      </c>
      <c r="O77">
        <v>6242</v>
      </c>
      <c r="P77">
        <v>1.7560975609756098</v>
      </c>
      <c r="Q77">
        <v>72</v>
      </c>
      <c r="R77">
        <v>1.7560975609756098</v>
      </c>
      <c r="S77" t="s">
        <v>1056</v>
      </c>
      <c r="T77">
        <v>4</v>
      </c>
    </row>
    <row r="78" spans="1:20" x14ac:dyDescent="0.4">
      <c r="A78" t="s">
        <v>443</v>
      </c>
      <c r="B78" t="s">
        <v>8</v>
      </c>
      <c r="C78">
        <v>27</v>
      </c>
      <c r="D78" t="s">
        <v>27</v>
      </c>
      <c r="E78" s="23">
        <v>45040</v>
      </c>
      <c r="F78">
        <v>74</v>
      </c>
      <c r="G78">
        <v>3.8589371980676304</v>
      </c>
      <c r="H78" t="s">
        <v>1108</v>
      </c>
      <c r="I78">
        <v>4</v>
      </c>
      <c r="J78">
        <v>2023</v>
      </c>
      <c r="K78" t="s">
        <v>15</v>
      </c>
      <c r="L78" t="s">
        <v>1110</v>
      </c>
      <c r="M78">
        <v>4</v>
      </c>
      <c r="N78">
        <v>79</v>
      </c>
      <c r="O78">
        <v>7747</v>
      </c>
      <c r="P78">
        <v>1.0675675675675675</v>
      </c>
      <c r="Q78">
        <v>79</v>
      </c>
      <c r="R78">
        <v>1.0675675675675675</v>
      </c>
      <c r="S78" t="s">
        <v>1056</v>
      </c>
      <c r="T78">
        <v>4</v>
      </c>
    </row>
    <row r="79" spans="1:20" x14ac:dyDescent="0.4">
      <c r="A79" t="s">
        <v>445</v>
      </c>
      <c r="B79" t="s">
        <v>44</v>
      </c>
      <c r="C79">
        <v>123</v>
      </c>
      <c r="D79" t="s">
        <v>27</v>
      </c>
      <c r="E79" s="23">
        <v>45040</v>
      </c>
      <c r="F79">
        <v>128</v>
      </c>
      <c r="G79">
        <v>3.8589371980676304</v>
      </c>
      <c r="H79" t="s">
        <v>1108</v>
      </c>
      <c r="I79">
        <v>3.6</v>
      </c>
      <c r="J79">
        <v>2023</v>
      </c>
      <c r="K79" t="s">
        <v>15</v>
      </c>
      <c r="L79" t="s">
        <v>1112</v>
      </c>
      <c r="M79">
        <v>4</v>
      </c>
      <c r="N79">
        <v>62</v>
      </c>
      <c r="O79">
        <v>6176</v>
      </c>
      <c r="P79">
        <v>0.484375</v>
      </c>
      <c r="Q79">
        <v>62</v>
      </c>
      <c r="R79">
        <v>0.484375</v>
      </c>
      <c r="S79" t="s">
        <v>1056</v>
      </c>
      <c r="T79">
        <v>4</v>
      </c>
    </row>
    <row r="80" spans="1:20" x14ac:dyDescent="0.4">
      <c r="A80" t="s">
        <v>446</v>
      </c>
      <c r="B80" t="s">
        <v>1</v>
      </c>
      <c r="C80">
        <v>129</v>
      </c>
      <c r="D80" t="s">
        <v>27</v>
      </c>
      <c r="E80" s="23">
        <v>45041</v>
      </c>
      <c r="F80">
        <v>144</v>
      </c>
      <c r="G80">
        <v>3.8589371980676304</v>
      </c>
      <c r="H80" t="s">
        <v>1108</v>
      </c>
      <c r="I80">
        <v>4.0999999999999996</v>
      </c>
      <c r="J80">
        <v>2023</v>
      </c>
      <c r="K80" t="s">
        <v>18</v>
      </c>
      <c r="L80" t="s">
        <v>1112</v>
      </c>
      <c r="M80">
        <v>4</v>
      </c>
      <c r="N80">
        <v>50</v>
      </c>
      <c r="O80">
        <v>4804</v>
      </c>
      <c r="P80">
        <v>0.34722222222222221</v>
      </c>
      <c r="Q80">
        <v>50</v>
      </c>
      <c r="R80">
        <v>0.34722222222222221</v>
      </c>
      <c r="S80" t="s">
        <v>1056</v>
      </c>
      <c r="T80">
        <v>4</v>
      </c>
    </row>
    <row r="81" spans="1:20" x14ac:dyDescent="0.4">
      <c r="A81" t="s">
        <v>461</v>
      </c>
      <c r="B81" t="s">
        <v>32</v>
      </c>
      <c r="C81">
        <v>135</v>
      </c>
      <c r="D81" t="s">
        <v>27</v>
      </c>
      <c r="E81" s="23">
        <v>45045</v>
      </c>
      <c r="F81">
        <v>125</v>
      </c>
      <c r="G81">
        <v>3.8589371980676304</v>
      </c>
      <c r="H81" t="s">
        <v>1108</v>
      </c>
      <c r="I81">
        <v>3.3</v>
      </c>
      <c r="J81">
        <v>2023</v>
      </c>
      <c r="K81" t="s">
        <v>48</v>
      </c>
      <c r="L81" t="s">
        <v>1112</v>
      </c>
      <c r="M81">
        <v>3</v>
      </c>
      <c r="N81">
        <v>63</v>
      </c>
      <c r="O81">
        <v>5634</v>
      </c>
      <c r="P81">
        <v>0.504</v>
      </c>
      <c r="Q81">
        <v>63</v>
      </c>
      <c r="R81">
        <v>0.504</v>
      </c>
      <c r="S81" t="s">
        <v>1056</v>
      </c>
      <c r="T81">
        <v>4</v>
      </c>
    </row>
    <row r="82" spans="1:20" x14ac:dyDescent="0.4">
      <c r="A82" t="s">
        <v>470</v>
      </c>
      <c r="B82" t="s">
        <v>6</v>
      </c>
      <c r="C82">
        <v>112</v>
      </c>
      <c r="D82" t="s">
        <v>27</v>
      </c>
      <c r="E82" s="23">
        <v>45047</v>
      </c>
      <c r="F82">
        <v>84</v>
      </c>
      <c r="G82">
        <v>3.8589371980676304</v>
      </c>
      <c r="H82" t="s">
        <v>1108</v>
      </c>
      <c r="I82">
        <v>2.6</v>
      </c>
      <c r="J82">
        <v>2023</v>
      </c>
      <c r="K82" t="s">
        <v>15</v>
      </c>
      <c r="L82" t="s">
        <v>1111</v>
      </c>
      <c r="M82">
        <v>3</v>
      </c>
      <c r="N82">
        <v>82</v>
      </c>
      <c r="O82">
        <v>7689</v>
      </c>
      <c r="P82">
        <v>0.97619047619047616</v>
      </c>
      <c r="Q82">
        <v>82</v>
      </c>
      <c r="R82">
        <v>0.97619047619047616</v>
      </c>
      <c r="S82" t="s">
        <v>1057</v>
      </c>
      <c r="T82">
        <v>5</v>
      </c>
    </row>
    <row r="83" spans="1:20" x14ac:dyDescent="0.4">
      <c r="A83" t="s">
        <v>475</v>
      </c>
      <c r="B83" t="s">
        <v>30</v>
      </c>
      <c r="C83">
        <v>41</v>
      </c>
      <c r="D83" t="s">
        <v>27</v>
      </c>
      <c r="E83" s="23">
        <v>45048</v>
      </c>
      <c r="F83">
        <v>123</v>
      </c>
      <c r="G83">
        <v>3.8589371980676304</v>
      </c>
      <c r="H83" t="s">
        <v>1108</v>
      </c>
      <c r="I83">
        <v>3.2</v>
      </c>
      <c r="J83">
        <v>2023</v>
      </c>
      <c r="K83" t="s">
        <v>18</v>
      </c>
      <c r="L83" t="s">
        <v>1109</v>
      </c>
      <c r="M83">
        <v>3</v>
      </c>
      <c r="N83">
        <v>69</v>
      </c>
      <c r="O83">
        <v>7230</v>
      </c>
      <c r="P83">
        <v>0.56097560975609762</v>
      </c>
      <c r="Q83">
        <v>69</v>
      </c>
      <c r="R83">
        <v>0.56097560975609762</v>
      </c>
      <c r="S83" t="s">
        <v>1057</v>
      </c>
      <c r="T83">
        <v>5</v>
      </c>
    </row>
    <row r="84" spans="1:20" x14ac:dyDescent="0.4">
      <c r="A84" t="s">
        <v>478</v>
      </c>
      <c r="B84" t="s">
        <v>40</v>
      </c>
      <c r="C84">
        <v>61</v>
      </c>
      <c r="D84" t="s">
        <v>27</v>
      </c>
      <c r="E84" s="23">
        <v>45049</v>
      </c>
      <c r="F84">
        <v>115</v>
      </c>
      <c r="G84">
        <v>3.8589371980676304</v>
      </c>
      <c r="H84" t="s">
        <v>1108</v>
      </c>
      <c r="I84">
        <v>3.7</v>
      </c>
      <c r="J84">
        <v>2023</v>
      </c>
      <c r="K84" t="s">
        <v>33</v>
      </c>
      <c r="L84" t="s">
        <v>1111</v>
      </c>
      <c r="M84">
        <v>4</v>
      </c>
      <c r="N84">
        <v>69</v>
      </c>
      <c r="O84">
        <v>6601</v>
      </c>
      <c r="P84">
        <v>0.6</v>
      </c>
      <c r="Q84">
        <v>69</v>
      </c>
      <c r="R84">
        <v>0.6</v>
      </c>
      <c r="S84" t="s">
        <v>1057</v>
      </c>
      <c r="T84">
        <v>5</v>
      </c>
    </row>
    <row r="85" spans="1:20" x14ac:dyDescent="0.4">
      <c r="A85" t="s">
        <v>479</v>
      </c>
      <c r="B85" t="s">
        <v>1</v>
      </c>
      <c r="C85">
        <v>91</v>
      </c>
      <c r="D85" t="s">
        <v>27</v>
      </c>
      <c r="E85" s="23">
        <v>45049</v>
      </c>
      <c r="F85">
        <v>124</v>
      </c>
      <c r="G85">
        <v>3.8589371980676304</v>
      </c>
      <c r="H85" t="s">
        <v>1108</v>
      </c>
      <c r="I85">
        <v>3.9</v>
      </c>
      <c r="J85">
        <v>2023</v>
      </c>
      <c r="K85" t="s">
        <v>33</v>
      </c>
      <c r="L85" t="s">
        <v>1111</v>
      </c>
      <c r="M85">
        <v>4</v>
      </c>
      <c r="N85">
        <v>50</v>
      </c>
      <c r="O85">
        <v>4804</v>
      </c>
      <c r="P85">
        <v>0.40322580645161288</v>
      </c>
      <c r="Q85">
        <v>50</v>
      </c>
      <c r="R85">
        <v>0.40322580645161288</v>
      </c>
      <c r="S85" t="s">
        <v>1057</v>
      </c>
      <c r="T85">
        <v>5</v>
      </c>
    </row>
    <row r="86" spans="1:20" x14ac:dyDescent="0.4">
      <c r="A86" t="s">
        <v>480</v>
      </c>
      <c r="B86" t="s">
        <v>64</v>
      </c>
      <c r="C86">
        <v>30</v>
      </c>
      <c r="D86" t="s">
        <v>27</v>
      </c>
      <c r="E86" s="23">
        <v>45050</v>
      </c>
      <c r="F86">
        <v>205</v>
      </c>
      <c r="G86">
        <v>3.8589371980676304</v>
      </c>
      <c r="H86" t="s">
        <v>1108</v>
      </c>
      <c r="I86">
        <v>4.5</v>
      </c>
      <c r="J86">
        <v>2023</v>
      </c>
      <c r="K86" t="s">
        <v>37</v>
      </c>
      <c r="L86" t="s">
        <v>1110</v>
      </c>
      <c r="M86">
        <v>5</v>
      </c>
      <c r="N86">
        <v>65</v>
      </c>
      <c r="O86">
        <v>6785</v>
      </c>
      <c r="P86">
        <v>0.31707317073170732</v>
      </c>
      <c r="Q86">
        <v>65</v>
      </c>
      <c r="R86">
        <v>0.31707317073170732</v>
      </c>
      <c r="S86" t="s">
        <v>1057</v>
      </c>
      <c r="T86">
        <v>5</v>
      </c>
    </row>
    <row r="87" spans="1:20" x14ac:dyDescent="0.4">
      <c r="A87" t="s">
        <v>489</v>
      </c>
      <c r="B87" t="s">
        <v>1</v>
      </c>
      <c r="C87">
        <v>114</v>
      </c>
      <c r="D87" t="s">
        <v>27</v>
      </c>
      <c r="E87" s="23">
        <v>45054</v>
      </c>
      <c r="F87">
        <v>105</v>
      </c>
      <c r="G87">
        <v>3.8589371980676304</v>
      </c>
      <c r="H87" t="s">
        <v>1108</v>
      </c>
      <c r="I87">
        <v>4.9000000000000004</v>
      </c>
      <c r="J87">
        <v>2023</v>
      </c>
      <c r="K87" t="s">
        <v>15</v>
      </c>
      <c r="L87" t="s">
        <v>1111</v>
      </c>
      <c r="M87">
        <v>5</v>
      </c>
      <c r="N87">
        <v>50</v>
      </c>
      <c r="O87">
        <v>4804</v>
      </c>
      <c r="P87">
        <v>0.47619047619047616</v>
      </c>
      <c r="Q87">
        <v>50</v>
      </c>
      <c r="R87">
        <v>0.47619047619047616</v>
      </c>
      <c r="S87" t="s">
        <v>1057</v>
      </c>
      <c r="T87">
        <v>5</v>
      </c>
    </row>
    <row r="88" spans="1:20" x14ac:dyDescent="0.4">
      <c r="A88" t="s">
        <v>492</v>
      </c>
      <c r="B88" t="s">
        <v>13</v>
      </c>
      <c r="C88">
        <v>44</v>
      </c>
      <c r="D88" t="s">
        <v>27</v>
      </c>
      <c r="E88" s="23">
        <v>45054</v>
      </c>
      <c r="F88">
        <v>63</v>
      </c>
      <c r="G88">
        <v>3.8589371980676304</v>
      </c>
      <c r="H88" t="s">
        <v>1108</v>
      </c>
      <c r="I88">
        <v>3.5</v>
      </c>
      <c r="J88">
        <v>2023</v>
      </c>
      <c r="K88" t="s">
        <v>15</v>
      </c>
      <c r="L88" t="s">
        <v>1109</v>
      </c>
      <c r="M88">
        <v>4</v>
      </c>
      <c r="N88">
        <v>74</v>
      </c>
      <c r="O88">
        <v>6749</v>
      </c>
      <c r="P88">
        <v>1.1746031746031746</v>
      </c>
      <c r="Q88">
        <v>74</v>
      </c>
      <c r="R88">
        <v>1.1746031746031746</v>
      </c>
      <c r="S88" t="s">
        <v>1057</v>
      </c>
      <c r="T88">
        <v>5</v>
      </c>
    </row>
    <row r="89" spans="1:20" x14ac:dyDescent="0.4">
      <c r="A89" t="s">
        <v>498</v>
      </c>
      <c r="B89" t="s">
        <v>13</v>
      </c>
      <c r="C89">
        <v>144</v>
      </c>
      <c r="D89" t="s">
        <v>27</v>
      </c>
      <c r="E89" s="23">
        <v>45058</v>
      </c>
      <c r="F89">
        <v>62</v>
      </c>
      <c r="G89">
        <v>3.8589371980676304</v>
      </c>
      <c r="H89" t="s">
        <v>1108</v>
      </c>
      <c r="I89">
        <v>4.8</v>
      </c>
      <c r="J89">
        <v>2023</v>
      </c>
      <c r="K89" t="s">
        <v>45</v>
      </c>
      <c r="L89" t="s">
        <v>1112</v>
      </c>
      <c r="M89">
        <v>5</v>
      </c>
      <c r="N89">
        <v>74</v>
      </c>
      <c r="O89">
        <v>6749</v>
      </c>
      <c r="P89">
        <v>1.1935483870967742</v>
      </c>
      <c r="Q89">
        <v>74</v>
      </c>
      <c r="R89">
        <v>1.1935483870967742</v>
      </c>
      <c r="S89" t="s">
        <v>1057</v>
      </c>
      <c r="T89">
        <v>5</v>
      </c>
    </row>
    <row r="90" spans="1:20" x14ac:dyDescent="0.4">
      <c r="A90" t="s">
        <v>510</v>
      </c>
      <c r="B90" t="s">
        <v>26</v>
      </c>
      <c r="C90">
        <v>19</v>
      </c>
      <c r="D90" t="s">
        <v>27</v>
      </c>
      <c r="E90" s="23">
        <v>45064</v>
      </c>
      <c r="F90">
        <v>132</v>
      </c>
      <c r="G90">
        <v>3.8589371980676304</v>
      </c>
      <c r="H90" t="s">
        <v>1108</v>
      </c>
      <c r="I90">
        <v>4.3</v>
      </c>
      <c r="J90">
        <v>2023</v>
      </c>
      <c r="K90" t="s">
        <v>37</v>
      </c>
      <c r="L90" t="s">
        <v>1110</v>
      </c>
      <c r="M90">
        <v>4</v>
      </c>
      <c r="N90">
        <v>72</v>
      </c>
      <c r="O90">
        <v>6242</v>
      </c>
      <c r="P90">
        <v>0.54545454545454541</v>
      </c>
      <c r="Q90">
        <v>72</v>
      </c>
      <c r="R90">
        <v>0.54545454545454541</v>
      </c>
      <c r="S90" t="s">
        <v>1057</v>
      </c>
      <c r="T90">
        <v>5</v>
      </c>
    </row>
    <row r="91" spans="1:20" x14ac:dyDescent="0.4">
      <c r="A91" t="s">
        <v>511</v>
      </c>
      <c r="B91" t="s">
        <v>40</v>
      </c>
      <c r="C91">
        <v>104</v>
      </c>
      <c r="D91" t="s">
        <v>27</v>
      </c>
      <c r="E91" s="23">
        <v>45065</v>
      </c>
      <c r="F91">
        <v>68</v>
      </c>
      <c r="G91">
        <v>3.8589371980676304</v>
      </c>
      <c r="H91" t="s">
        <v>1108</v>
      </c>
      <c r="I91">
        <v>3.7</v>
      </c>
      <c r="J91">
        <v>2023</v>
      </c>
      <c r="K91" t="s">
        <v>45</v>
      </c>
      <c r="L91" t="s">
        <v>1111</v>
      </c>
      <c r="M91">
        <v>4</v>
      </c>
      <c r="N91">
        <v>69</v>
      </c>
      <c r="O91">
        <v>6601</v>
      </c>
      <c r="P91">
        <v>1.0147058823529411</v>
      </c>
      <c r="Q91">
        <v>69</v>
      </c>
      <c r="R91">
        <v>1.0147058823529411</v>
      </c>
      <c r="S91" t="s">
        <v>1057</v>
      </c>
      <c r="T91">
        <v>5</v>
      </c>
    </row>
    <row r="92" spans="1:20" x14ac:dyDescent="0.4">
      <c r="A92" t="s">
        <v>513</v>
      </c>
      <c r="B92" t="s">
        <v>54</v>
      </c>
      <c r="C92">
        <v>107</v>
      </c>
      <c r="D92" t="s">
        <v>27</v>
      </c>
      <c r="E92" s="23">
        <v>45067</v>
      </c>
      <c r="F92">
        <v>115</v>
      </c>
      <c r="G92">
        <v>3.8589371980676304</v>
      </c>
      <c r="H92" t="s">
        <v>1108</v>
      </c>
      <c r="I92">
        <v>4.9000000000000004</v>
      </c>
      <c r="J92">
        <v>2023</v>
      </c>
      <c r="K92" t="s">
        <v>3</v>
      </c>
      <c r="L92" t="s">
        <v>1111</v>
      </c>
      <c r="M92">
        <v>5</v>
      </c>
      <c r="N92">
        <v>70</v>
      </c>
      <c r="O92">
        <v>6819</v>
      </c>
      <c r="P92">
        <v>0.60869565217391308</v>
      </c>
      <c r="Q92">
        <v>70</v>
      </c>
      <c r="R92">
        <v>0.60869565217391308</v>
      </c>
      <c r="S92" t="s">
        <v>1057</v>
      </c>
      <c r="T92">
        <v>5</v>
      </c>
    </row>
    <row r="93" spans="1:20" x14ac:dyDescent="0.4">
      <c r="A93" t="s">
        <v>514</v>
      </c>
      <c r="B93" t="s">
        <v>54</v>
      </c>
      <c r="C93">
        <v>93</v>
      </c>
      <c r="D93" t="s">
        <v>27</v>
      </c>
      <c r="E93" s="23">
        <v>45067</v>
      </c>
      <c r="F93">
        <v>128</v>
      </c>
      <c r="G93">
        <v>3.8589371980676304</v>
      </c>
      <c r="H93" t="s">
        <v>1108</v>
      </c>
      <c r="I93">
        <v>3.9</v>
      </c>
      <c r="J93">
        <v>2023</v>
      </c>
      <c r="K93" t="s">
        <v>3</v>
      </c>
      <c r="L93" t="s">
        <v>1111</v>
      </c>
      <c r="M93">
        <v>4</v>
      </c>
      <c r="N93">
        <v>70</v>
      </c>
      <c r="O93">
        <v>6819</v>
      </c>
      <c r="P93">
        <v>0.546875</v>
      </c>
      <c r="Q93">
        <v>70</v>
      </c>
      <c r="R93">
        <v>0.546875</v>
      </c>
      <c r="S93" t="s">
        <v>1057</v>
      </c>
      <c r="T93">
        <v>5</v>
      </c>
    </row>
    <row r="94" spans="1:20" x14ac:dyDescent="0.4">
      <c r="A94" t="s">
        <v>517</v>
      </c>
      <c r="B94" t="s">
        <v>26</v>
      </c>
      <c r="C94">
        <v>64</v>
      </c>
      <c r="D94" t="s">
        <v>27</v>
      </c>
      <c r="E94" s="23">
        <v>45068</v>
      </c>
      <c r="F94">
        <v>132</v>
      </c>
      <c r="G94">
        <v>3.8589371980676304</v>
      </c>
      <c r="H94" t="s">
        <v>1108</v>
      </c>
      <c r="I94">
        <v>3.3</v>
      </c>
      <c r="J94">
        <v>2023</v>
      </c>
      <c r="K94" t="s">
        <v>15</v>
      </c>
      <c r="L94" t="s">
        <v>1111</v>
      </c>
      <c r="M94">
        <v>3</v>
      </c>
      <c r="N94">
        <v>72</v>
      </c>
      <c r="O94">
        <v>6242</v>
      </c>
      <c r="P94">
        <v>0.54545454545454541</v>
      </c>
      <c r="Q94">
        <v>72</v>
      </c>
      <c r="R94">
        <v>0.54545454545454541</v>
      </c>
      <c r="S94" t="s">
        <v>1057</v>
      </c>
      <c r="T94">
        <v>5</v>
      </c>
    </row>
    <row r="95" spans="1:20" x14ac:dyDescent="0.4">
      <c r="A95" t="s">
        <v>518</v>
      </c>
      <c r="B95" t="s">
        <v>13</v>
      </c>
      <c r="C95">
        <v>33</v>
      </c>
      <c r="D95" t="s">
        <v>27</v>
      </c>
      <c r="E95" s="23">
        <v>45068</v>
      </c>
      <c r="F95">
        <v>170</v>
      </c>
      <c r="G95">
        <v>3.8589371980676304</v>
      </c>
      <c r="H95" t="s">
        <v>1108</v>
      </c>
      <c r="I95">
        <v>3.8</v>
      </c>
      <c r="J95">
        <v>2023</v>
      </c>
      <c r="K95" t="s">
        <v>15</v>
      </c>
      <c r="L95" t="s">
        <v>1109</v>
      </c>
      <c r="M95">
        <v>4</v>
      </c>
      <c r="N95">
        <v>74</v>
      </c>
      <c r="O95">
        <v>6749</v>
      </c>
      <c r="P95">
        <v>0.43529411764705883</v>
      </c>
      <c r="Q95">
        <v>74</v>
      </c>
      <c r="R95">
        <v>0.43529411764705883</v>
      </c>
      <c r="S95" t="s">
        <v>1057</v>
      </c>
      <c r="T95">
        <v>5</v>
      </c>
    </row>
    <row r="96" spans="1:20" x14ac:dyDescent="0.4">
      <c r="A96" t="s">
        <v>524</v>
      </c>
      <c r="B96" t="s">
        <v>44</v>
      </c>
      <c r="C96">
        <v>133</v>
      </c>
      <c r="D96" t="s">
        <v>27</v>
      </c>
      <c r="E96" s="23">
        <v>45070</v>
      </c>
      <c r="F96">
        <v>31</v>
      </c>
      <c r="G96">
        <v>3.8589371980676304</v>
      </c>
      <c r="H96" t="s">
        <v>1108</v>
      </c>
      <c r="I96">
        <v>3.7</v>
      </c>
      <c r="J96">
        <v>2023</v>
      </c>
      <c r="K96" t="s">
        <v>33</v>
      </c>
      <c r="L96" t="s">
        <v>1112</v>
      </c>
      <c r="M96">
        <v>4</v>
      </c>
      <c r="N96">
        <v>62</v>
      </c>
      <c r="O96">
        <v>6176</v>
      </c>
      <c r="P96">
        <v>2</v>
      </c>
      <c r="Q96">
        <v>62</v>
      </c>
      <c r="R96">
        <v>2</v>
      </c>
      <c r="S96" t="s">
        <v>1057</v>
      </c>
      <c r="T96">
        <v>5</v>
      </c>
    </row>
    <row r="97" spans="1:20" x14ac:dyDescent="0.4">
      <c r="A97" t="s">
        <v>527</v>
      </c>
      <c r="B97" t="s">
        <v>13</v>
      </c>
      <c r="C97">
        <v>146</v>
      </c>
      <c r="D97" t="s">
        <v>27</v>
      </c>
      <c r="E97" s="23">
        <v>45071</v>
      </c>
      <c r="F97">
        <v>123</v>
      </c>
      <c r="G97">
        <v>3.8589371980676304</v>
      </c>
      <c r="H97" t="s">
        <v>1108</v>
      </c>
      <c r="I97">
        <v>4.3</v>
      </c>
      <c r="J97">
        <v>2023</v>
      </c>
      <c r="K97" t="s">
        <v>37</v>
      </c>
      <c r="L97" t="s">
        <v>1112</v>
      </c>
      <c r="M97">
        <v>4</v>
      </c>
      <c r="N97">
        <v>74</v>
      </c>
      <c r="O97">
        <v>6749</v>
      </c>
      <c r="P97">
        <v>0.60162601626016265</v>
      </c>
      <c r="Q97">
        <v>74</v>
      </c>
      <c r="R97">
        <v>0.60162601626016265</v>
      </c>
      <c r="S97" t="s">
        <v>1057</v>
      </c>
      <c r="T97">
        <v>5</v>
      </c>
    </row>
    <row r="98" spans="1:20" x14ac:dyDescent="0.4">
      <c r="A98" t="s">
        <v>528</v>
      </c>
      <c r="B98" t="s">
        <v>84</v>
      </c>
      <c r="C98">
        <v>148</v>
      </c>
      <c r="D98" t="s">
        <v>27</v>
      </c>
      <c r="E98" s="23">
        <v>45071</v>
      </c>
      <c r="F98">
        <v>36</v>
      </c>
      <c r="G98">
        <v>3.8589371980676304</v>
      </c>
      <c r="H98" t="s">
        <v>1108</v>
      </c>
      <c r="I98">
        <v>2.9</v>
      </c>
      <c r="J98">
        <v>2023</v>
      </c>
      <c r="K98" t="s">
        <v>37</v>
      </c>
      <c r="L98" t="s">
        <v>1112</v>
      </c>
      <c r="M98">
        <v>3</v>
      </c>
      <c r="N98">
        <v>59</v>
      </c>
      <c r="O98">
        <v>5009</v>
      </c>
      <c r="P98">
        <v>1.6388888888888888</v>
      </c>
      <c r="Q98">
        <v>59</v>
      </c>
      <c r="R98">
        <v>1.6388888888888888</v>
      </c>
      <c r="S98" t="s">
        <v>1057</v>
      </c>
      <c r="T98">
        <v>5</v>
      </c>
    </row>
    <row r="99" spans="1:20" x14ac:dyDescent="0.4">
      <c r="A99" t="s">
        <v>529</v>
      </c>
      <c r="B99" t="s">
        <v>30</v>
      </c>
      <c r="C99">
        <v>81</v>
      </c>
      <c r="D99" t="s">
        <v>27</v>
      </c>
      <c r="E99" s="23">
        <v>45071</v>
      </c>
      <c r="F99">
        <v>116</v>
      </c>
      <c r="G99">
        <v>3.8589371980676304</v>
      </c>
      <c r="H99" t="s">
        <v>1108</v>
      </c>
      <c r="I99">
        <v>4.3</v>
      </c>
      <c r="J99">
        <v>2023</v>
      </c>
      <c r="K99" t="s">
        <v>37</v>
      </c>
      <c r="L99" t="s">
        <v>1111</v>
      </c>
      <c r="M99">
        <v>4</v>
      </c>
      <c r="N99">
        <v>69</v>
      </c>
      <c r="O99">
        <v>7230</v>
      </c>
      <c r="P99">
        <v>0.59482758620689657</v>
      </c>
      <c r="Q99">
        <v>69</v>
      </c>
      <c r="R99">
        <v>0.59482758620689657</v>
      </c>
      <c r="S99" t="s">
        <v>1057</v>
      </c>
      <c r="T99">
        <v>5</v>
      </c>
    </row>
    <row r="100" spans="1:20" x14ac:dyDescent="0.4">
      <c r="A100" t="s">
        <v>530</v>
      </c>
      <c r="B100" t="s">
        <v>40</v>
      </c>
      <c r="C100">
        <v>115</v>
      </c>
      <c r="D100" t="s">
        <v>27</v>
      </c>
      <c r="E100" s="23">
        <v>45071</v>
      </c>
      <c r="F100">
        <v>40</v>
      </c>
      <c r="G100">
        <v>3.8589371980676304</v>
      </c>
      <c r="H100" t="s">
        <v>1108</v>
      </c>
      <c r="I100">
        <v>4.9000000000000004</v>
      </c>
      <c r="J100">
        <v>2023</v>
      </c>
      <c r="K100" t="s">
        <v>37</v>
      </c>
      <c r="L100" t="s">
        <v>1111</v>
      </c>
      <c r="M100">
        <v>5</v>
      </c>
      <c r="N100">
        <v>69</v>
      </c>
      <c r="O100">
        <v>6601</v>
      </c>
      <c r="P100">
        <v>1.7250000000000001</v>
      </c>
      <c r="Q100">
        <v>69</v>
      </c>
      <c r="R100">
        <v>1.7250000000000001</v>
      </c>
      <c r="S100" t="s">
        <v>1057</v>
      </c>
      <c r="T100">
        <v>5</v>
      </c>
    </row>
    <row r="101" spans="1:20" x14ac:dyDescent="0.4">
      <c r="A101" t="s">
        <v>541</v>
      </c>
      <c r="B101" t="s">
        <v>26</v>
      </c>
      <c r="C101">
        <v>122</v>
      </c>
      <c r="D101" t="s">
        <v>27</v>
      </c>
      <c r="E101" s="23">
        <v>45074</v>
      </c>
      <c r="F101">
        <v>45</v>
      </c>
      <c r="G101">
        <v>3.8589371980676304</v>
      </c>
      <c r="H101" t="s">
        <v>1108</v>
      </c>
      <c r="I101">
        <v>4.2</v>
      </c>
      <c r="J101">
        <v>2023</v>
      </c>
      <c r="K101" t="s">
        <v>3</v>
      </c>
      <c r="L101" t="s">
        <v>1112</v>
      </c>
      <c r="M101">
        <v>4</v>
      </c>
      <c r="N101">
        <v>72</v>
      </c>
      <c r="O101">
        <v>6242</v>
      </c>
      <c r="P101">
        <v>1.6</v>
      </c>
      <c r="Q101">
        <v>72</v>
      </c>
      <c r="R101">
        <v>1.6</v>
      </c>
      <c r="S101" t="s">
        <v>1057</v>
      </c>
      <c r="T101">
        <v>5</v>
      </c>
    </row>
    <row r="102" spans="1:20" x14ac:dyDescent="0.4">
      <c r="A102" t="s">
        <v>545</v>
      </c>
      <c r="B102" t="s">
        <v>26</v>
      </c>
      <c r="C102">
        <v>134</v>
      </c>
      <c r="D102" t="s">
        <v>27</v>
      </c>
      <c r="E102" s="23">
        <v>45076</v>
      </c>
      <c r="F102">
        <v>120</v>
      </c>
      <c r="G102">
        <v>3.8589371980676304</v>
      </c>
      <c r="H102" t="s">
        <v>1108</v>
      </c>
      <c r="I102">
        <v>3</v>
      </c>
      <c r="J102">
        <v>2023</v>
      </c>
      <c r="K102" t="s">
        <v>18</v>
      </c>
      <c r="L102" t="s">
        <v>1112</v>
      </c>
      <c r="M102">
        <v>3</v>
      </c>
      <c r="N102">
        <v>72</v>
      </c>
      <c r="O102">
        <v>6242</v>
      </c>
      <c r="P102">
        <v>0.6</v>
      </c>
      <c r="Q102">
        <v>72</v>
      </c>
      <c r="R102">
        <v>0.6</v>
      </c>
      <c r="S102" t="s">
        <v>1057</v>
      </c>
      <c r="T102">
        <v>5</v>
      </c>
    </row>
    <row r="103" spans="1:20" x14ac:dyDescent="0.4">
      <c r="A103" t="s">
        <v>548</v>
      </c>
      <c r="B103" t="s">
        <v>44</v>
      </c>
      <c r="C103">
        <v>95</v>
      </c>
      <c r="D103" t="s">
        <v>27</v>
      </c>
      <c r="E103" s="23">
        <v>45076</v>
      </c>
      <c r="F103">
        <v>86</v>
      </c>
      <c r="G103">
        <v>3.8589371980676304</v>
      </c>
      <c r="H103" t="s">
        <v>1108</v>
      </c>
      <c r="I103">
        <v>3.6</v>
      </c>
      <c r="J103">
        <v>2023</v>
      </c>
      <c r="K103" t="s">
        <v>18</v>
      </c>
      <c r="L103" t="s">
        <v>1111</v>
      </c>
      <c r="M103">
        <v>4</v>
      </c>
      <c r="N103">
        <v>62</v>
      </c>
      <c r="O103">
        <v>6176</v>
      </c>
      <c r="P103">
        <v>0.72093023255813948</v>
      </c>
      <c r="Q103">
        <v>62</v>
      </c>
      <c r="R103">
        <v>0.72093023255813948</v>
      </c>
      <c r="S103" t="s">
        <v>1057</v>
      </c>
      <c r="T103">
        <v>5</v>
      </c>
    </row>
    <row r="104" spans="1:20" x14ac:dyDescent="0.4">
      <c r="A104" t="s">
        <v>549</v>
      </c>
      <c r="B104" t="s">
        <v>26</v>
      </c>
      <c r="C104">
        <v>106</v>
      </c>
      <c r="D104" t="s">
        <v>27</v>
      </c>
      <c r="E104" s="23">
        <v>45077</v>
      </c>
      <c r="F104">
        <v>120</v>
      </c>
      <c r="G104">
        <v>3.8589371980676304</v>
      </c>
      <c r="H104" t="s">
        <v>1108</v>
      </c>
      <c r="I104">
        <v>4.0999999999999996</v>
      </c>
      <c r="J104">
        <v>2023</v>
      </c>
      <c r="K104" t="s">
        <v>33</v>
      </c>
      <c r="L104" t="s">
        <v>1111</v>
      </c>
      <c r="M104">
        <v>4</v>
      </c>
      <c r="N104">
        <v>72</v>
      </c>
      <c r="O104">
        <v>6242</v>
      </c>
      <c r="P104">
        <v>0.6</v>
      </c>
      <c r="Q104">
        <v>72</v>
      </c>
      <c r="R104">
        <v>0.6</v>
      </c>
      <c r="S104" t="s">
        <v>1057</v>
      </c>
      <c r="T104">
        <v>5</v>
      </c>
    </row>
    <row r="105" spans="1:20" x14ac:dyDescent="0.4">
      <c r="A105" t="s">
        <v>553</v>
      </c>
      <c r="B105" t="s">
        <v>30</v>
      </c>
      <c r="C105">
        <v>111</v>
      </c>
      <c r="D105" t="s">
        <v>27</v>
      </c>
      <c r="E105" s="23">
        <v>45078</v>
      </c>
      <c r="F105">
        <v>210</v>
      </c>
      <c r="G105">
        <v>3.8589371980676304</v>
      </c>
      <c r="H105" t="s">
        <v>1108</v>
      </c>
      <c r="I105">
        <v>4.3</v>
      </c>
      <c r="J105">
        <v>2023</v>
      </c>
      <c r="K105" t="s">
        <v>37</v>
      </c>
      <c r="L105" t="s">
        <v>1111</v>
      </c>
      <c r="M105">
        <v>4</v>
      </c>
      <c r="N105">
        <v>69</v>
      </c>
      <c r="O105">
        <v>7230</v>
      </c>
      <c r="P105">
        <v>0.32857142857142857</v>
      </c>
      <c r="Q105">
        <v>69</v>
      </c>
      <c r="R105">
        <v>0.32857142857142857</v>
      </c>
      <c r="S105" t="s">
        <v>1058</v>
      </c>
      <c r="T105">
        <v>6</v>
      </c>
    </row>
    <row r="106" spans="1:20" x14ac:dyDescent="0.4">
      <c r="A106" t="s">
        <v>555</v>
      </c>
      <c r="B106" t="s">
        <v>21</v>
      </c>
      <c r="C106">
        <v>147</v>
      </c>
      <c r="D106" t="s">
        <v>27</v>
      </c>
      <c r="E106" s="23">
        <v>45080</v>
      </c>
      <c r="F106">
        <v>115</v>
      </c>
      <c r="G106">
        <v>3.8589371980676304</v>
      </c>
      <c r="H106" t="s">
        <v>1108</v>
      </c>
      <c r="I106">
        <v>4.7</v>
      </c>
      <c r="J106">
        <v>2023</v>
      </c>
      <c r="K106" t="s">
        <v>48</v>
      </c>
      <c r="L106" t="s">
        <v>1112</v>
      </c>
      <c r="M106">
        <v>5</v>
      </c>
      <c r="N106">
        <v>67</v>
      </c>
      <c r="O106">
        <v>7216</v>
      </c>
      <c r="P106">
        <v>0.58260869565217388</v>
      </c>
      <c r="Q106">
        <v>67</v>
      </c>
      <c r="R106">
        <v>0.58260869565217388</v>
      </c>
      <c r="S106" t="s">
        <v>1058</v>
      </c>
      <c r="T106">
        <v>6</v>
      </c>
    </row>
    <row r="107" spans="1:20" x14ac:dyDescent="0.4">
      <c r="A107" t="s">
        <v>557</v>
      </c>
      <c r="B107" t="s">
        <v>8</v>
      </c>
      <c r="C107">
        <v>75</v>
      </c>
      <c r="D107" t="s">
        <v>27</v>
      </c>
      <c r="E107" s="23">
        <v>45081</v>
      </c>
      <c r="F107">
        <v>38</v>
      </c>
      <c r="G107">
        <v>3.8589371980676304</v>
      </c>
      <c r="H107" t="s">
        <v>1108</v>
      </c>
      <c r="I107">
        <v>4.4000000000000004</v>
      </c>
      <c r="J107">
        <v>2023</v>
      </c>
      <c r="K107" t="s">
        <v>3</v>
      </c>
      <c r="L107" t="s">
        <v>1111</v>
      </c>
      <c r="M107">
        <v>4</v>
      </c>
      <c r="N107">
        <v>79</v>
      </c>
      <c r="O107">
        <v>7747</v>
      </c>
      <c r="P107">
        <v>2.0789473684210527</v>
      </c>
      <c r="Q107">
        <v>79</v>
      </c>
      <c r="R107">
        <v>2.0789473684210527</v>
      </c>
      <c r="S107" t="s">
        <v>1058</v>
      </c>
      <c r="T107">
        <v>6</v>
      </c>
    </row>
    <row r="108" spans="1:20" x14ac:dyDescent="0.4">
      <c r="A108" t="s">
        <v>562</v>
      </c>
      <c r="B108" t="s">
        <v>64</v>
      </c>
      <c r="C108">
        <v>119</v>
      </c>
      <c r="D108" t="s">
        <v>27</v>
      </c>
      <c r="E108" s="23">
        <v>45084</v>
      </c>
      <c r="F108">
        <v>116</v>
      </c>
      <c r="G108">
        <v>3.8589371980676304</v>
      </c>
      <c r="H108" t="s">
        <v>1108</v>
      </c>
      <c r="I108">
        <v>3.8</v>
      </c>
      <c r="J108">
        <v>2023</v>
      </c>
      <c r="K108" t="s">
        <v>33</v>
      </c>
      <c r="L108" t="s">
        <v>1111</v>
      </c>
      <c r="M108">
        <v>4</v>
      </c>
      <c r="N108">
        <v>65</v>
      </c>
      <c r="O108">
        <v>6785</v>
      </c>
      <c r="P108">
        <v>0.56034482758620685</v>
      </c>
      <c r="Q108">
        <v>65</v>
      </c>
      <c r="R108">
        <v>0.56034482758620685</v>
      </c>
      <c r="S108" t="s">
        <v>1058</v>
      </c>
      <c r="T108">
        <v>6</v>
      </c>
    </row>
    <row r="109" spans="1:20" x14ac:dyDescent="0.4">
      <c r="A109" t="s">
        <v>564</v>
      </c>
      <c r="B109" t="s">
        <v>44</v>
      </c>
      <c r="C109">
        <v>59</v>
      </c>
      <c r="D109" t="s">
        <v>27</v>
      </c>
      <c r="E109" s="23">
        <v>45086</v>
      </c>
      <c r="F109">
        <v>90</v>
      </c>
      <c r="G109">
        <v>3.8589371980676304</v>
      </c>
      <c r="H109" t="s">
        <v>1108</v>
      </c>
      <c r="I109">
        <v>3.5</v>
      </c>
      <c r="J109">
        <v>2023</v>
      </c>
      <c r="K109" t="s">
        <v>45</v>
      </c>
      <c r="L109" t="s">
        <v>1109</v>
      </c>
      <c r="M109">
        <v>4</v>
      </c>
      <c r="N109">
        <v>62</v>
      </c>
      <c r="O109">
        <v>6176</v>
      </c>
      <c r="P109">
        <v>0.68888888888888888</v>
      </c>
      <c r="Q109">
        <v>62</v>
      </c>
      <c r="R109">
        <v>0.68888888888888888</v>
      </c>
      <c r="S109" t="s">
        <v>1058</v>
      </c>
      <c r="T109">
        <v>6</v>
      </c>
    </row>
    <row r="110" spans="1:20" x14ac:dyDescent="0.4">
      <c r="A110" t="s">
        <v>566</v>
      </c>
      <c r="B110" t="s">
        <v>26</v>
      </c>
      <c r="C110">
        <v>147</v>
      </c>
      <c r="D110" t="s">
        <v>27</v>
      </c>
      <c r="E110" s="23">
        <v>45086</v>
      </c>
      <c r="F110">
        <v>140</v>
      </c>
      <c r="G110">
        <v>3.8589371980676304</v>
      </c>
      <c r="H110" t="s">
        <v>1108</v>
      </c>
      <c r="I110">
        <v>4.2</v>
      </c>
      <c r="J110">
        <v>2023</v>
      </c>
      <c r="K110" t="s">
        <v>45</v>
      </c>
      <c r="L110" t="s">
        <v>1112</v>
      </c>
      <c r="M110">
        <v>4</v>
      </c>
      <c r="N110">
        <v>72</v>
      </c>
      <c r="O110">
        <v>6242</v>
      </c>
      <c r="P110">
        <v>0.51428571428571423</v>
      </c>
      <c r="Q110">
        <v>72</v>
      </c>
      <c r="R110">
        <v>0.51428571428571423</v>
      </c>
      <c r="S110" t="s">
        <v>1058</v>
      </c>
      <c r="T110">
        <v>6</v>
      </c>
    </row>
    <row r="111" spans="1:20" x14ac:dyDescent="0.4">
      <c r="A111" t="s">
        <v>567</v>
      </c>
      <c r="B111" t="s">
        <v>32</v>
      </c>
      <c r="C111">
        <v>76</v>
      </c>
      <c r="D111" t="s">
        <v>27</v>
      </c>
      <c r="E111" s="23">
        <v>45086</v>
      </c>
      <c r="F111">
        <v>164</v>
      </c>
      <c r="G111">
        <v>3.8589371980676304</v>
      </c>
      <c r="H111" t="s">
        <v>1108</v>
      </c>
      <c r="I111">
        <v>4.5</v>
      </c>
      <c r="J111">
        <v>2023</v>
      </c>
      <c r="K111" t="s">
        <v>45</v>
      </c>
      <c r="L111" t="s">
        <v>1111</v>
      </c>
      <c r="M111">
        <v>5</v>
      </c>
      <c r="N111">
        <v>63</v>
      </c>
      <c r="O111">
        <v>5634</v>
      </c>
      <c r="P111">
        <v>0.38414634146341464</v>
      </c>
      <c r="Q111">
        <v>63</v>
      </c>
      <c r="R111">
        <v>0.38414634146341464</v>
      </c>
      <c r="S111" t="s">
        <v>1058</v>
      </c>
      <c r="T111">
        <v>6</v>
      </c>
    </row>
    <row r="112" spans="1:20" x14ac:dyDescent="0.4">
      <c r="A112" t="s">
        <v>572</v>
      </c>
      <c r="B112" t="s">
        <v>32</v>
      </c>
      <c r="C112">
        <v>71</v>
      </c>
      <c r="D112" t="s">
        <v>27</v>
      </c>
      <c r="E112" s="23">
        <v>45089</v>
      </c>
      <c r="F112">
        <v>52</v>
      </c>
      <c r="G112">
        <v>3.8589371980676304</v>
      </c>
      <c r="H112" t="s">
        <v>1108</v>
      </c>
      <c r="I112">
        <v>3.4</v>
      </c>
      <c r="J112">
        <v>2023</v>
      </c>
      <c r="K112" t="s">
        <v>15</v>
      </c>
      <c r="L112" t="s">
        <v>1111</v>
      </c>
      <c r="M112">
        <v>3</v>
      </c>
      <c r="N112">
        <v>63</v>
      </c>
      <c r="O112">
        <v>5634</v>
      </c>
      <c r="P112">
        <v>1.2115384615384615</v>
      </c>
      <c r="Q112">
        <v>63</v>
      </c>
      <c r="R112">
        <v>1.2115384615384615</v>
      </c>
      <c r="S112" t="s">
        <v>1058</v>
      </c>
      <c r="T112">
        <v>6</v>
      </c>
    </row>
    <row r="113" spans="1:20" x14ac:dyDescent="0.4">
      <c r="A113" t="s">
        <v>577</v>
      </c>
      <c r="B113" t="s">
        <v>6</v>
      </c>
      <c r="C113">
        <v>70</v>
      </c>
      <c r="D113" t="s">
        <v>27</v>
      </c>
      <c r="E113" s="23">
        <v>45092</v>
      </c>
      <c r="F113">
        <v>116</v>
      </c>
      <c r="G113">
        <v>3.8589371980676304</v>
      </c>
      <c r="H113" t="s">
        <v>1108</v>
      </c>
      <c r="I113">
        <v>3.2</v>
      </c>
      <c r="J113">
        <v>2023</v>
      </c>
      <c r="K113" t="s">
        <v>37</v>
      </c>
      <c r="L113" t="s">
        <v>1111</v>
      </c>
      <c r="M113">
        <v>3</v>
      </c>
      <c r="N113">
        <v>82</v>
      </c>
      <c r="O113">
        <v>7689</v>
      </c>
      <c r="P113">
        <v>0.7068965517241379</v>
      </c>
      <c r="Q113">
        <v>82</v>
      </c>
      <c r="R113">
        <v>0.7068965517241379</v>
      </c>
      <c r="S113" t="s">
        <v>1058</v>
      </c>
      <c r="T113">
        <v>6</v>
      </c>
    </row>
    <row r="114" spans="1:20" x14ac:dyDescent="0.4">
      <c r="A114" t="s">
        <v>579</v>
      </c>
      <c r="B114" t="s">
        <v>13</v>
      </c>
      <c r="C114">
        <v>103</v>
      </c>
      <c r="D114" t="s">
        <v>27</v>
      </c>
      <c r="E114" s="23">
        <v>45092</v>
      </c>
      <c r="F114">
        <v>120</v>
      </c>
      <c r="G114">
        <v>3.8589371980676304</v>
      </c>
      <c r="H114" t="s">
        <v>1108</v>
      </c>
      <c r="I114">
        <v>5</v>
      </c>
      <c r="J114">
        <v>2023</v>
      </c>
      <c r="K114" t="s">
        <v>37</v>
      </c>
      <c r="L114" t="s">
        <v>1111</v>
      </c>
      <c r="M114">
        <v>5</v>
      </c>
      <c r="N114">
        <v>74</v>
      </c>
      <c r="O114">
        <v>6749</v>
      </c>
      <c r="P114">
        <v>0.6166666666666667</v>
      </c>
      <c r="Q114">
        <v>74</v>
      </c>
      <c r="R114">
        <v>0.6166666666666667</v>
      </c>
      <c r="S114" t="s">
        <v>1058</v>
      </c>
      <c r="T114">
        <v>6</v>
      </c>
    </row>
    <row r="115" spans="1:20" x14ac:dyDescent="0.4">
      <c r="A115" t="s">
        <v>583</v>
      </c>
      <c r="B115" t="s">
        <v>13</v>
      </c>
      <c r="C115">
        <v>132</v>
      </c>
      <c r="D115" t="s">
        <v>27</v>
      </c>
      <c r="E115" s="23">
        <v>45094</v>
      </c>
      <c r="F115">
        <v>50</v>
      </c>
      <c r="G115">
        <v>3.8589371980676304</v>
      </c>
      <c r="H115" t="s">
        <v>1108</v>
      </c>
      <c r="I115">
        <v>4.2</v>
      </c>
      <c r="J115">
        <v>2023</v>
      </c>
      <c r="K115" t="s">
        <v>48</v>
      </c>
      <c r="L115" t="s">
        <v>1112</v>
      </c>
      <c r="M115">
        <v>4</v>
      </c>
      <c r="N115">
        <v>74</v>
      </c>
      <c r="O115">
        <v>6749</v>
      </c>
      <c r="P115">
        <v>1.48</v>
      </c>
      <c r="Q115">
        <v>74</v>
      </c>
      <c r="R115">
        <v>1.48</v>
      </c>
      <c r="S115" t="s">
        <v>1058</v>
      </c>
      <c r="T115">
        <v>6</v>
      </c>
    </row>
    <row r="116" spans="1:20" x14ac:dyDescent="0.4">
      <c r="A116" t="s">
        <v>585</v>
      </c>
      <c r="B116" t="s">
        <v>84</v>
      </c>
      <c r="C116">
        <v>107</v>
      </c>
      <c r="D116" t="s">
        <v>27</v>
      </c>
      <c r="E116" s="23">
        <v>45095</v>
      </c>
      <c r="F116">
        <v>39</v>
      </c>
      <c r="G116">
        <v>3.8589371980676304</v>
      </c>
      <c r="H116" t="s">
        <v>1108</v>
      </c>
      <c r="I116">
        <v>4.8</v>
      </c>
      <c r="J116">
        <v>2023</v>
      </c>
      <c r="K116" t="s">
        <v>3</v>
      </c>
      <c r="L116" t="s">
        <v>1111</v>
      </c>
      <c r="M116">
        <v>5</v>
      </c>
      <c r="N116">
        <v>59</v>
      </c>
      <c r="O116">
        <v>5009</v>
      </c>
      <c r="P116">
        <v>1.5128205128205128</v>
      </c>
      <c r="Q116">
        <v>59</v>
      </c>
      <c r="R116">
        <v>1.5128205128205128</v>
      </c>
      <c r="S116" t="s">
        <v>1058</v>
      </c>
      <c r="T116">
        <v>6</v>
      </c>
    </row>
    <row r="117" spans="1:20" x14ac:dyDescent="0.4">
      <c r="A117" t="s">
        <v>587</v>
      </c>
      <c r="B117" t="s">
        <v>21</v>
      </c>
      <c r="C117">
        <v>49</v>
      </c>
      <c r="D117" t="s">
        <v>27</v>
      </c>
      <c r="E117" s="23">
        <v>45096</v>
      </c>
      <c r="F117">
        <v>84</v>
      </c>
      <c r="G117">
        <v>3.8589371980676304</v>
      </c>
      <c r="H117" t="s">
        <v>1108</v>
      </c>
      <c r="I117">
        <v>2.9</v>
      </c>
      <c r="J117">
        <v>2023</v>
      </c>
      <c r="K117" t="s">
        <v>15</v>
      </c>
      <c r="L117" t="s">
        <v>1109</v>
      </c>
      <c r="M117">
        <v>3</v>
      </c>
      <c r="N117">
        <v>67</v>
      </c>
      <c r="O117">
        <v>7216</v>
      </c>
      <c r="P117">
        <v>0.79761904761904767</v>
      </c>
      <c r="Q117">
        <v>67</v>
      </c>
      <c r="R117">
        <v>0.79761904761904767</v>
      </c>
      <c r="S117" t="s">
        <v>1058</v>
      </c>
      <c r="T117">
        <v>6</v>
      </c>
    </row>
    <row r="118" spans="1:20" x14ac:dyDescent="0.4">
      <c r="A118" t="s">
        <v>592</v>
      </c>
      <c r="B118" t="s">
        <v>21</v>
      </c>
      <c r="C118">
        <v>80</v>
      </c>
      <c r="D118" t="s">
        <v>27</v>
      </c>
      <c r="E118" s="23">
        <v>45098</v>
      </c>
      <c r="F118">
        <v>32</v>
      </c>
      <c r="G118">
        <v>3.8589371980676304</v>
      </c>
      <c r="H118" t="s">
        <v>1108</v>
      </c>
      <c r="I118">
        <v>4.7</v>
      </c>
      <c r="J118">
        <v>2023</v>
      </c>
      <c r="K118" t="s">
        <v>33</v>
      </c>
      <c r="L118" t="s">
        <v>1111</v>
      </c>
      <c r="M118">
        <v>5</v>
      </c>
      <c r="N118">
        <v>67</v>
      </c>
      <c r="O118">
        <v>7216</v>
      </c>
      <c r="P118">
        <v>2.09375</v>
      </c>
      <c r="Q118">
        <v>67</v>
      </c>
      <c r="R118">
        <v>2.09375</v>
      </c>
      <c r="S118" t="s">
        <v>1058</v>
      </c>
      <c r="T118">
        <v>6</v>
      </c>
    </row>
    <row r="119" spans="1:20" x14ac:dyDescent="0.4">
      <c r="A119" t="s">
        <v>599</v>
      </c>
      <c r="B119" t="s">
        <v>30</v>
      </c>
      <c r="C119">
        <v>104</v>
      </c>
      <c r="D119" t="s">
        <v>27</v>
      </c>
      <c r="E119" s="23">
        <v>45100</v>
      </c>
      <c r="F119">
        <v>136</v>
      </c>
      <c r="G119">
        <v>3.8589371980676304</v>
      </c>
      <c r="H119" t="s">
        <v>1108</v>
      </c>
      <c r="I119">
        <v>5</v>
      </c>
      <c r="J119">
        <v>2023</v>
      </c>
      <c r="K119" t="s">
        <v>45</v>
      </c>
      <c r="L119" t="s">
        <v>1111</v>
      </c>
      <c r="M119">
        <v>5</v>
      </c>
      <c r="N119">
        <v>69</v>
      </c>
      <c r="O119">
        <v>7230</v>
      </c>
      <c r="P119">
        <v>0.50735294117647056</v>
      </c>
      <c r="Q119">
        <v>69</v>
      </c>
      <c r="R119">
        <v>0.50735294117647056</v>
      </c>
      <c r="S119" t="s">
        <v>1058</v>
      </c>
      <c r="T119">
        <v>6</v>
      </c>
    </row>
    <row r="120" spans="1:20" x14ac:dyDescent="0.4">
      <c r="A120" t="s">
        <v>603</v>
      </c>
      <c r="B120" t="s">
        <v>21</v>
      </c>
      <c r="C120">
        <v>123</v>
      </c>
      <c r="D120" t="s">
        <v>27</v>
      </c>
      <c r="E120" s="23">
        <v>45102</v>
      </c>
      <c r="F120">
        <v>68</v>
      </c>
      <c r="G120">
        <v>3.8589371980676304</v>
      </c>
      <c r="H120" t="s">
        <v>1108</v>
      </c>
      <c r="I120">
        <v>4.5</v>
      </c>
      <c r="J120">
        <v>2023</v>
      </c>
      <c r="K120" t="s">
        <v>3</v>
      </c>
      <c r="L120" t="s">
        <v>1112</v>
      </c>
      <c r="M120">
        <v>5</v>
      </c>
      <c r="N120">
        <v>67</v>
      </c>
      <c r="O120">
        <v>7216</v>
      </c>
      <c r="P120">
        <v>0.98529411764705888</v>
      </c>
      <c r="Q120">
        <v>67</v>
      </c>
      <c r="R120">
        <v>0.98529411764705888</v>
      </c>
      <c r="S120" t="s">
        <v>1058</v>
      </c>
      <c r="T120">
        <v>6</v>
      </c>
    </row>
    <row r="121" spans="1:20" x14ac:dyDescent="0.4">
      <c r="A121" t="s">
        <v>607</v>
      </c>
      <c r="B121" t="s">
        <v>51</v>
      </c>
      <c r="C121">
        <v>31</v>
      </c>
      <c r="D121" t="s">
        <v>27</v>
      </c>
      <c r="E121" s="23">
        <v>45103</v>
      </c>
      <c r="F121">
        <v>172</v>
      </c>
      <c r="G121">
        <v>3.8589371980676304</v>
      </c>
      <c r="H121" t="s">
        <v>1108</v>
      </c>
      <c r="I121">
        <v>3.9</v>
      </c>
      <c r="J121">
        <v>2023</v>
      </c>
      <c r="K121" t="s">
        <v>15</v>
      </c>
      <c r="L121" t="s">
        <v>1109</v>
      </c>
      <c r="M121">
        <v>4</v>
      </c>
      <c r="N121">
        <v>59</v>
      </c>
      <c r="O121">
        <v>6518</v>
      </c>
      <c r="P121">
        <v>0.34302325581395349</v>
      </c>
      <c r="Q121">
        <v>59</v>
      </c>
      <c r="R121">
        <v>0.34302325581395349</v>
      </c>
      <c r="S121" t="s">
        <v>1058</v>
      </c>
      <c r="T121">
        <v>6</v>
      </c>
    </row>
    <row r="122" spans="1:20" x14ac:dyDescent="0.4">
      <c r="A122" t="s">
        <v>626</v>
      </c>
      <c r="B122" t="s">
        <v>26</v>
      </c>
      <c r="C122">
        <v>109</v>
      </c>
      <c r="D122" t="s">
        <v>27</v>
      </c>
      <c r="E122" s="23">
        <v>45111</v>
      </c>
      <c r="F122">
        <v>140</v>
      </c>
      <c r="G122">
        <v>3.8589371980676304</v>
      </c>
      <c r="H122" t="s">
        <v>1108</v>
      </c>
      <c r="I122">
        <v>2.4</v>
      </c>
      <c r="J122">
        <v>2024</v>
      </c>
      <c r="K122" t="s">
        <v>18</v>
      </c>
      <c r="L122" t="s">
        <v>1111</v>
      </c>
      <c r="M122">
        <v>2</v>
      </c>
      <c r="N122">
        <v>72</v>
      </c>
      <c r="O122">
        <v>6242</v>
      </c>
      <c r="P122">
        <v>0.51428571428571423</v>
      </c>
      <c r="Q122">
        <v>72</v>
      </c>
      <c r="R122">
        <v>0.51428571428571423</v>
      </c>
      <c r="S122" t="s">
        <v>1059</v>
      </c>
      <c r="T122">
        <v>7</v>
      </c>
    </row>
    <row r="123" spans="1:20" x14ac:dyDescent="0.4">
      <c r="A123" t="s">
        <v>639</v>
      </c>
      <c r="B123" t="s">
        <v>8</v>
      </c>
      <c r="C123">
        <v>85</v>
      </c>
      <c r="D123" t="s">
        <v>27</v>
      </c>
      <c r="E123" s="23">
        <v>45116</v>
      </c>
      <c r="F123">
        <v>215</v>
      </c>
      <c r="G123">
        <v>3.8589371980676304</v>
      </c>
      <c r="H123" t="s">
        <v>1108</v>
      </c>
      <c r="I123">
        <v>3.5</v>
      </c>
      <c r="J123">
        <v>2024</v>
      </c>
      <c r="K123" t="s">
        <v>3</v>
      </c>
      <c r="L123" t="s">
        <v>1111</v>
      </c>
      <c r="M123">
        <v>4</v>
      </c>
      <c r="N123">
        <v>79</v>
      </c>
      <c r="O123">
        <v>7747</v>
      </c>
      <c r="P123">
        <v>0.36744186046511629</v>
      </c>
      <c r="Q123">
        <v>79</v>
      </c>
      <c r="R123">
        <v>0.36744186046511629</v>
      </c>
      <c r="S123" t="s">
        <v>1059</v>
      </c>
      <c r="T123">
        <v>7</v>
      </c>
    </row>
    <row r="124" spans="1:20" x14ac:dyDescent="0.4">
      <c r="A124" t="s">
        <v>640</v>
      </c>
      <c r="B124" t="s">
        <v>40</v>
      </c>
      <c r="C124">
        <v>98</v>
      </c>
      <c r="D124" t="s">
        <v>27</v>
      </c>
      <c r="E124" s="23">
        <v>45117</v>
      </c>
      <c r="F124">
        <v>130</v>
      </c>
      <c r="G124">
        <v>3.8589371980676304</v>
      </c>
      <c r="H124" t="s">
        <v>1108</v>
      </c>
      <c r="I124">
        <v>3.4</v>
      </c>
      <c r="J124">
        <v>2024</v>
      </c>
      <c r="K124" t="s">
        <v>15</v>
      </c>
      <c r="L124" t="s">
        <v>1111</v>
      </c>
      <c r="M124">
        <v>3</v>
      </c>
      <c r="N124">
        <v>69</v>
      </c>
      <c r="O124">
        <v>6601</v>
      </c>
      <c r="P124">
        <v>0.53076923076923077</v>
      </c>
      <c r="Q124">
        <v>69</v>
      </c>
      <c r="R124">
        <v>0.53076923076923077</v>
      </c>
      <c r="S124" t="s">
        <v>1059</v>
      </c>
      <c r="T124">
        <v>7</v>
      </c>
    </row>
    <row r="125" spans="1:20" x14ac:dyDescent="0.4">
      <c r="A125" t="s">
        <v>641</v>
      </c>
      <c r="B125" t="s">
        <v>51</v>
      </c>
      <c r="C125">
        <v>52</v>
      </c>
      <c r="D125" t="s">
        <v>27</v>
      </c>
      <c r="E125" s="23">
        <v>45117</v>
      </c>
      <c r="F125">
        <v>190</v>
      </c>
      <c r="G125">
        <v>3.8589371980676304</v>
      </c>
      <c r="H125" t="s">
        <v>1108</v>
      </c>
      <c r="I125">
        <v>3.3</v>
      </c>
      <c r="J125">
        <v>2024</v>
      </c>
      <c r="K125" t="s">
        <v>15</v>
      </c>
      <c r="L125" t="s">
        <v>1109</v>
      </c>
      <c r="M125">
        <v>3</v>
      </c>
      <c r="N125">
        <v>59</v>
      </c>
      <c r="O125">
        <v>6518</v>
      </c>
      <c r="P125">
        <v>0.31052631578947371</v>
      </c>
      <c r="Q125">
        <v>59</v>
      </c>
      <c r="R125">
        <v>0.31052631578947371</v>
      </c>
      <c r="S125" t="s">
        <v>1059</v>
      </c>
      <c r="T125">
        <v>7</v>
      </c>
    </row>
    <row r="126" spans="1:20" x14ac:dyDescent="0.4">
      <c r="A126" t="s">
        <v>645</v>
      </c>
      <c r="B126" t="s">
        <v>30</v>
      </c>
      <c r="C126">
        <v>45</v>
      </c>
      <c r="D126" t="s">
        <v>27</v>
      </c>
      <c r="E126" s="23">
        <v>45119</v>
      </c>
      <c r="F126">
        <v>84</v>
      </c>
      <c r="G126">
        <v>3.8589371980676304</v>
      </c>
      <c r="H126" t="s">
        <v>1108</v>
      </c>
      <c r="I126">
        <v>4.8</v>
      </c>
      <c r="J126">
        <v>2024</v>
      </c>
      <c r="K126" t="s">
        <v>33</v>
      </c>
      <c r="L126" t="s">
        <v>1109</v>
      </c>
      <c r="M126">
        <v>5</v>
      </c>
      <c r="N126">
        <v>69</v>
      </c>
      <c r="O126">
        <v>7230</v>
      </c>
      <c r="P126">
        <v>0.8214285714285714</v>
      </c>
      <c r="Q126">
        <v>69</v>
      </c>
      <c r="R126">
        <v>0.8214285714285714</v>
      </c>
      <c r="S126" t="s">
        <v>1059</v>
      </c>
      <c r="T126">
        <v>7</v>
      </c>
    </row>
    <row r="127" spans="1:20" x14ac:dyDescent="0.4">
      <c r="A127" t="s">
        <v>657</v>
      </c>
      <c r="B127" t="s">
        <v>1</v>
      </c>
      <c r="C127">
        <v>76</v>
      </c>
      <c r="D127" t="s">
        <v>27</v>
      </c>
      <c r="E127" s="23">
        <v>45126</v>
      </c>
      <c r="F127">
        <v>84</v>
      </c>
      <c r="G127">
        <v>3.8589371980676304</v>
      </c>
      <c r="H127" t="s">
        <v>1108</v>
      </c>
      <c r="I127">
        <v>3.9</v>
      </c>
      <c r="J127">
        <v>2024</v>
      </c>
      <c r="K127" t="s">
        <v>33</v>
      </c>
      <c r="L127" t="s">
        <v>1111</v>
      </c>
      <c r="M127">
        <v>4</v>
      </c>
      <c r="N127">
        <v>50</v>
      </c>
      <c r="O127">
        <v>4804</v>
      </c>
      <c r="P127">
        <v>0.59523809523809523</v>
      </c>
      <c r="Q127">
        <v>50</v>
      </c>
      <c r="R127">
        <v>0.59523809523809523</v>
      </c>
      <c r="S127" t="s">
        <v>1059</v>
      </c>
      <c r="T127">
        <v>7</v>
      </c>
    </row>
    <row r="128" spans="1:20" x14ac:dyDescent="0.4">
      <c r="A128" t="s">
        <v>658</v>
      </c>
      <c r="B128" t="s">
        <v>6</v>
      </c>
      <c r="C128">
        <v>144</v>
      </c>
      <c r="D128" t="s">
        <v>27</v>
      </c>
      <c r="E128" s="23">
        <v>45126</v>
      </c>
      <c r="F128">
        <v>164</v>
      </c>
      <c r="G128">
        <v>3.8589371980676304</v>
      </c>
      <c r="H128" t="s">
        <v>1108</v>
      </c>
      <c r="I128">
        <v>2.8</v>
      </c>
      <c r="J128">
        <v>2024</v>
      </c>
      <c r="K128" t="s">
        <v>33</v>
      </c>
      <c r="L128" t="s">
        <v>1112</v>
      </c>
      <c r="M128">
        <v>3</v>
      </c>
      <c r="N128">
        <v>82</v>
      </c>
      <c r="O128">
        <v>7689</v>
      </c>
      <c r="P128">
        <v>0.5</v>
      </c>
      <c r="Q128">
        <v>82</v>
      </c>
      <c r="R128">
        <v>0.5</v>
      </c>
      <c r="S128" t="s">
        <v>1059</v>
      </c>
      <c r="T128">
        <v>7</v>
      </c>
    </row>
    <row r="129" spans="1:20" x14ac:dyDescent="0.4">
      <c r="A129" t="s">
        <v>669</v>
      </c>
      <c r="B129" t="s">
        <v>51</v>
      </c>
      <c r="C129">
        <v>10</v>
      </c>
      <c r="D129" t="s">
        <v>27</v>
      </c>
      <c r="E129" s="23">
        <v>45133</v>
      </c>
      <c r="F129">
        <v>72</v>
      </c>
      <c r="G129">
        <v>3.8589371980676304</v>
      </c>
      <c r="H129" t="s">
        <v>1108</v>
      </c>
      <c r="I129">
        <v>3.7</v>
      </c>
      <c r="J129">
        <v>2024</v>
      </c>
      <c r="K129" t="s">
        <v>33</v>
      </c>
      <c r="L129" t="s">
        <v>1113</v>
      </c>
      <c r="M129">
        <v>4</v>
      </c>
      <c r="N129">
        <v>59</v>
      </c>
      <c r="O129">
        <v>6518</v>
      </c>
      <c r="P129">
        <v>0.81944444444444442</v>
      </c>
      <c r="Q129">
        <v>59</v>
      </c>
      <c r="R129">
        <v>0.81944444444444442</v>
      </c>
      <c r="S129" t="s">
        <v>1059</v>
      </c>
      <c r="T129">
        <v>7</v>
      </c>
    </row>
    <row r="130" spans="1:20" x14ac:dyDescent="0.4">
      <c r="A130" t="s">
        <v>670</v>
      </c>
      <c r="B130" t="s">
        <v>6</v>
      </c>
      <c r="C130">
        <v>138</v>
      </c>
      <c r="D130" t="s">
        <v>27</v>
      </c>
      <c r="E130" s="23">
        <v>45133</v>
      </c>
      <c r="F130">
        <v>195</v>
      </c>
      <c r="G130">
        <v>3.8589371980676304</v>
      </c>
      <c r="H130" t="s">
        <v>1108</v>
      </c>
      <c r="I130">
        <v>4.0999999999999996</v>
      </c>
      <c r="J130">
        <v>2024</v>
      </c>
      <c r="K130" t="s">
        <v>33</v>
      </c>
      <c r="L130" t="s">
        <v>1112</v>
      </c>
      <c r="M130">
        <v>4</v>
      </c>
      <c r="N130">
        <v>82</v>
      </c>
      <c r="O130">
        <v>7689</v>
      </c>
      <c r="P130">
        <v>0.42051282051282052</v>
      </c>
      <c r="Q130">
        <v>82</v>
      </c>
      <c r="R130">
        <v>0.42051282051282052</v>
      </c>
      <c r="S130" t="s">
        <v>1059</v>
      </c>
      <c r="T130">
        <v>7</v>
      </c>
    </row>
    <row r="131" spans="1:20" x14ac:dyDescent="0.4">
      <c r="A131" t="s">
        <v>671</v>
      </c>
      <c r="B131" t="s">
        <v>40</v>
      </c>
      <c r="C131">
        <v>31</v>
      </c>
      <c r="D131" t="s">
        <v>27</v>
      </c>
      <c r="E131" s="23">
        <v>45134</v>
      </c>
      <c r="F131">
        <v>160</v>
      </c>
      <c r="G131">
        <v>3.8589371980676304</v>
      </c>
      <c r="H131" t="s">
        <v>1108</v>
      </c>
      <c r="I131">
        <v>3.4</v>
      </c>
      <c r="J131">
        <v>2024</v>
      </c>
      <c r="K131" t="s">
        <v>37</v>
      </c>
      <c r="L131" t="s">
        <v>1109</v>
      </c>
      <c r="M131">
        <v>3</v>
      </c>
      <c r="N131">
        <v>69</v>
      </c>
      <c r="O131">
        <v>6601</v>
      </c>
      <c r="P131">
        <v>0.43125000000000002</v>
      </c>
      <c r="Q131">
        <v>69</v>
      </c>
      <c r="R131">
        <v>0.43125000000000002</v>
      </c>
      <c r="S131" t="s">
        <v>1059</v>
      </c>
      <c r="T131">
        <v>7</v>
      </c>
    </row>
    <row r="132" spans="1:20" x14ac:dyDescent="0.4">
      <c r="A132" t="s">
        <v>678</v>
      </c>
      <c r="B132" t="s">
        <v>6</v>
      </c>
      <c r="C132">
        <v>58</v>
      </c>
      <c r="D132" t="s">
        <v>27</v>
      </c>
      <c r="E132" s="23">
        <v>45138</v>
      </c>
      <c r="F132">
        <v>38</v>
      </c>
      <c r="G132">
        <v>3.8589371980676304</v>
      </c>
      <c r="H132" t="s">
        <v>1108</v>
      </c>
      <c r="I132">
        <v>4.5</v>
      </c>
      <c r="J132">
        <v>2024</v>
      </c>
      <c r="K132" t="s">
        <v>15</v>
      </c>
      <c r="L132" t="s">
        <v>1109</v>
      </c>
      <c r="M132">
        <v>5</v>
      </c>
      <c r="N132">
        <v>82</v>
      </c>
      <c r="O132">
        <v>7689</v>
      </c>
      <c r="P132">
        <v>2.1578947368421053</v>
      </c>
      <c r="Q132">
        <v>82</v>
      </c>
      <c r="R132">
        <v>2.1578947368421053</v>
      </c>
      <c r="S132" t="s">
        <v>1059</v>
      </c>
      <c r="T132">
        <v>7</v>
      </c>
    </row>
    <row r="133" spans="1:20" x14ac:dyDescent="0.4">
      <c r="A133" t="s">
        <v>683</v>
      </c>
      <c r="B133" t="s">
        <v>64</v>
      </c>
      <c r="C133">
        <v>103</v>
      </c>
      <c r="D133" t="s">
        <v>27</v>
      </c>
      <c r="E133" s="23">
        <v>45141</v>
      </c>
      <c r="F133">
        <v>117</v>
      </c>
      <c r="G133">
        <v>3.8589371980676304</v>
      </c>
      <c r="H133" t="s">
        <v>1108</v>
      </c>
      <c r="I133">
        <v>4.7</v>
      </c>
      <c r="J133">
        <v>2024</v>
      </c>
      <c r="K133" t="s">
        <v>37</v>
      </c>
      <c r="L133" t="s">
        <v>1111</v>
      </c>
      <c r="M133">
        <v>5</v>
      </c>
      <c r="N133">
        <v>65</v>
      </c>
      <c r="O133">
        <v>6785</v>
      </c>
      <c r="P133">
        <v>0.55555555555555558</v>
      </c>
      <c r="Q133">
        <v>65</v>
      </c>
      <c r="R133">
        <v>0.55555555555555558</v>
      </c>
      <c r="S133" t="s">
        <v>1060</v>
      </c>
      <c r="T133">
        <v>8</v>
      </c>
    </row>
    <row r="134" spans="1:20" x14ac:dyDescent="0.4">
      <c r="A134" t="s">
        <v>685</v>
      </c>
      <c r="B134" t="s">
        <v>54</v>
      </c>
      <c r="C134">
        <v>111</v>
      </c>
      <c r="D134" t="s">
        <v>27</v>
      </c>
      <c r="E134" s="23">
        <v>45141</v>
      </c>
      <c r="F134">
        <v>99</v>
      </c>
      <c r="G134">
        <v>3.8589371980676304</v>
      </c>
      <c r="H134" t="s">
        <v>1108</v>
      </c>
      <c r="I134">
        <v>4.0999999999999996</v>
      </c>
      <c r="J134">
        <v>2024</v>
      </c>
      <c r="K134" t="s">
        <v>37</v>
      </c>
      <c r="L134" t="s">
        <v>1111</v>
      </c>
      <c r="M134">
        <v>4</v>
      </c>
      <c r="N134">
        <v>70</v>
      </c>
      <c r="O134">
        <v>6819</v>
      </c>
      <c r="P134">
        <v>0.70707070707070707</v>
      </c>
      <c r="Q134">
        <v>70</v>
      </c>
      <c r="R134">
        <v>0.70707070707070707</v>
      </c>
      <c r="S134" t="s">
        <v>1060</v>
      </c>
      <c r="T134">
        <v>8</v>
      </c>
    </row>
    <row r="135" spans="1:20" x14ac:dyDescent="0.4">
      <c r="A135" t="s">
        <v>692</v>
      </c>
      <c r="B135" t="s">
        <v>13</v>
      </c>
      <c r="C135">
        <v>115</v>
      </c>
      <c r="D135" t="s">
        <v>27</v>
      </c>
      <c r="E135" s="23">
        <v>45145</v>
      </c>
      <c r="F135">
        <v>40</v>
      </c>
      <c r="G135">
        <v>3.8589371980676304</v>
      </c>
      <c r="H135" t="s">
        <v>1108</v>
      </c>
      <c r="I135">
        <v>3.3</v>
      </c>
      <c r="J135">
        <v>2024</v>
      </c>
      <c r="K135" t="s">
        <v>15</v>
      </c>
      <c r="L135" t="s">
        <v>1111</v>
      </c>
      <c r="M135">
        <v>3</v>
      </c>
      <c r="N135">
        <v>74</v>
      </c>
      <c r="O135">
        <v>6749</v>
      </c>
      <c r="P135">
        <v>1.85</v>
      </c>
      <c r="Q135">
        <v>74</v>
      </c>
      <c r="R135">
        <v>1.85</v>
      </c>
      <c r="S135" t="s">
        <v>1060</v>
      </c>
      <c r="T135">
        <v>8</v>
      </c>
    </row>
    <row r="136" spans="1:20" x14ac:dyDescent="0.4">
      <c r="A136" t="s">
        <v>696</v>
      </c>
      <c r="B136" t="s">
        <v>26</v>
      </c>
      <c r="C136">
        <v>75</v>
      </c>
      <c r="D136" t="s">
        <v>27</v>
      </c>
      <c r="E136" s="23">
        <v>45148</v>
      </c>
      <c r="F136">
        <v>220</v>
      </c>
      <c r="G136">
        <v>3.8589371980676304</v>
      </c>
      <c r="H136" t="s">
        <v>1108</v>
      </c>
      <c r="I136">
        <v>4.7</v>
      </c>
      <c r="J136">
        <v>2024</v>
      </c>
      <c r="K136" t="s">
        <v>37</v>
      </c>
      <c r="L136" t="s">
        <v>1111</v>
      </c>
      <c r="M136">
        <v>5</v>
      </c>
      <c r="N136">
        <v>72</v>
      </c>
      <c r="O136">
        <v>6242</v>
      </c>
      <c r="P136">
        <v>0.32727272727272727</v>
      </c>
      <c r="Q136">
        <v>72</v>
      </c>
      <c r="R136">
        <v>0.32727272727272727</v>
      </c>
      <c r="S136" t="s">
        <v>1060</v>
      </c>
      <c r="T136">
        <v>8</v>
      </c>
    </row>
    <row r="137" spans="1:20" x14ac:dyDescent="0.4">
      <c r="A137" t="s">
        <v>697</v>
      </c>
      <c r="B137" t="s">
        <v>1</v>
      </c>
      <c r="C137">
        <v>63</v>
      </c>
      <c r="D137" t="s">
        <v>27</v>
      </c>
      <c r="E137" s="23">
        <v>45148</v>
      </c>
      <c r="F137">
        <v>27</v>
      </c>
      <c r="G137">
        <v>3.8589371980676304</v>
      </c>
      <c r="H137" t="s">
        <v>1108</v>
      </c>
      <c r="I137">
        <v>3.6</v>
      </c>
      <c r="J137">
        <v>2024</v>
      </c>
      <c r="K137" t="s">
        <v>37</v>
      </c>
      <c r="L137" t="s">
        <v>1111</v>
      </c>
      <c r="M137">
        <v>4</v>
      </c>
      <c r="N137">
        <v>50</v>
      </c>
      <c r="O137">
        <v>4804</v>
      </c>
      <c r="P137">
        <v>1.8518518518518519</v>
      </c>
      <c r="Q137">
        <v>50</v>
      </c>
      <c r="R137">
        <v>1.8518518518518519</v>
      </c>
      <c r="S137" t="s">
        <v>1060</v>
      </c>
      <c r="T137">
        <v>8</v>
      </c>
    </row>
    <row r="138" spans="1:20" x14ac:dyDescent="0.4">
      <c r="A138" t="s">
        <v>698</v>
      </c>
      <c r="B138" t="s">
        <v>30</v>
      </c>
      <c r="C138">
        <v>74</v>
      </c>
      <c r="D138" t="s">
        <v>27</v>
      </c>
      <c r="E138" s="23">
        <v>45150</v>
      </c>
      <c r="F138">
        <v>26</v>
      </c>
      <c r="G138">
        <v>3.8589371980676304</v>
      </c>
      <c r="H138" t="s">
        <v>1108</v>
      </c>
      <c r="I138">
        <v>4.3</v>
      </c>
      <c r="J138">
        <v>2024</v>
      </c>
      <c r="K138" t="s">
        <v>48</v>
      </c>
      <c r="L138" t="s">
        <v>1111</v>
      </c>
      <c r="M138">
        <v>4</v>
      </c>
      <c r="N138">
        <v>69</v>
      </c>
      <c r="O138">
        <v>7230</v>
      </c>
      <c r="P138">
        <v>2.6538461538461537</v>
      </c>
      <c r="Q138">
        <v>69</v>
      </c>
      <c r="R138">
        <v>2.6538461538461537</v>
      </c>
      <c r="S138" t="s">
        <v>1060</v>
      </c>
      <c r="T138">
        <v>8</v>
      </c>
    </row>
    <row r="139" spans="1:20" x14ac:dyDescent="0.4">
      <c r="A139" t="s">
        <v>710</v>
      </c>
      <c r="B139" t="s">
        <v>32</v>
      </c>
      <c r="C139">
        <v>64</v>
      </c>
      <c r="D139" t="s">
        <v>27</v>
      </c>
      <c r="E139" s="23">
        <v>45158</v>
      </c>
      <c r="F139">
        <v>111</v>
      </c>
      <c r="G139">
        <v>3.8589371980676304</v>
      </c>
      <c r="H139" t="s">
        <v>1108</v>
      </c>
      <c r="I139">
        <v>3.9</v>
      </c>
      <c r="J139">
        <v>2024</v>
      </c>
      <c r="K139" t="s">
        <v>3</v>
      </c>
      <c r="L139" t="s">
        <v>1111</v>
      </c>
      <c r="M139">
        <v>4</v>
      </c>
      <c r="N139">
        <v>63</v>
      </c>
      <c r="O139">
        <v>5634</v>
      </c>
      <c r="P139">
        <v>0.56756756756756754</v>
      </c>
      <c r="Q139">
        <v>63</v>
      </c>
      <c r="R139">
        <v>0.56756756756756754</v>
      </c>
      <c r="S139" t="s">
        <v>1060</v>
      </c>
      <c r="T139">
        <v>8</v>
      </c>
    </row>
    <row r="140" spans="1:20" x14ac:dyDescent="0.4">
      <c r="A140" t="s">
        <v>720</v>
      </c>
      <c r="B140" t="s">
        <v>64</v>
      </c>
      <c r="C140">
        <v>165</v>
      </c>
      <c r="D140" t="s">
        <v>27</v>
      </c>
      <c r="E140" s="23">
        <v>45164</v>
      </c>
      <c r="F140">
        <v>82</v>
      </c>
      <c r="G140">
        <v>3.8589371980676304</v>
      </c>
      <c r="H140" t="s">
        <v>1108</v>
      </c>
      <c r="I140">
        <v>3.4</v>
      </c>
      <c r="J140">
        <v>2024</v>
      </c>
      <c r="K140" t="s">
        <v>48</v>
      </c>
      <c r="L140" t="s">
        <v>1112</v>
      </c>
      <c r="M140">
        <v>3</v>
      </c>
      <c r="N140">
        <v>65</v>
      </c>
      <c r="O140">
        <v>6785</v>
      </c>
      <c r="P140">
        <v>0.79268292682926833</v>
      </c>
      <c r="Q140">
        <v>65</v>
      </c>
      <c r="R140">
        <v>0.79268292682926833</v>
      </c>
      <c r="S140" t="s">
        <v>1060</v>
      </c>
      <c r="T140">
        <v>8</v>
      </c>
    </row>
    <row r="141" spans="1:20" x14ac:dyDescent="0.4">
      <c r="A141" t="s">
        <v>723</v>
      </c>
      <c r="B141" t="s">
        <v>51</v>
      </c>
      <c r="C141">
        <v>80</v>
      </c>
      <c r="D141" t="s">
        <v>27</v>
      </c>
      <c r="E141" s="23">
        <v>45165</v>
      </c>
      <c r="F141">
        <v>104</v>
      </c>
      <c r="G141">
        <v>3.8589371980676304</v>
      </c>
      <c r="H141" t="s">
        <v>1108</v>
      </c>
      <c r="I141">
        <v>4.7</v>
      </c>
      <c r="J141">
        <v>2024</v>
      </c>
      <c r="K141" t="s">
        <v>3</v>
      </c>
      <c r="L141" t="s">
        <v>1111</v>
      </c>
      <c r="M141">
        <v>5</v>
      </c>
      <c r="N141">
        <v>59</v>
      </c>
      <c r="O141">
        <v>6518</v>
      </c>
      <c r="P141">
        <v>0.56730769230769229</v>
      </c>
      <c r="Q141">
        <v>59</v>
      </c>
      <c r="R141">
        <v>0.56730769230769229</v>
      </c>
      <c r="S141" t="s">
        <v>1060</v>
      </c>
      <c r="T141">
        <v>8</v>
      </c>
    </row>
    <row r="142" spans="1:20" x14ac:dyDescent="0.4">
      <c r="A142" t="s">
        <v>726</v>
      </c>
      <c r="B142" t="s">
        <v>21</v>
      </c>
      <c r="C142">
        <v>117</v>
      </c>
      <c r="D142" t="s">
        <v>27</v>
      </c>
      <c r="E142" s="23">
        <v>45165</v>
      </c>
      <c r="F142">
        <v>90</v>
      </c>
      <c r="G142">
        <v>3.8589371980676304</v>
      </c>
      <c r="H142" t="s">
        <v>1108</v>
      </c>
      <c r="I142">
        <v>4.0999999999999996</v>
      </c>
      <c r="J142">
        <v>2024</v>
      </c>
      <c r="K142" t="s">
        <v>3</v>
      </c>
      <c r="L142" t="s">
        <v>1111</v>
      </c>
      <c r="M142">
        <v>4</v>
      </c>
      <c r="N142">
        <v>67</v>
      </c>
      <c r="O142">
        <v>7216</v>
      </c>
      <c r="P142">
        <v>0.74444444444444446</v>
      </c>
      <c r="Q142">
        <v>67</v>
      </c>
      <c r="R142">
        <v>0.74444444444444446</v>
      </c>
      <c r="S142" t="s">
        <v>1060</v>
      </c>
      <c r="T142">
        <v>8</v>
      </c>
    </row>
    <row r="143" spans="1:20" x14ac:dyDescent="0.4">
      <c r="A143" t="s">
        <v>728</v>
      </c>
      <c r="B143" t="s">
        <v>44</v>
      </c>
      <c r="C143">
        <v>109</v>
      </c>
      <c r="D143" t="s">
        <v>27</v>
      </c>
      <c r="E143" s="23">
        <v>45167</v>
      </c>
      <c r="F143">
        <v>68</v>
      </c>
      <c r="G143">
        <v>3.8589371980676304</v>
      </c>
      <c r="H143" t="s">
        <v>1108</v>
      </c>
      <c r="I143">
        <v>2.2999999999999998</v>
      </c>
      <c r="J143">
        <v>2024</v>
      </c>
      <c r="K143" t="s">
        <v>18</v>
      </c>
      <c r="L143" t="s">
        <v>1111</v>
      </c>
      <c r="M143">
        <v>2</v>
      </c>
      <c r="N143">
        <v>62</v>
      </c>
      <c r="O143">
        <v>6176</v>
      </c>
      <c r="P143">
        <v>0.91176470588235292</v>
      </c>
      <c r="Q143">
        <v>62</v>
      </c>
      <c r="R143">
        <v>0.91176470588235292</v>
      </c>
      <c r="S143" t="s">
        <v>1060</v>
      </c>
      <c r="T143">
        <v>8</v>
      </c>
    </row>
    <row r="144" spans="1:20" x14ac:dyDescent="0.4">
      <c r="A144" t="s">
        <v>733</v>
      </c>
      <c r="B144" t="s">
        <v>1</v>
      </c>
      <c r="C144">
        <v>143</v>
      </c>
      <c r="D144" t="s">
        <v>27</v>
      </c>
      <c r="E144" s="23">
        <v>45170</v>
      </c>
      <c r="F144">
        <v>20</v>
      </c>
      <c r="G144">
        <v>3.8589371980676304</v>
      </c>
      <c r="H144" t="s">
        <v>1108</v>
      </c>
      <c r="I144">
        <v>4.7</v>
      </c>
      <c r="J144">
        <v>2024</v>
      </c>
      <c r="K144" t="s">
        <v>45</v>
      </c>
      <c r="L144" t="s">
        <v>1112</v>
      </c>
      <c r="M144">
        <v>5</v>
      </c>
      <c r="N144">
        <v>50</v>
      </c>
      <c r="O144">
        <v>4804</v>
      </c>
      <c r="P144">
        <v>2.5</v>
      </c>
      <c r="Q144">
        <v>50</v>
      </c>
      <c r="R144">
        <v>2.5</v>
      </c>
      <c r="S144" t="s">
        <v>1061</v>
      </c>
      <c r="T144">
        <v>9</v>
      </c>
    </row>
    <row r="145" spans="1:20" x14ac:dyDescent="0.4">
      <c r="A145" t="s">
        <v>744</v>
      </c>
      <c r="B145" t="s">
        <v>11</v>
      </c>
      <c r="C145">
        <v>58</v>
      </c>
      <c r="D145" t="s">
        <v>27</v>
      </c>
      <c r="E145" s="23">
        <v>45175</v>
      </c>
      <c r="F145">
        <v>96</v>
      </c>
      <c r="G145">
        <v>3.8589371980676304</v>
      </c>
      <c r="H145" t="s">
        <v>1108</v>
      </c>
      <c r="I145">
        <v>3.2</v>
      </c>
      <c r="J145">
        <v>2024</v>
      </c>
      <c r="K145" t="s">
        <v>33</v>
      </c>
      <c r="L145" t="s">
        <v>1109</v>
      </c>
      <c r="M145">
        <v>3</v>
      </c>
      <c r="N145">
        <v>60</v>
      </c>
      <c r="O145">
        <v>5404</v>
      </c>
      <c r="P145">
        <v>0.625</v>
      </c>
      <c r="Q145">
        <v>60</v>
      </c>
      <c r="R145">
        <v>0.625</v>
      </c>
      <c r="S145" t="s">
        <v>1061</v>
      </c>
      <c r="T145">
        <v>9</v>
      </c>
    </row>
    <row r="146" spans="1:20" x14ac:dyDescent="0.4">
      <c r="A146" t="s">
        <v>745</v>
      </c>
      <c r="B146" t="s">
        <v>13</v>
      </c>
      <c r="C146">
        <v>144</v>
      </c>
      <c r="D146" t="s">
        <v>27</v>
      </c>
      <c r="E146" s="23">
        <v>45176</v>
      </c>
      <c r="F146">
        <v>124</v>
      </c>
      <c r="G146">
        <v>3.8589371980676304</v>
      </c>
      <c r="H146" t="s">
        <v>1108</v>
      </c>
      <c r="I146">
        <v>2.2999999999999998</v>
      </c>
      <c r="J146">
        <v>2024</v>
      </c>
      <c r="K146" t="s">
        <v>37</v>
      </c>
      <c r="L146" t="s">
        <v>1112</v>
      </c>
      <c r="M146">
        <v>2</v>
      </c>
      <c r="N146">
        <v>74</v>
      </c>
      <c r="O146">
        <v>6749</v>
      </c>
      <c r="P146">
        <v>0.59677419354838712</v>
      </c>
      <c r="Q146">
        <v>74</v>
      </c>
      <c r="R146">
        <v>0.59677419354838712</v>
      </c>
      <c r="S146" t="s">
        <v>1061</v>
      </c>
      <c r="T146">
        <v>9</v>
      </c>
    </row>
    <row r="147" spans="1:20" x14ac:dyDescent="0.4">
      <c r="A147" t="s">
        <v>748</v>
      </c>
      <c r="B147" t="s">
        <v>8</v>
      </c>
      <c r="C147">
        <v>64</v>
      </c>
      <c r="D147" t="s">
        <v>27</v>
      </c>
      <c r="E147" s="23">
        <v>45177</v>
      </c>
      <c r="F147">
        <v>66</v>
      </c>
      <c r="G147">
        <v>3.8589371980676304</v>
      </c>
      <c r="H147" t="s">
        <v>1108</v>
      </c>
      <c r="I147">
        <v>4</v>
      </c>
      <c r="J147">
        <v>2024</v>
      </c>
      <c r="K147" t="s">
        <v>45</v>
      </c>
      <c r="L147" t="s">
        <v>1111</v>
      </c>
      <c r="M147">
        <v>4</v>
      </c>
      <c r="N147">
        <v>79</v>
      </c>
      <c r="O147">
        <v>7747</v>
      </c>
      <c r="P147">
        <v>1.196969696969697</v>
      </c>
      <c r="Q147">
        <v>79</v>
      </c>
      <c r="R147">
        <v>1.196969696969697</v>
      </c>
      <c r="S147" t="s">
        <v>1061</v>
      </c>
      <c r="T147">
        <v>9</v>
      </c>
    </row>
    <row r="148" spans="1:20" x14ac:dyDescent="0.4">
      <c r="A148" t="s">
        <v>750</v>
      </c>
      <c r="B148" t="s">
        <v>64</v>
      </c>
      <c r="C148">
        <v>36</v>
      </c>
      <c r="D148" t="s">
        <v>27</v>
      </c>
      <c r="E148" s="23">
        <v>45178</v>
      </c>
      <c r="F148">
        <v>152</v>
      </c>
      <c r="G148">
        <v>3.8589371980676304</v>
      </c>
      <c r="H148" t="s">
        <v>1108</v>
      </c>
      <c r="I148">
        <v>4.3</v>
      </c>
      <c r="J148">
        <v>2024</v>
      </c>
      <c r="K148" t="s">
        <v>48</v>
      </c>
      <c r="L148" t="s">
        <v>1109</v>
      </c>
      <c r="M148">
        <v>4</v>
      </c>
      <c r="N148">
        <v>65</v>
      </c>
      <c r="O148">
        <v>6785</v>
      </c>
      <c r="P148">
        <v>0.42763157894736842</v>
      </c>
      <c r="Q148">
        <v>65</v>
      </c>
      <c r="R148">
        <v>0.42763157894736842</v>
      </c>
      <c r="S148" t="s">
        <v>1061</v>
      </c>
      <c r="T148">
        <v>9</v>
      </c>
    </row>
    <row r="149" spans="1:20" x14ac:dyDescent="0.4">
      <c r="A149" t="s">
        <v>755</v>
      </c>
      <c r="B149" t="s">
        <v>64</v>
      </c>
      <c r="C149">
        <v>156</v>
      </c>
      <c r="D149" t="s">
        <v>27</v>
      </c>
      <c r="E149" s="23">
        <v>45179</v>
      </c>
      <c r="F149">
        <v>64</v>
      </c>
      <c r="G149">
        <v>3.8589371980676304</v>
      </c>
      <c r="H149" t="s">
        <v>1108</v>
      </c>
      <c r="I149">
        <v>2.7</v>
      </c>
      <c r="J149">
        <v>2024</v>
      </c>
      <c r="K149" t="s">
        <v>3</v>
      </c>
      <c r="L149" t="s">
        <v>1112</v>
      </c>
      <c r="M149">
        <v>3</v>
      </c>
      <c r="N149">
        <v>65</v>
      </c>
      <c r="O149">
        <v>6785</v>
      </c>
      <c r="P149">
        <v>1.015625</v>
      </c>
      <c r="Q149">
        <v>65</v>
      </c>
      <c r="R149">
        <v>1.015625</v>
      </c>
      <c r="S149" t="s">
        <v>1061</v>
      </c>
      <c r="T149">
        <v>9</v>
      </c>
    </row>
    <row r="150" spans="1:20" x14ac:dyDescent="0.4">
      <c r="A150" t="s">
        <v>759</v>
      </c>
      <c r="B150" t="s">
        <v>32</v>
      </c>
      <c r="C150">
        <v>75</v>
      </c>
      <c r="D150" t="s">
        <v>27</v>
      </c>
      <c r="E150" s="23">
        <v>45181</v>
      </c>
      <c r="F150">
        <v>120</v>
      </c>
      <c r="G150">
        <v>3.8589371980676304</v>
      </c>
      <c r="H150" t="s">
        <v>1108</v>
      </c>
      <c r="I150">
        <v>4.4000000000000004</v>
      </c>
      <c r="J150">
        <v>2024</v>
      </c>
      <c r="K150" t="s">
        <v>18</v>
      </c>
      <c r="L150" t="s">
        <v>1111</v>
      </c>
      <c r="M150">
        <v>4</v>
      </c>
      <c r="N150">
        <v>63</v>
      </c>
      <c r="O150">
        <v>5634</v>
      </c>
      <c r="P150">
        <v>0.52500000000000002</v>
      </c>
      <c r="Q150">
        <v>63</v>
      </c>
      <c r="R150">
        <v>0.52500000000000002</v>
      </c>
      <c r="S150" t="s">
        <v>1061</v>
      </c>
      <c r="T150">
        <v>9</v>
      </c>
    </row>
    <row r="151" spans="1:20" x14ac:dyDescent="0.4">
      <c r="A151" t="s">
        <v>761</v>
      </c>
      <c r="B151" t="s">
        <v>8</v>
      </c>
      <c r="C151">
        <v>76</v>
      </c>
      <c r="D151" t="s">
        <v>27</v>
      </c>
      <c r="E151" s="23">
        <v>45182</v>
      </c>
      <c r="F151">
        <v>108</v>
      </c>
      <c r="G151">
        <v>3.8589371980676304</v>
      </c>
      <c r="H151" t="s">
        <v>1108</v>
      </c>
      <c r="I151">
        <v>4.9000000000000004</v>
      </c>
      <c r="J151">
        <v>2024</v>
      </c>
      <c r="K151" t="s">
        <v>33</v>
      </c>
      <c r="L151" t="s">
        <v>1111</v>
      </c>
      <c r="M151">
        <v>5</v>
      </c>
      <c r="N151">
        <v>79</v>
      </c>
      <c r="O151">
        <v>7747</v>
      </c>
      <c r="P151">
        <v>0.73148148148148151</v>
      </c>
      <c r="Q151">
        <v>79</v>
      </c>
      <c r="R151">
        <v>0.73148148148148151</v>
      </c>
      <c r="S151" t="s">
        <v>1061</v>
      </c>
      <c r="T151">
        <v>9</v>
      </c>
    </row>
    <row r="152" spans="1:20" x14ac:dyDescent="0.4">
      <c r="A152" t="s">
        <v>762</v>
      </c>
      <c r="B152" t="s">
        <v>1</v>
      </c>
      <c r="C152">
        <v>110</v>
      </c>
      <c r="D152" t="s">
        <v>27</v>
      </c>
      <c r="E152" s="23">
        <v>45182</v>
      </c>
      <c r="F152">
        <v>180</v>
      </c>
      <c r="G152">
        <v>3.8589371980676304</v>
      </c>
      <c r="H152" t="s">
        <v>1108</v>
      </c>
      <c r="I152">
        <v>4.2</v>
      </c>
      <c r="J152">
        <v>2024</v>
      </c>
      <c r="K152" t="s">
        <v>33</v>
      </c>
      <c r="L152" t="s">
        <v>1111</v>
      </c>
      <c r="M152">
        <v>4</v>
      </c>
      <c r="N152">
        <v>50</v>
      </c>
      <c r="O152">
        <v>4804</v>
      </c>
      <c r="P152">
        <v>0.27777777777777779</v>
      </c>
      <c r="Q152">
        <v>50</v>
      </c>
      <c r="R152">
        <v>0.27777777777777779</v>
      </c>
      <c r="S152" t="s">
        <v>1061</v>
      </c>
      <c r="T152">
        <v>9</v>
      </c>
    </row>
    <row r="153" spans="1:20" x14ac:dyDescent="0.4">
      <c r="A153" t="s">
        <v>768</v>
      </c>
      <c r="B153" t="s">
        <v>64</v>
      </c>
      <c r="C153">
        <v>79</v>
      </c>
      <c r="D153" t="s">
        <v>27</v>
      </c>
      <c r="E153" s="23">
        <v>45188</v>
      </c>
      <c r="F153">
        <v>125</v>
      </c>
      <c r="G153">
        <v>3.8589371980676304</v>
      </c>
      <c r="H153" t="s">
        <v>1108</v>
      </c>
      <c r="I153">
        <v>4.8</v>
      </c>
      <c r="J153">
        <v>2024</v>
      </c>
      <c r="K153" t="s">
        <v>18</v>
      </c>
      <c r="L153" t="s">
        <v>1111</v>
      </c>
      <c r="M153">
        <v>5</v>
      </c>
      <c r="N153">
        <v>65</v>
      </c>
      <c r="O153">
        <v>6785</v>
      </c>
      <c r="P153">
        <v>0.52</v>
      </c>
      <c r="Q153">
        <v>65</v>
      </c>
      <c r="R153">
        <v>0.52</v>
      </c>
      <c r="S153" t="s">
        <v>1061</v>
      </c>
      <c r="T153">
        <v>9</v>
      </c>
    </row>
    <row r="154" spans="1:20" x14ac:dyDescent="0.4">
      <c r="A154" t="s">
        <v>783</v>
      </c>
      <c r="B154" t="s">
        <v>84</v>
      </c>
      <c r="C154">
        <v>109</v>
      </c>
      <c r="D154" t="s">
        <v>27</v>
      </c>
      <c r="E154" s="23">
        <v>45193</v>
      </c>
      <c r="F154">
        <v>52</v>
      </c>
      <c r="G154">
        <v>3.8589371980676304</v>
      </c>
      <c r="H154" t="s">
        <v>1108</v>
      </c>
      <c r="I154">
        <v>3.9</v>
      </c>
      <c r="J154">
        <v>2024</v>
      </c>
      <c r="K154" t="s">
        <v>3</v>
      </c>
      <c r="L154" t="s">
        <v>1111</v>
      </c>
      <c r="M154">
        <v>4</v>
      </c>
      <c r="N154">
        <v>59</v>
      </c>
      <c r="O154">
        <v>5009</v>
      </c>
      <c r="P154">
        <v>1.1346153846153846</v>
      </c>
      <c r="Q154">
        <v>59</v>
      </c>
      <c r="R154">
        <v>1.1346153846153846</v>
      </c>
      <c r="S154" t="s">
        <v>1061</v>
      </c>
      <c r="T154">
        <v>9</v>
      </c>
    </row>
    <row r="155" spans="1:20" x14ac:dyDescent="0.4">
      <c r="A155" t="s">
        <v>784</v>
      </c>
      <c r="B155" t="s">
        <v>21</v>
      </c>
      <c r="C155">
        <v>107</v>
      </c>
      <c r="D155" t="s">
        <v>27</v>
      </c>
      <c r="E155" s="23">
        <v>45193</v>
      </c>
      <c r="F155">
        <v>60</v>
      </c>
      <c r="G155">
        <v>3.8589371980676304</v>
      </c>
      <c r="H155" t="s">
        <v>1108</v>
      </c>
      <c r="I155">
        <v>4.2</v>
      </c>
      <c r="J155">
        <v>2024</v>
      </c>
      <c r="K155" t="s">
        <v>3</v>
      </c>
      <c r="L155" t="s">
        <v>1111</v>
      </c>
      <c r="M155">
        <v>4</v>
      </c>
      <c r="N155">
        <v>67</v>
      </c>
      <c r="O155">
        <v>7216</v>
      </c>
      <c r="P155">
        <v>1.1166666666666667</v>
      </c>
      <c r="Q155">
        <v>67</v>
      </c>
      <c r="R155">
        <v>1.1166666666666667</v>
      </c>
      <c r="S155" t="s">
        <v>1061</v>
      </c>
      <c r="T155">
        <v>9</v>
      </c>
    </row>
    <row r="156" spans="1:20" x14ac:dyDescent="0.4">
      <c r="A156" t="s">
        <v>801</v>
      </c>
      <c r="B156" t="s">
        <v>6</v>
      </c>
      <c r="C156">
        <v>120</v>
      </c>
      <c r="D156" t="s">
        <v>27</v>
      </c>
      <c r="E156" s="23">
        <v>45199</v>
      </c>
      <c r="F156">
        <v>68</v>
      </c>
      <c r="G156">
        <v>3.8589371980676304</v>
      </c>
      <c r="H156" t="s">
        <v>1108</v>
      </c>
      <c r="I156">
        <v>3.4</v>
      </c>
      <c r="J156">
        <v>2024</v>
      </c>
      <c r="K156" t="s">
        <v>48</v>
      </c>
      <c r="L156" t="s">
        <v>1111</v>
      </c>
      <c r="M156">
        <v>3</v>
      </c>
      <c r="N156">
        <v>82</v>
      </c>
      <c r="O156">
        <v>7689</v>
      </c>
      <c r="P156">
        <v>1.2058823529411764</v>
      </c>
      <c r="Q156">
        <v>82</v>
      </c>
      <c r="R156">
        <v>1.2058823529411764</v>
      </c>
      <c r="S156" t="s">
        <v>1061</v>
      </c>
      <c r="T156">
        <v>9</v>
      </c>
    </row>
    <row r="157" spans="1:20" x14ac:dyDescent="0.4">
      <c r="A157" t="s">
        <v>807</v>
      </c>
      <c r="B157" t="s">
        <v>32</v>
      </c>
      <c r="C157">
        <v>134</v>
      </c>
      <c r="D157" t="s">
        <v>27</v>
      </c>
      <c r="E157" s="23">
        <v>45199</v>
      </c>
      <c r="F157">
        <v>117</v>
      </c>
      <c r="G157">
        <v>3.8589371980676304</v>
      </c>
      <c r="H157" t="s">
        <v>1108</v>
      </c>
      <c r="I157">
        <v>4</v>
      </c>
      <c r="J157">
        <v>2024</v>
      </c>
      <c r="K157" t="s">
        <v>48</v>
      </c>
      <c r="L157" t="s">
        <v>1112</v>
      </c>
      <c r="M157">
        <v>4</v>
      </c>
      <c r="N157">
        <v>63</v>
      </c>
      <c r="O157">
        <v>5634</v>
      </c>
      <c r="P157">
        <v>0.53846153846153844</v>
      </c>
      <c r="Q157">
        <v>63</v>
      </c>
      <c r="R157">
        <v>0.53846153846153844</v>
      </c>
      <c r="S157" t="s">
        <v>1061</v>
      </c>
      <c r="T157">
        <v>9</v>
      </c>
    </row>
    <row r="158" spans="1:20" x14ac:dyDescent="0.4">
      <c r="A158" t="s">
        <v>809</v>
      </c>
      <c r="B158" t="s">
        <v>64</v>
      </c>
      <c r="C158">
        <v>12</v>
      </c>
      <c r="D158" t="s">
        <v>27</v>
      </c>
      <c r="E158" s="23">
        <v>45200</v>
      </c>
      <c r="F158">
        <v>117</v>
      </c>
      <c r="G158">
        <v>3.8589371980676304</v>
      </c>
      <c r="H158" t="s">
        <v>1108</v>
      </c>
      <c r="I158">
        <v>4.8</v>
      </c>
      <c r="J158">
        <v>2024</v>
      </c>
      <c r="K158" t="s">
        <v>3</v>
      </c>
      <c r="L158" t="s">
        <v>1110</v>
      </c>
      <c r="M158">
        <v>5</v>
      </c>
      <c r="N158">
        <v>65</v>
      </c>
      <c r="O158">
        <v>6785</v>
      </c>
      <c r="P158">
        <v>0.55555555555555558</v>
      </c>
      <c r="Q158">
        <v>65</v>
      </c>
      <c r="R158">
        <v>0.55555555555555558</v>
      </c>
      <c r="S158" t="s">
        <v>1062</v>
      </c>
      <c r="T158">
        <v>10</v>
      </c>
    </row>
    <row r="159" spans="1:20" x14ac:dyDescent="0.4">
      <c r="A159" t="s">
        <v>813</v>
      </c>
      <c r="B159" t="s">
        <v>21</v>
      </c>
      <c r="C159">
        <v>56</v>
      </c>
      <c r="D159" t="s">
        <v>27</v>
      </c>
      <c r="E159" s="23">
        <v>45200</v>
      </c>
      <c r="F159">
        <v>96</v>
      </c>
      <c r="G159">
        <v>3.8589371980676304</v>
      </c>
      <c r="H159" t="s">
        <v>1108</v>
      </c>
      <c r="I159">
        <v>4.7</v>
      </c>
      <c r="J159">
        <v>2024</v>
      </c>
      <c r="K159" t="s">
        <v>3</v>
      </c>
      <c r="L159" t="s">
        <v>1109</v>
      </c>
      <c r="M159">
        <v>5</v>
      </c>
      <c r="N159">
        <v>67</v>
      </c>
      <c r="O159">
        <v>7216</v>
      </c>
      <c r="P159">
        <v>0.69791666666666663</v>
      </c>
      <c r="Q159">
        <v>67</v>
      </c>
      <c r="R159">
        <v>0.69791666666666663</v>
      </c>
      <c r="S159" t="s">
        <v>1062</v>
      </c>
      <c r="T159">
        <v>10</v>
      </c>
    </row>
    <row r="160" spans="1:20" x14ac:dyDescent="0.4">
      <c r="A160" t="s">
        <v>818</v>
      </c>
      <c r="B160" t="s">
        <v>40</v>
      </c>
      <c r="C160">
        <v>114</v>
      </c>
      <c r="D160" t="s">
        <v>27</v>
      </c>
      <c r="E160" s="23">
        <v>45201</v>
      </c>
      <c r="F160">
        <v>135</v>
      </c>
      <c r="G160">
        <v>3.8589371980676304</v>
      </c>
      <c r="H160" t="s">
        <v>1108</v>
      </c>
      <c r="I160">
        <v>2</v>
      </c>
      <c r="J160">
        <v>2024</v>
      </c>
      <c r="K160" t="s">
        <v>15</v>
      </c>
      <c r="L160" t="s">
        <v>1111</v>
      </c>
      <c r="M160">
        <v>2</v>
      </c>
      <c r="N160">
        <v>69</v>
      </c>
      <c r="O160">
        <v>6601</v>
      </c>
      <c r="P160">
        <v>0.51111111111111107</v>
      </c>
      <c r="Q160">
        <v>69</v>
      </c>
      <c r="R160">
        <v>0.51111111111111107</v>
      </c>
      <c r="S160" t="s">
        <v>1062</v>
      </c>
      <c r="T160">
        <v>10</v>
      </c>
    </row>
    <row r="161" spans="1:20" x14ac:dyDescent="0.4">
      <c r="A161" t="s">
        <v>826</v>
      </c>
      <c r="B161" t="s">
        <v>11</v>
      </c>
      <c r="C161">
        <v>103</v>
      </c>
      <c r="D161" t="s">
        <v>27</v>
      </c>
      <c r="E161" s="23">
        <v>45203</v>
      </c>
      <c r="F161">
        <v>160</v>
      </c>
      <c r="G161">
        <v>3.8589371980676304</v>
      </c>
      <c r="H161" t="s">
        <v>1108</v>
      </c>
      <c r="I161">
        <v>4.5</v>
      </c>
      <c r="J161">
        <v>2024</v>
      </c>
      <c r="K161" t="s">
        <v>33</v>
      </c>
      <c r="L161" t="s">
        <v>1111</v>
      </c>
      <c r="M161">
        <v>5</v>
      </c>
      <c r="N161">
        <v>60</v>
      </c>
      <c r="O161">
        <v>5404</v>
      </c>
      <c r="P161">
        <v>0.375</v>
      </c>
      <c r="Q161">
        <v>60</v>
      </c>
      <c r="R161">
        <v>0.375</v>
      </c>
      <c r="S161" t="s">
        <v>1062</v>
      </c>
      <c r="T161">
        <v>10</v>
      </c>
    </row>
    <row r="162" spans="1:20" x14ac:dyDescent="0.4">
      <c r="A162" t="s">
        <v>831</v>
      </c>
      <c r="B162" t="s">
        <v>64</v>
      </c>
      <c r="C162">
        <v>78</v>
      </c>
      <c r="D162" t="s">
        <v>27</v>
      </c>
      <c r="E162" s="23">
        <v>45205</v>
      </c>
      <c r="F162">
        <v>74</v>
      </c>
      <c r="G162">
        <v>3.8589371980676304</v>
      </c>
      <c r="H162" t="s">
        <v>1108</v>
      </c>
      <c r="I162">
        <v>3.5</v>
      </c>
      <c r="J162">
        <v>2024</v>
      </c>
      <c r="K162" t="s">
        <v>45</v>
      </c>
      <c r="L162" t="s">
        <v>1111</v>
      </c>
      <c r="M162">
        <v>4</v>
      </c>
      <c r="N162">
        <v>65</v>
      </c>
      <c r="O162">
        <v>6785</v>
      </c>
      <c r="P162">
        <v>0.8783783783783784</v>
      </c>
      <c r="Q162">
        <v>65</v>
      </c>
      <c r="R162">
        <v>0.8783783783783784</v>
      </c>
      <c r="S162" t="s">
        <v>1062</v>
      </c>
      <c r="T162">
        <v>10</v>
      </c>
    </row>
    <row r="163" spans="1:20" x14ac:dyDescent="0.4">
      <c r="A163" t="s">
        <v>836</v>
      </c>
      <c r="B163" t="s">
        <v>8</v>
      </c>
      <c r="C163">
        <v>54</v>
      </c>
      <c r="D163" t="s">
        <v>27</v>
      </c>
      <c r="E163" s="23">
        <v>45206</v>
      </c>
      <c r="F163">
        <v>176</v>
      </c>
      <c r="G163">
        <v>3.8589371980676304</v>
      </c>
      <c r="H163" t="s">
        <v>1108</v>
      </c>
      <c r="I163">
        <v>4.4000000000000004</v>
      </c>
      <c r="J163">
        <v>2024</v>
      </c>
      <c r="K163" t="s">
        <v>48</v>
      </c>
      <c r="L163" t="s">
        <v>1109</v>
      </c>
      <c r="M163">
        <v>4</v>
      </c>
      <c r="N163">
        <v>79</v>
      </c>
      <c r="O163">
        <v>7747</v>
      </c>
      <c r="P163">
        <v>0.44886363636363635</v>
      </c>
      <c r="Q163">
        <v>79</v>
      </c>
      <c r="R163">
        <v>0.44886363636363635</v>
      </c>
      <c r="S163" t="s">
        <v>1062</v>
      </c>
      <c r="T163">
        <v>10</v>
      </c>
    </row>
    <row r="164" spans="1:20" x14ac:dyDescent="0.4">
      <c r="A164" t="s">
        <v>837</v>
      </c>
      <c r="B164" t="s">
        <v>8</v>
      </c>
      <c r="C164">
        <v>90</v>
      </c>
      <c r="D164" t="s">
        <v>27</v>
      </c>
      <c r="E164" s="23">
        <v>45206</v>
      </c>
      <c r="F164">
        <v>84</v>
      </c>
      <c r="G164">
        <v>3.8589371980676304</v>
      </c>
      <c r="H164" t="s">
        <v>1108</v>
      </c>
      <c r="I164">
        <v>4.3</v>
      </c>
      <c r="J164">
        <v>2024</v>
      </c>
      <c r="K164" t="s">
        <v>48</v>
      </c>
      <c r="L164" t="s">
        <v>1111</v>
      </c>
      <c r="M164">
        <v>4</v>
      </c>
      <c r="N164">
        <v>79</v>
      </c>
      <c r="O164">
        <v>7747</v>
      </c>
      <c r="P164">
        <v>0.94047619047619047</v>
      </c>
      <c r="Q164">
        <v>79</v>
      </c>
      <c r="R164">
        <v>0.94047619047619047</v>
      </c>
      <c r="S164" t="s">
        <v>1062</v>
      </c>
      <c r="T164">
        <v>10</v>
      </c>
    </row>
    <row r="165" spans="1:20" x14ac:dyDescent="0.4">
      <c r="A165" t="s">
        <v>838</v>
      </c>
      <c r="B165" t="s">
        <v>21</v>
      </c>
      <c r="C165">
        <v>66</v>
      </c>
      <c r="D165" t="s">
        <v>27</v>
      </c>
      <c r="E165" s="23">
        <v>45206</v>
      </c>
      <c r="F165">
        <v>136</v>
      </c>
      <c r="G165">
        <v>3.8589371980676304</v>
      </c>
      <c r="H165" t="s">
        <v>1108</v>
      </c>
      <c r="I165">
        <v>4.7</v>
      </c>
      <c r="J165">
        <v>2024</v>
      </c>
      <c r="K165" t="s">
        <v>48</v>
      </c>
      <c r="L165" t="s">
        <v>1111</v>
      </c>
      <c r="M165">
        <v>5</v>
      </c>
      <c r="N165">
        <v>67</v>
      </c>
      <c r="O165">
        <v>7216</v>
      </c>
      <c r="P165">
        <v>0.49264705882352944</v>
      </c>
      <c r="Q165">
        <v>67</v>
      </c>
      <c r="R165">
        <v>0.49264705882352944</v>
      </c>
      <c r="S165" t="s">
        <v>1062</v>
      </c>
      <c r="T165">
        <v>10</v>
      </c>
    </row>
    <row r="166" spans="1:20" x14ac:dyDescent="0.4">
      <c r="A166" t="s">
        <v>839</v>
      </c>
      <c r="B166" t="s">
        <v>13</v>
      </c>
      <c r="C166">
        <v>150</v>
      </c>
      <c r="D166" t="s">
        <v>27</v>
      </c>
      <c r="E166" s="23">
        <v>45207</v>
      </c>
      <c r="F166">
        <v>70</v>
      </c>
      <c r="G166">
        <v>3.8589371980676304</v>
      </c>
      <c r="H166" t="s">
        <v>1108</v>
      </c>
      <c r="I166">
        <v>4.0999999999999996</v>
      </c>
      <c r="J166">
        <v>2024</v>
      </c>
      <c r="K166" t="s">
        <v>3</v>
      </c>
      <c r="L166" t="s">
        <v>1112</v>
      </c>
      <c r="M166">
        <v>4</v>
      </c>
      <c r="N166">
        <v>74</v>
      </c>
      <c r="O166">
        <v>6749</v>
      </c>
      <c r="P166">
        <v>1.0571428571428572</v>
      </c>
      <c r="Q166">
        <v>74</v>
      </c>
      <c r="R166">
        <v>1.0571428571428572</v>
      </c>
      <c r="S166" t="s">
        <v>1062</v>
      </c>
      <c r="T166">
        <v>10</v>
      </c>
    </row>
    <row r="167" spans="1:20" x14ac:dyDescent="0.4">
      <c r="A167" t="s">
        <v>842</v>
      </c>
      <c r="B167" t="s">
        <v>30</v>
      </c>
      <c r="C167">
        <v>94</v>
      </c>
      <c r="D167" t="s">
        <v>27</v>
      </c>
      <c r="E167" s="23">
        <v>45208</v>
      </c>
      <c r="F167">
        <v>120</v>
      </c>
      <c r="G167">
        <v>3.8589371980676304</v>
      </c>
      <c r="H167" t="s">
        <v>1108</v>
      </c>
      <c r="I167">
        <v>3.4</v>
      </c>
      <c r="J167">
        <v>2024</v>
      </c>
      <c r="K167" t="s">
        <v>15</v>
      </c>
      <c r="L167" t="s">
        <v>1111</v>
      </c>
      <c r="M167">
        <v>3</v>
      </c>
      <c r="N167">
        <v>69</v>
      </c>
      <c r="O167">
        <v>7230</v>
      </c>
      <c r="P167">
        <v>0.57499999999999996</v>
      </c>
      <c r="Q167">
        <v>69</v>
      </c>
      <c r="R167">
        <v>0.57499999999999996</v>
      </c>
      <c r="S167" t="s">
        <v>1062</v>
      </c>
      <c r="T167">
        <v>10</v>
      </c>
    </row>
    <row r="168" spans="1:20" x14ac:dyDescent="0.4">
      <c r="A168" t="s">
        <v>843</v>
      </c>
      <c r="B168" t="s">
        <v>54</v>
      </c>
      <c r="C168">
        <v>56</v>
      </c>
      <c r="D168" t="s">
        <v>27</v>
      </c>
      <c r="E168" s="23">
        <v>45208</v>
      </c>
      <c r="F168">
        <v>205</v>
      </c>
      <c r="G168">
        <v>3.8589371980676304</v>
      </c>
      <c r="H168" t="s">
        <v>1108</v>
      </c>
      <c r="I168">
        <v>3.3</v>
      </c>
      <c r="J168">
        <v>2024</v>
      </c>
      <c r="K168" t="s">
        <v>15</v>
      </c>
      <c r="L168" t="s">
        <v>1109</v>
      </c>
      <c r="M168">
        <v>3</v>
      </c>
      <c r="N168">
        <v>70</v>
      </c>
      <c r="O168">
        <v>6819</v>
      </c>
      <c r="P168">
        <v>0.34146341463414637</v>
      </c>
      <c r="Q168">
        <v>70</v>
      </c>
      <c r="R168">
        <v>0.34146341463414637</v>
      </c>
      <c r="S168" t="s">
        <v>1062</v>
      </c>
      <c r="T168">
        <v>10</v>
      </c>
    </row>
    <row r="169" spans="1:20" x14ac:dyDescent="0.4">
      <c r="A169" t="s">
        <v>846</v>
      </c>
      <c r="B169" t="s">
        <v>11</v>
      </c>
      <c r="C169">
        <v>108</v>
      </c>
      <c r="D169" t="s">
        <v>27</v>
      </c>
      <c r="E169" s="23">
        <v>45209</v>
      </c>
      <c r="F169">
        <v>68</v>
      </c>
      <c r="G169">
        <v>3.8589371980676304</v>
      </c>
      <c r="H169" t="s">
        <v>1108</v>
      </c>
      <c r="I169">
        <v>2.5</v>
      </c>
      <c r="J169">
        <v>2024</v>
      </c>
      <c r="K169" t="s">
        <v>18</v>
      </c>
      <c r="L169" t="s">
        <v>1111</v>
      </c>
      <c r="M169">
        <v>3</v>
      </c>
      <c r="N169">
        <v>60</v>
      </c>
      <c r="O169">
        <v>5404</v>
      </c>
      <c r="P169">
        <v>0.88235294117647056</v>
      </c>
      <c r="Q169">
        <v>60</v>
      </c>
      <c r="R169">
        <v>0.88235294117647056</v>
      </c>
      <c r="S169" t="s">
        <v>1062</v>
      </c>
      <c r="T169">
        <v>10</v>
      </c>
    </row>
    <row r="170" spans="1:20" x14ac:dyDescent="0.4">
      <c r="A170" t="s">
        <v>848</v>
      </c>
      <c r="B170" t="s">
        <v>51</v>
      </c>
      <c r="C170">
        <v>59</v>
      </c>
      <c r="D170" t="s">
        <v>27</v>
      </c>
      <c r="E170" s="23">
        <v>45209</v>
      </c>
      <c r="F170">
        <v>152</v>
      </c>
      <c r="G170">
        <v>3.8589371980676304</v>
      </c>
      <c r="H170" t="s">
        <v>1108</v>
      </c>
      <c r="I170">
        <v>4.8</v>
      </c>
      <c r="J170">
        <v>2024</v>
      </c>
      <c r="K170" t="s">
        <v>18</v>
      </c>
      <c r="L170" t="s">
        <v>1109</v>
      </c>
      <c r="M170">
        <v>5</v>
      </c>
      <c r="N170">
        <v>59</v>
      </c>
      <c r="O170">
        <v>6518</v>
      </c>
      <c r="P170">
        <v>0.38815789473684209</v>
      </c>
      <c r="Q170">
        <v>59</v>
      </c>
      <c r="R170">
        <v>0.38815789473684209</v>
      </c>
      <c r="S170" t="s">
        <v>1062</v>
      </c>
      <c r="T170">
        <v>10</v>
      </c>
    </row>
    <row r="171" spans="1:20" x14ac:dyDescent="0.4">
      <c r="A171" t="s">
        <v>853</v>
      </c>
      <c r="B171" t="s">
        <v>84</v>
      </c>
      <c r="C171">
        <v>69</v>
      </c>
      <c r="D171" t="s">
        <v>27</v>
      </c>
      <c r="E171" s="23">
        <v>45210</v>
      </c>
      <c r="F171">
        <v>36</v>
      </c>
      <c r="G171">
        <v>3.8589371980676304</v>
      </c>
      <c r="H171" t="s">
        <v>1108</v>
      </c>
      <c r="I171">
        <v>4.5</v>
      </c>
      <c r="J171">
        <v>2024</v>
      </c>
      <c r="K171" t="s">
        <v>33</v>
      </c>
      <c r="L171" t="s">
        <v>1111</v>
      </c>
      <c r="M171">
        <v>5</v>
      </c>
      <c r="N171">
        <v>59</v>
      </c>
      <c r="O171">
        <v>5009</v>
      </c>
      <c r="P171">
        <v>1.6388888888888888</v>
      </c>
      <c r="Q171">
        <v>59</v>
      </c>
      <c r="R171">
        <v>1.6388888888888888</v>
      </c>
      <c r="S171" t="s">
        <v>1062</v>
      </c>
      <c r="T171">
        <v>10</v>
      </c>
    </row>
    <row r="172" spans="1:20" x14ac:dyDescent="0.4">
      <c r="A172" t="s">
        <v>858</v>
      </c>
      <c r="B172" t="s">
        <v>26</v>
      </c>
      <c r="C172">
        <v>124</v>
      </c>
      <c r="D172" t="s">
        <v>27</v>
      </c>
      <c r="E172" s="23">
        <v>45213</v>
      </c>
      <c r="F172">
        <v>29</v>
      </c>
      <c r="G172">
        <v>3.8589371980676304</v>
      </c>
      <c r="H172" t="s">
        <v>1108</v>
      </c>
      <c r="I172">
        <v>4.8</v>
      </c>
      <c r="J172">
        <v>2024</v>
      </c>
      <c r="K172" t="s">
        <v>48</v>
      </c>
      <c r="L172" t="s">
        <v>1112</v>
      </c>
      <c r="M172">
        <v>5</v>
      </c>
      <c r="N172">
        <v>72</v>
      </c>
      <c r="O172">
        <v>6242</v>
      </c>
      <c r="P172">
        <v>2.4827586206896552</v>
      </c>
      <c r="Q172">
        <v>72</v>
      </c>
      <c r="R172">
        <v>2.4827586206896552</v>
      </c>
      <c r="S172" t="s">
        <v>1062</v>
      </c>
      <c r="T172">
        <v>10</v>
      </c>
    </row>
    <row r="173" spans="1:20" x14ac:dyDescent="0.4">
      <c r="A173" t="s">
        <v>864</v>
      </c>
      <c r="B173" t="s">
        <v>13</v>
      </c>
      <c r="C173">
        <v>131</v>
      </c>
      <c r="D173" t="s">
        <v>27</v>
      </c>
      <c r="E173" s="23">
        <v>45214</v>
      </c>
      <c r="F173">
        <v>205</v>
      </c>
      <c r="G173">
        <v>3.8589371980676304</v>
      </c>
      <c r="H173" t="s">
        <v>1108</v>
      </c>
      <c r="I173">
        <v>4.8</v>
      </c>
      <c r="J173">
        <v>2024</v>
      </c>
      <c r="K173" t="s">
        <v>3</v>
      </c>
      <c r="L173" t="s">
        <v>1112</v>
      </c>
      <c r="M173">
        <v>5</v>
      </c>
      <c r="N173">
        <v>74</v>
      </c>
      <c r="O173">
        <v>6749</v>
      </c>
      <c r="P173">
        <v>0.36097560975609755</v>
      </c>
      <c r="Q173">
        <v>74</v>
      </c>
      <c r="R173">
        <v>0.36097560975609755</v>
      </c>
      <c r="S173" t="s">
        <v>1062</v>
      </c>
      <c r="T173">
        <v>10</v>
      </c>
    </row>
    <row r="174" spans="1:20" x14ac:dyDescent="0.4">
      <c r="A174" t="s">
        <v>866</v>
      </c>
      <c r="B174" t="s">
        <v>13</v>
      </c>
      <c r="C174">
        <v>70</v>
      </c>
      <c r="D174" t="s">
        <v>27</v>
      </c>
      <c r="E174" s="23">
        <v>45214</v>
      </c>
      <c r="F174">
        <v>50</v>
      </c>
      <c r="G174">
        <v>3.8589371980676304</v>
      </c>
      <c r="H174" t="s">
        <v>1108</v>
      </c>
      <c r="I174">
        <v>3.4</v>
      </c>
      <c r="J174">
        <v>2024</v>
      </c>
      <c r="K174" t="s">
        <v>3</v>
      </c>
      <c r="L174" t="s">
        <v>1111</v>
      </c>
      <c r="M174">
        <v>3</v>
      </c>
      <c r="N174">
        <v>74</v>
      </c>
      <c r="O174">
        <v>6749</v>
      </c>
      <c r="P174">
        <v>1.48</v>
      </c>
      <c r="Q174">
        <v>74</v>
      </c>
      <c r="R174">
        <v>1.48</v>
      </c>
      <c r="S174" t="s">
        <v>1062</v>
      </c>
      <c r="T174">
        <v>10</v>
      </c>
    </row>
    <row r="175" spans="1:20" x14ac:dyDescent="0.4">
      <c r="A175" t="s">
        <v>869</v>
      </c>
      <c r="B175" t="s">
        <v>11</v>
      </c>
      <c r="C175">
        <v>133</v>
      </c>
      <c r="D175" t="s">
        <v>27</v>
      </c>
      <c r="E175" s="23">
        <v>45215</v>
      </c>
      <c r="F175">
        <v>40</v>
      </c>
      <c r="G175">
        <v>3.8589371980676304</v>
      </c>
      <c r="H175" t="s">
        <v>1108</v>
      </c>
      <c r="I175">
        <v>3.9</v>
      </c>
      <c r="J175">
        <v>2024</v>
      </c>
      <c r="K175" t="s">
        <v>15</v>
      </c>
      <c r="L175" t="s">
        <v>1112</v>
      </c>
      <c r="M175">
        <v>4</v>
      </c>
      <c r="N175">
        <v>60</v>
      </c>
      <c r="O175">
        <v>5404</v>
      </c>
      <c r="P175">
        <v>1.5</v>
      </c>
      <c r="Q175">
        <v>60</v>
      </c>
      <c r="R175">
        <v>1.5</v>
      </c>
      <c r="S175" t="s">
        <v>1062</v>
      </c>
      <c r="T175">
        <v>10</v>
      </c>
    </row>
    <row r="176" spans="1:20" x14ac:dyDescent="0.4">
      <c r="A176" t="s">
        <v>871</v>
      </c>
      <c r="B176" t="s">
        <v>51</v>
      </c>
      <c r="C176">
        <v>103</v>
      </c>
      <c r="D176" t="s">
        <v>27</v>
      </c>
      <c r="E176" s="23">
        <v>45215</v>
      </c>
      <c r="F176">
        <v>78</v>
      </c>
      <c r="G176">
        <v>3.8589371980676304</v>
      </c>
      <c r="H176" t="s">
        <v>1108</v>
      </c>
      <c r="I176">
        <v>3</v>
      </c>
      <c r="J176">
        <v>2024</v>
      </c>
      <c r="K176" t="s">
        <v>15</v>
      </c>
      <c r="L176" t="s">
        <v>1111</v>
      </c>
      <c r="M176">
        <v>3</v>
      </c>
      <c r="N176">
        <v>59</v>
      </c>
      <c r="O176">
        <v>6518</v>
      </c>
      <c r="P176">
        <v>0.75641025641025639</v>
      </c>
      <c r="Q176">
        <v>59</v>
      </c>
      <c r="R176">
        <v>0.75641025641025639</v>
      </c>
      <c r="S176" t="s">
        <v>1062</v>
      </c>
      <c r="T176">
        <v>10</v>
      </c>
    </row>
    <row r="177" spans="1:20" x14ac:dyDescent="0.4">
      <c r="A177" t="s">
        <v>873</v>
      </c>
      <c r="B177" t="s">
        <v>11</v>
      </c>
      <c r="C177">
        <v>30</v>
      </c>
      <c r="D177" t="s">
        <v>27</v>
      </c>
      <c r="E177" s="23">
        <v>45215</v>
      </c>
      <c r="F177">
        <v>38</v>
      </c>
      <c r="G177">
        <v>3.8589371980676304</v>
      </c>
      <c r="H177" t="s">
        <v>1108</v>
      </c>
      <c r="I177">
        <v>3.7</v>
      </c>
      <c r="J177">
        <v>2024</v>
      </c>
      <c r="K177" t="s">
        <v>15</v>
      </c>
      <c r="L177" t="s">
        <v>1110</v>
      </c>
      <c r="M177">
        <v>4</v>
      </c>
      <c r="N177">
        <v>60</v>
      </c>
      <c r="O177">
        <v>5404</v>
      </c>
      <c r="P177">
        <v>1.5789473684210527</v>
      </c>
      <c r="Q177">
        <v>60</v>
      </c>
      <c r="R177">
        <v>1.5789473684210527</v>
      </c>
      <c r="S177" t="s">
        <v>1062</v>
      </c>
      <c r="T177">
        <v>10</v>
      </c>
    </row>
    <row r="178" spans="1:20" x14ac:dyDescent="0.4">
      <c r="A178" t="s">
        <v>876</v>
      </c>
      <c r="B178" t="s">
        <v>30</v>
      </c>
      <c r="C178">
        <v>96</v>
      </c>
      <c r="D178" t="s">
        <v>27</v>
      </c>
      <c r="E178" s="23">
        <v>45216</v>
      </c>
      <c r="F178">
        <v>215</v>
      </c>
      <c r="G178">
        <v>3.8589371980676304</v>
      </c>
      <c r="H178" t="s">
        <v>1108</v>
      </c>
      <c r="I178">
        <v>4</v>
      </c>
      <c r="J178">
        <v>2024</v>
      </c>
      <c r="K178" t="s">
        <v>18</v>
      </c>
      <c r="L178" t="s">
        <v>1111</v>
      </c>
      <c r="M178">
        <v>4</v>
      </c>
      <c r="N178">
        <v>69</v>
      </c>
      <c r="O178">
        <v>7230</v>
      </c>
      <c r="P178">
        <v>0.32093023255813952</v>
      </c>
      <c r="Q178">
        <v>69</v>
      </c>
      <c r="R178">
        <v>0.32093023255813952</v>
      </c>
      <c r="S178" t="s">
        <v>1062</v>
      </c>
      <c r="T178">
        <v>10</v>
      </c>
    </row>
    <row r="179" spans="1:20" x14ac:dyDescent="0.4">
      <c r="A179" t="s">
        <v>877</v>
      </c>
      <c r="B179" t="s">
        <v>26</v>
      </c>
      <c r="C179">
        <v>155</v>
      </c>
      <c r="D179" t="s">
        <v>27</v>
      </c>
      <c r="E179" s="23">
        <v>45217</v>
      </c>
      <c r="F179">
        <v>72</v>
      </c>
      <c r="G179">
        <v>3.8589371980676304</v>
      </c>
      <c r="H179" t="s">
        <v>1108</v>
      </c>
      <c r="I179">
        <v>4.7</v>
      </c>
      <c r="J179">
        <v>2024</v>
      </c>
      <c r="K179" t="s">
        <v>33</v>
      </c>
      <c r="L179" t="s">
        <v>1112</v>
      </c>
      <c r="M179">
        <v>5</v>
      </c>
      <c r="N179">
        <v>72</v>
      </c>
      <c r="O179">
        <v>6242</v>
      </c>
      <c r="P179">
        <v>1</v>
      </c>
      <c r="Q179">
        <v>72</v>
      </c>
      <c r="R179">
        <v>1</v>
      </c>
      <c r="S179" t="s">
        <v>1062</v>
      </c>
      <c r="T179">
        <v>10</v>
      </c>
    </row>
    <row r="180" spans="1:20" x14ac:dyDescent="0.4">
      <c r="A180" t="s">
        <v>879</v>
      </c>
      <c r="B180" t="s">
        <v>26</v>
      </c>
      <c r="C180">
        <v>127</v>
      </c>
      <c r="D180" t="s">
        <v>27</v>
      </c>
      <c r="E180" s="23">
        <v>45217</v>
      </c>
      <c r="F180">
        <v>165</v>
      </c>
      <c r="G180">
        <v>3.8589371980676304</v>
      </c>
      <c r="H180" t="s">
        <v>1108</v>
      </c>
      <c r="I180">
        <v>2.5</v>
      </c>
      <c r="J180">
        <v>2024</v>
      </c>
      <c r="K180" t="s">
        <v>33</v>
      </c>
      <c r="L180" t="s">
        <v>1112</v>
      </c>
      <c r="M180">
        <v>3</v>
      </c>
      <c r="N180">
        <v>72</v>
      </c>
      <c r="O180">
        <v>6242</v>
      </c>
      <c r="P180">
        <v>0.43636363636363634</v>
      </c>
      <c r="Q180">
        <v>72</v>
      </c>
      <c r="R180">
        <v>0.43636363636363634</v>
      </c>
      <c r="S180" t="s">
        <v>1062</v>
      </c>
      <c r="T180">
        <v>10</v>
      </c>
    </row>
    <row r="181" spans="1:20" x14ac:dyDescent="0.4">
      <c r="A181" t="s">
        <v>885</v>
      </c>
      <c r="B181" t="s">
        <v>30</v>
      </c>
      <c r="C181">
        <v>124</v>
      </c>
      <c r="D181" t="s">
        <v>27</v>
      </c>
      <c r="E181" s="23">
        <v>45218</v>
      </c>
      <c r="F181">
        <v>42</v>
      </c>
      <c r="G181">
        <v>3.8589371980676304</v>
      </c>
      <c r="H181" t="s">
        <v>1108</v>
      </c>
      <c r="I181">
        <v>3.7</v>
      </c>
      <c r="J181">
        <v>2024</v>
      </c>
      <c r="K181" t="s">
        <v>37</v>
      </c>
      <c r="L181" t="s">
        <v>1112</v>
      </c>
      <c r="M181">
        <v>4</v>
      </c>
      <c r="N181">
        <v>69</v>
      </c>
      <c r="O181">
        <v>7230</v>
      </c>
      <c r="P181">
        <v>1.6428571428571428</v>
      </c>
      <c r="Q181">
        <v>69</v>
      </c>
      <c r="R181">
        <v>1.6428571428571428</v>
      </c>
      <c r="S181" t="s">
        <v>1062</v>
      </c>
      <c r="T181">
        <v>10</v>
      </c>
    </row>
    <row r="182" spans="1:20" x14ac:dyDescent="0.4">
      <c r="A182" t="s">
        <v>886</v>
      </c>
      <c r="B182" t="s">
        <v>11</v>
      </c>
      <c r="C182">
        <v>94</v>
      </c>
      <c r="D182" t="s">
        <v>27</v>
      </c>
      <c r="E182" s="23">
        <v>45218</v>
      </c>
      <c r="F182">
        <v>120</v>
      </c>
      <c r="G182">
        <v>3.8589371980676304</v>
      </c>
      <c r="H182" t="s">
        <v>1108</v>
      </c>
      <c r="I182">
        <v>3.5</v>
      </c>
      <c r="J182">
        <v>2024</v>
      </c>
      <c r="K182" t="s">
        <v>37</v>
      </c>
      <c r="L182" t="s">
        <v>1111</v>
      </c>
      <c r="M182">
        <v>4</v>
      </c>
      <c r="N182">
        <v>60</v>
      </c>
      <c r="O182">
        <v>5404</v>
      </c>
      <c r="P182">
        <v>0.5</v>
      </c>
      <c r="Q182">
        <v>60</v>
      </c>
      <c r="R182">
        <v>0.5</v>
      </c>
      <c r="S182" t="s">
        <v>1062</v>
      </c>
      <c r="T182">
        <v>10</v>
      </c>
    </row>
    <row r="183" spans="1:20" x14ac:dyDescent="0.4">
      <c r="A183" t="s">
        <v>894</v>
      </c>
      <c r="B183" t="s">
        <v>84</v>
      </c>
      <c r="C183">
        <v>76</v>
      </c>
      <c r="D183" t="s">
        <v>27</v>
      </c>
      <c r="E183" s="23">
        <v>45221</v>
      </c>
      <c r="F183">
        <v>80</v>
      </c>
      <c r="G183">
        <v>3.8589371980676304</v>
      </c>
      <c r="H183" t="s">
        <v>1108</v>
      </c>
      <c r="I183">
        <v>4.5</v>
      </c>
      <c r="J183">
        <v>2024</v>
      </c>
      <c r="K183" t="s">
        <v>3</v>
      </c>
      <c r="L183" t="s">
        <v>1111</v>
      </c>
      <c r="M183">
        <v>5</v>
      </c>
      <c r="N183">
        <v>59</v>
      </c>
      <c r="O183">
        <v>5009</v>
      </c>
      <c r="P183">
        <v>0.73750000000000004</v>
      </c>
      <c r="Q183">
        <v>59</v>
      </c>
      <c r="R183">
        <v>0.73750000000000004</v>
      </c>
      <c r="S183" t="s">
        <v>1062</v>
      </c>
      <c r="T183">
        <v>10</v>
      </c>
    </row>
    <row r="184" spans="1:20" x14ac:dyDescent="0.4">
      <c r="A184" t="s">
        <v>897</v>
      </c>
      <c r="B184" t="s">
        <v>13</v>
      </c>
      <c r="C184">
        <v>19</v>
      </c>
      <c r="D184" t="s">
        <v>27</v>
      </c>
      <c r="E184" s="23">
        <v>45223</v>
      </c>
      <c r="F184">
        <v>58</v>
      </c>
      <c r="G184">
        <v>3.8589371980676304</v>
      </c>
      <c r="H184" t="s">
        <v>1108</v>
      </c>
      <c r="I184">
        <v>3.9</v>
      </c>
      <c r="J184">
        <v>2024</v>
      </c>
      <c r="K184" t="s">
        <v>18</v>
      </c>
      <c r="L184" t="s">
        <v>1110</v>
      </c>
      <c r="M184">
        <v>4</v>
      </c>
      <c r="N184">
        <v>74</v>
      </c>
      <c r="O184">
        <v>6749</v>
      </c>
      <c r="P184">
        <v>1.2758620689655173</v>
      </c>
      <c r="Q184">
        <v>74</v>
      </c>
      <c r="R184">
        <v>1.2758620689655173</v>
      </c>
      <c r="S184" t="s">
        <v>1062</v>
      </c>
      <c r="T184">
        <v>10</v>
      </c>
    </row>
    <row r="185" spans="1:20" x14ac:dyDescent="0.4">
      <c r="A185" t="s">
        <v>913</v>
      </c>
      <c r="B185" t="s">
        <v>30</v>
      </c>
      <c r="C185">
        <v>18</v>
      </c>
      <c r="D185" t="s">
        <v>27</v>
      </c>
      <c r="E185" s="23">
        <v>45227</v>
      </c>
      <c r="F185">
        <v>225</v>
      </c>
      <c r="G185">
        <v>3.8589371980676304</v>
      </c>
      <c r="H185" t="s">
        <v>1108</v>
      </c>
      <c r="I185">
        <v>2.6</v>
      </c>
      <c r="J185">
        <v>2024</v>
      </c>
      <c r="K185" t="s">
        <v>48</v>
      </c>
      <c r="L185" t="s">
        <v>1110</v>
      </c>
      <c r="M185">
        <v>3</v>
      </c>
      <c r="N185">
        <v>69</v>
      </c>
      <c r="O185">
        <v>7230</v>
      </c>
      <c r="P185">
        <v>0.30666666666666664</v>
      </c>
      <c r="Q185">
        <v>69</v>
      </c>
      <c r="R185">
        <v>0.30666666666666664</v>
      </c>
      <c r="S185" t="s">
        <v>1062</v>
      </c>
      <c r="T185">
        <v>10</v>
      </c>
    </row>
    <row r="186" spans="1:20" x14ac:dyDescent="0.4">
      <c r="A186" t="s">
        <v>918</v>
      </c>
      <c r="B186" t="s">
        <v>6</v>
      </c>
      <c r="C186">
        <v>31</v>
      </c>
      <c r="D186" t="s">
        <v>27</v>
      </c>
      <c r="E186" s="23">
        <v>45229</v>
      </c>
      <c r="F186">
        <v>105</v>
      </c>
      <c r="G186">
        <v>3.8589371980676304</v>
      </c>
      <c r="H186" t="s">
        <v>1108</v>
      </c>
      <c r="I186">
        <v>3.6</v>
      </c>
      <c r="J186">
        <v>2024</v>
      </c>
      <c r="K186" t="s">
        <v>15</v>
      </c>
      <c r="L186" t="s">
        <v>1109</v>
      </c>
      <c r="M186">
        <v>4</v>
      </c>
      <c r="N186">
        <v>82</v>
      </c>
      <c r="O186">
        <v>7689</v>
      </c>
      <c r="P186">
        <v>0.78095238095238095</v>
      </c>
      <c r="Q186">
        <v>82</v>
      </c>
      <c r="R186">
        <v>0.78095238095238095</v>
      </c>
      <c r="S186" t="s">
        <v>1062</v>
      </c>
      <c r="T186">
        <v>10</v>
      </c>
    </row>
    <row r="187" spans="1:20" x14ac:dyDescent="0.4">
      <c r="A187" t="s">
        <v>921</v>
      </c>
      <c r="B187" t="s">
        <v>1</v>
      </c>
      <c r="C187">
        <v>86</v>
      </c>
      <c r="D187" t="s">
        <v>27</v>
      </c>
      <c r="E187" s="23">
        <v>45230</v>
      </c>
      <c r="F187">
        <v>90</v>
      </c>
      <c r="G187">
        <v>3.8589371980676304</v>
      </c>
      <c r="H187" t="s">
        <v>1108</v>
      </c>
      <c r="I187">
        <v>4.4000000000000004</v>
      </c>
      <c r="J187">
        <v>2024</v>
      </c>
      <c r="K187" t="s">
        <v>18</v>
      </c>
      <c r="L187" t="s">
        <v>1111</v>
      </c>
      <c r="M187">
        <v>4</v>
      </c>
      <c r="N187">
        <v>50</v>
      </c>
      <c r="O187">
        <v>4804</v>
      </c>
      <c r="P187">
        <v>0.55555555555555558</v>
      </c>
      <c r="Q187">
        <v>50</v>
      </c>
      <c r="R187">
        <v>0.55555555555555558</v>
      </c>
      <c r="S187" t="s">
        <v>1062</v>
      </c>
      <c r="T187">
        <v>10</v>
      </c>
    </row>
    <row r="188" spans="1:20" x14ac:dyDescent="0.4">
      <c r="A188" t="s">
        <v>925</v>
      </c>
      <c r="B188" t="s">
        <v>64</v>
      </c>
      <c r="C188">
        <v>56</v>
      </c>
      <c r="D188" t="s">
        <v>27</v>
      </c>
      <c r="E188" s="23">
        <v>45233</v>
      </c>
      <c r="F188">
        <v>160</v>
      </c>
      <c r="G188">
        <v>3.8589371980676304</v>
      </c>
      <c r="H188" t="s">
        <v>1108</v>
      </c>
      <c r="I188">
        <v>3.8</v>
      </c>
      <c r="J188">
        <v>2024</v>
      </c>
      <c r="K188" t="s">
        <v>45</v>
      </c>
      <c r="L188" t="s">
        <v>1109</v>
      </c>
      <c r="M188">
        <v>4</v>
      </c>
      <c r="N188">
        <v>65</v>
      </c>
      <c r="O188">
        <v>6785</v>
      </c>
      <c r="P188">
        <v>0.40625</v>
      </c>
      <c r="Q188">
        <v>65</v>
      </c>
      <c r="R188">
        <v>0.40625</v>
      </c>
      <c r="S188" t="s">
        <v>1063</v>
      </c>
      <c r="T188">
        <v>11</v>
      </c>
    </row>
    <row r="189" spans="1:20" x14ac:dyDescent="0.4">
      <c r="A189" t="s">
        <v>930</v>
      </c>
      <c r="B189" t="s">
        <v>8</v>
      </c>
      <c r="C189">
        <v>91</v>
      </c>
      <c r="D189" t="s">
        <v>27</v>
      </c>
      <c r="E189" s="23">
        <v>45237</v>
      </c>
      <c r="F189">
        <v>110</v>
      </c>
      <c r="G189">
        <v>3.8589371980676304</v>
      </c>
      <c r="H189" t="s">
        <v>1108</v>
      </c>
      <c r="I189">
        <v>3.7</v>
      </c>
      <c r="J189">
        <v>2024</v>
      </c>
      <c r="K189" t="s">
        <v>18</v>
      </c>
      <c r="L189" t="s">
        <v>1111</v>
      </c>
      <c r="M189">
        <v>4</v>
      </c>
      <c r="N189">
        <v>79</v>
      </c>
      <c r="O189">
        <v>7747</v>
      </c>
      <c r="P189">
        <v>0.71818181818181814</v>
      </c>
      <c r="Q189">
        <v>79</v>
      </c>
      <c r="R189">
        <v>0.71818181818181814</v>
      </c>
      <c r="S189" t="s">
        <v>1063</v>
      </c>
      <c r="T189">
        <v>11</v>
      </c>
    </row>
    <row r="190" spans="1:20" x14ac:dyDescent="0.4">
      <c r="A190" t="s">
        <v>932</v>
      </c>
      <c r="B190" t="s">
        <v>51</v>
      </c>
      <c r="C190">
        <v>30</v>
      </c>
      <c r="D190" t="s">
        <v>27</v>
      </c>
      <c r="E190" s="23">
        <v>45238</v>
      </c>
      <c r="F190">
        <v>84</v>
      </c>
      <c r="G190">
        <v>3.8589371980676304</v>
      </c>
      <c r="H190" t="s">
        <v>1108</v>
      </c>
      <c r="I190">
        <v>4</v>
      </c>
      <c r="J190">
        <v>2024</v>
      </c>
      <c r="K190" t="s">
        <v>33</v>
      </c>
      <c r="L190" t="s">
        <v>1110</v>
      </c>
      <c r="M190">
        <v>4</v>
      </c>
      <c r="N190">
        <v>59</v>
      </c>
      <c r="O190">
        <v>6518</v>
      </c>
      <c r="P190">
        <v>0.70238095238095233</v>
      </c>
      <c r="Q190">
        <v>59</v>
      </c>
      <c r="R190">
        <v>0.70238095238095233</v>
      </c>
      <c r="S190" t="s">
        <v>1063</v>
      </c>
      <c r="T190">
        <v>11</v>
      </c>
    </row>
    <row r="191" spans="1:20" x14ac:dyDescent="0.4">
      <c r="A191" t="s">
        <v>943</v>
      </c>
      <c r="B191" t="s">
        <v>30</v>
      </c>
      <c r="C191">
        <v>62</v>
      </c>
      <c r="D191" t="s">
        <v>27</v>
      </c>
      <c r="E191" s="23">
        <v>45243</v>
      </c>
      <c r="F191">
        <v>175</v>
      </c>
      <c r="G191">
        <v>3.8589371980676304</v>
      </c>
      <c r="H191" t="s">
        <v>1108</v>
      </c>
      <c r="I191">
        <v>4.4000000000000004</v>
      </c>
      <c r="J191">
        <v>2024</v>
      </c>
      <c r="K191" t="s">
        <v>15</v>
      </c>
      <c r="L191" t="s">
        <v>1111</v>
      </c>
      <c r="M191">
        <v>4</v>
      </c>
      <c r="N191">
        <v>69</v>
      </c>
      <c r="O191">
        <v>7230</v>
      </c>
      <c r="P191">
        <v>0.39428571428571429</v>
      </c>
      <c r="Q191">
        <v>69</v>
      </c>
      <c r="R191">
        <v>0.39428571428571429</v>
      </c>
      <c r="S191" t="s">
        <v>1063</v>
      </c>
      <c r="T191">
        <v>11</v>
      </c>
    </row>
    <row r="192" spans="1:20" x14ac:dyDescent="0.4">
      <c r="A192" t="s">
        <v>948</v>
      </c>
      <c r="B192" t="s">
        <v>64</v>
      </c>
      <c r="C192">
        <v>138</v>
      </c>
      <c r="D192" t="s">
        <v>27</v>
      </c>
      <c r="E192" s="23">
        <v>45244</v>
      </c>
      <c r="F192">
        <v>105</v>
      </c>
      <c r="G192">
        <v>3.8589371980676304</v>
      </c>
      <c r="H192" t="s">
        <v>1108</v>
      </c>
      <c r="I192">
        <v>3.9</v>
      </c>
      <c r="J192">
        <v>2024</v>
      </c>
      <c r="K192" t="s">
        <v>18</v>
      </c>
      <c r="L192" t="s">
        <v>1112</v>
      </c>
      <c r="M192">
        <v>4</v>
      </c>
      <c r="N192">
        <v>65</v>
      </c>
      <c r="O192">
        <v>6785</v>
      </c>
      <c r="P192">
        <v>0.61904761904761907</v>
      </c>
      <c r="Q192">
        <v>65</v>
      </c>
      <c r="R192">
        <v>0.61904761904761907</v>
      </c>
      <c r="S192" t="s">
        <v>1063</v>
      </c>
      <c r="T192">
        <v>11</v>
      </c>
    </row>
    <row r="193" spans="1:20" x14ac:dyDescent="0.4">
      <c r="A193" t="s">
        <v>951</v>
      </c>
      <c r="B193" t="s">
        <v>1</v>
      </c>
      <c r="C193">
        <v>64</v>
      </c>
      <c r="D193" t="s">
        <v>27</v>
      </c>
      <c r="E193" s="23">
        <v>45245</v>
      </c>
      <c r="F193">
        <v>225</v>
      </c>
      <c r="G193">
        <v>3.8589371980676304</v>
      </c>
      <c r="H193" t="s">
        <v>1108</v>
      </c>
      <c r="I193">
        <v>4.5999999999999996</v>
      </c>
      <c r="J193">
        <v>2024</v>
      </c>
      <c r="K193" t="s">
        <v>33</v>
      </c>
      <c r="L193" t="s">
        <v>1111</v>
      </c>
      <c r="M193">
        <v>5</v>
      </c>
      <c r="N193">
        <v>50</v>
      </c>
      <c r="O193">
        <v>4804</v>
      </c>
      <c r="P193">
        <v>0.22222222222222221</v>
      </c>
      <c r="Q193">
        <v>50</v>
      </c>
      <c r="R193">
        <v>0.22222222222222221</v>
      </c>
      <c r="S193" t="s">
        <v>1063</v>
      </c>
      <c r="T193">
        <v>11</v>
      </c>
    </row>
    <row r="194" spans="1:20" x14ac:dyDescent="0.4">
      <c r="A194" t="s">
        <v>952</v>
      </c>
      <c r="B194" t="s">
        <v>8</v>
      </c>
      <c r="C194">
        <v>53</v>
      </c>
      <c r="D194" t="s">
        <v>27</v>
      </c>
      <c r="E194" s="23">
        <v>45246</v>
      </c>
      <c r="F194">
        <v>37</v>
      </c>
      <c r="G194">
        <v>3.8589371980676304</v>
      </c>
      <c r="H194" t="s">
        <v>1108</v>
      </c>
      <c r="I194">
        <v>4.0999999999999996</v>
      </c>
      <c r="J194">
        <v>2024</v>
      </c>
      <c r="K194" t="s">
        <v>37</v>
      </c>
      <c r="L194" t="s">
        <v>1109</v>
      </c>
      <c r="M194">
        <v>4</v>
      </c>
      <c r="N194">
        <v>79</v>
      </c>
      <c r="O194">
        <v>7747</v>
      </c>
      <c r="P194">
        <v>2.1351351351351351</v>
      </c>
      <c r="Q194">
        <v>79</v>
      </c>
      <c r="R194">
        <v>2.1351351351351351</v>
      </c>
      <c r="S194" t="s">
        <v>1063</v>
      </c>
      <c r="T194">
        <v>11</v>
      </c>
    </row>
    <row r="195" spans="1:20" x14ac:dyDescent="0.4">
      <c r="A195" t="s">
        <v>956</v>
      </c>
      <c r="B195" t="s">
        <v>26</v>
      </c>
      <c r="C195">
        <v>71</v>
      </c>
      <c r="D195" t="s">
        <v>27</v>
      </c>
      <c r="E195" s="23">
        <v>45247</v>
      </c>
      <c r="F195">
        <v>64</v>
      </c>
      <c r="G195">
        <v>3.8589371980676304</v>
      </c>
      <c r="H195" t="s">
        <v>1108</v>
      </c>
      <c r="I195">
        <v>3.9</v>
      </c>
      <c r="J195">
        <v>2024</v>
      </c>
      <c r="K195" t="s">
        <v>45</v>
      </c>
      <c r="L195" t="s">
        <v>1111</v>
      </c>
      <c r="M195">
        <v>4</v>
      </c>
      <c r="N195">
        <v>72</v>
      </c>
      <c r="O195">
        <v>6242</v>
      </c>
      <c r="P195">
        <v>1.125</v>
      </c>
      <c r="Q195">
        <v>72</v>
      </c>
      <c r="R195">
        <v>1.125</v>
      </c>
      <c r="S195" t="s">
        <v>1063</v>
      </c>
      <c r="T195">
        <v>11</v>
      </c>
    </row>
    <row r="196" spans="1:20" x14ac:dyDescent="0.4">
      <c r="A196" t="s">
        <v>960</v>
      </c>
      <c r="B196" t="s">
        <v>54</v>
      </c>
      <c r="C196">
        <v>107</v>
      </c>
      <c r="D196" t="s">
        <v>27</v>
      </c>
      <c r="E196" s="23">
        <v>45248</v>
      </c>
      <c r="F196">
        <v>23</v>
      </c>
      <c r="G196">
        <v>3.8589371980676304</v>
      </c>
      <c r="H196" t="s">
        <v>1108</v>
      </c>
      <c r="I196">
        <v>3.4</v>
      </c>
      <c r="J196">
        <v>2024</v>
      </c>
      <c r="K196" t="s">
        <v>48</v>
      </c>
      <c r="L196" t="s">
        <v>1111</v>
      </c>
      <c r="M196">
        <v>3</v>
      </c>
      <c r="N196">
        <v>70</v>
      </c>
      <c r="O196">
        <v>6819</v>
      </c>
      <c r="P196">
        <v>3.0434782608695654</v>
      </c>
      <c r="Q196">
        <v>70</v>
      </c>
      <c r="R196">
        <v>3.0434782608695654</v>
      </c>
      <c r="S196" t="s">
        <v>1063</v>
      </c>
      <c r="T196">
        <v>11</v>
      </c>
    </row>
    <row r="197" spans="1:20" x14ac:dyDescent="0.4">
      <c r="A197" t="s">
        <v>962</v>
      </c>
      <c r="B197" t="s">
        <v>64</v>
      </c>
      <c r="C197">
        <v>69</v>
      </c>
      <c r="D197" t="s">
        <v>27</v>
      </c>
      <c r="E197" s="23">
        <v>45250</v>
      </c>
      <c r="F197">
        <v>225</v>
      </c>
      <c r="G197">
        <v>3.8589371980676304</v>
      </c>
      <c r="H197" t="s">
        <v>1108</v>
      </c>
      <c r="I197">
        <v>3.7</v>
      </c>
      <c r="J197">
        <v>2024</v>
      </c>
      <c r="K197" t="s">
        <v>15</v>
      </c>
      <c r="L197" t="s">
        <v>1111</v>
      </c>
      <c r="M197">
        <v>4</v>
      </c>
      <c r="N197">
        <v>65</v>
      </c>
      <c r="O197">
        <v>6785</v>
      </c>
      <c r="P197">
        <v>0.28888888888888886</v>
      </c>
      <c r="Q197">
        <v>65</v>
      </c>
      <c r="R197">
        <v>0.28888888888888886</v>
      </c>
      <c r="S197" t="s">
        <v>1063</v>
      </c>
      <c r="T197">
        <v>11</v>
      </c>
    </row>
    <row r="198" spans="1:20" x14ac:dyDescent="0.4">
      <c r="A198" t="s">
        <v>964</v>
      </c>
      <c r="B198" t="s">
        <v>11</v>
      </c>
      <c r="C198">
        <v>158</v>
      </c>
      <c r="D198" t="s">
        <v>27</v>
      </c>
      <c r="E198" s="23">
        <v>45251</v>
      </c>
      <c r="F198">
        <v>36</v>
      </c>
      <c r="G198">
        <v>3.8589371980676304</v>
      </c>
      <c r="H198" t="s">
        <v>1108</v>
      </c>
      <c r="I198">
        <v>3</v>
      </c>
      <c r="J198">
        <v>2024</v>
      </c>
      <c r="K198" t="s">
        <v>18</v>
      </c>
      <c r="L198" t="s">
        <v>1112</v>
      </c>
      <c r="M198">
        <v>3</v>
      </c>
      <c r="N198">
        <v>60</v>
      </c>
      <c r="O198">
        <v>5404</v>
      </c>
      <c r="P198">
        <v>1.6666666666666667</v>
      </c>
      <c r="Q198">
        <v>60</v>
      </c>
      <c r="R198">
        <v>1.6666666666666667</v>
      </c>
      <c r="S198" t="s">
        <v>1063</v>
      </c>
      <c r="T198">
        <v>11</v>
      </c>
    </row>
    <row r="199" spans="1:20" x14ac:dyDescent="0.4">
      <c r="A199" t="s">
        <v>965</v>
      </c>
      <c r="B199" t="s">
        <v>21</v>
      </c>
      <c r="C199">
        <v>99</v>
      </c>
      <c r="D199" t="s">
        <v>27</v>
      </c>
      <c r="E199" s="23">
        <v>45253</v>
      </c>
      <c r="F199">
        <v>116</v>
      </c>
      <c r="G199">
        <v>3.8589371980676304</v>
      </c>
      <c r="H199" t="s">
        <v>1108</v>
      </c>
      <c r="I199">
        <v>3.9</v>
      </c>
      <c r="J199">
        <v>2024</v>
      </c>
      <c r="K199" t="s">
        <v>37</v>
      </c>
      <c r="L199" t="s">
        <v>1111</v>
      </c>
      <c r="M199">
        <v>4</v>
      </c>
      <c r="N199">
        <v>67</v>
      </c>
      <c r="O199">
        <v>7216</v>
      </c>
      <c r="P199">
        <v>0.57758620689655171</v>
      </c>
      <c r="Q199">
        <v>67</v>
      </c>
      <c r="R199">
        <v>0.57758620689655171</v>
      </c>
      <c r="S199" t="s">
        <v>1063</v>
      </c>
      <c r="T199">
        <v>11</v>
      </c>
    </row>
    <row r="200" spans="1:20" x14ac:dyDescent="0.4">
      <c r="A200" t="s">
        <v>969</v>
      </c>
      <c r="B200" t="s">
        <v>32</v>
      </c>
      <c r="C200">
        <v>56</v>
      </c>
      <c r="D200" t="s">
        <v>27</v>
      </c>
      <c r="E200" s="23">
        <v>45254</v>
      </c>
      <c r="F200">
        <v>205</v>
      </c>
      <c r="G200">
        <v>3.8589371980676304</v>
      </c>
      <c r="H200" t="s">
        <v>1108</v>
      </c>
      <c r="I200">
        <v>4.3</v>
      </c>
      <c r="J200">
        <v>2024</v>
      </c>
      <c r="K200" t="s">
        <v>45</v>
      </c>
      <c r="L200" t="s">
        <v>1109</v>
      </c>
      <c r="M200">
        <v>4</v>
      </c>
      <c r="N200">
        <v>63</v>
      </c>
      <c r="O200">
        <v>5634</v>
      </c>
      <c r="P200">
        <v>0.3073170731707317</v>
      </c>
      <c r="Q200">
        <v>63</v>
      </c>
      <c r="R200">
        <v>0.3073170731707317</v>
      </c>
      <c r="S200" t="s">
        <v>1063</v>
      </c>
      <c r="T200">
        <v>11</v>
      </c>
    </row>
    <row r="201" spans="1:20" x14ac:dyDescent="0.4">
      <c r="A201" t="s">
        <v>977</v>
      </c>
      <c r="B201" t="s">
        <v>30</v>
      </c>
      <c r="C201">
        <v>2</v>
      </c>
      <c r="D201" t="s">
        <v>27</v>
      </c>
      <c r="E201" s="23">
        <v>45259</v>
      </c>
      <c r="F201">
        <v>62</v>
      </c>
      <c r="G201">
        <v>3.8589371980676304</v>
      </c>
      <c r="H201" t="s">
        <v>1108</v>
      </c>
      <c r="I201">
        <v>2.8</v>
      </c>
      <c r="J201">
        <v>2024</v>
      </c>
      <c r="K201" t="s">
        <v>33</v>
      </c>
      <c r="L201" t="s">
        <v>1113</v>
      </c>
      <c r="M201">
        <v>3</v>
      </c>
      <c r="N201">
        <v>69</v>
      </c>
      <c r="O201">
        <v>7230</v>
      </c>
      <c r="P201">
        <v>1.1129032258064515</v>
      </c>
      <c r="Q201">
        <v>69</v>
      </c>
      <c r="R201">
        <v>1.1129032258064515</v>
      </c>
      <c r="S201" t="s">
        <v>1063</v>
      </c>
      <c r="T201">
        <v>11</v>
      </c>
    </row>
    <row r="202" spans="1:20" x14ac:dyDescent="0.4">
      <c r="A202" t="s">
        <v>980</v>
      </c>
      <c r="B202" t="s">
        <v>11</v>
      </c>
      <c r="C202">
        <v>79</v>
      </c>
      <c r="D202" t="s">
        <v>27</v>
      </c>
      <c r="E202" s="23">
        <v>45261</v>
      </c>
      <c r="F202">
        <v>115</v>
      </c>
      <c r="G202">
        <v>3.8589371980676304</v>
      </c>
      <c r="H202" t="s">
        <v>1108</v>
      </c>
      <c r="I202">
        <v>2.2999999999999998</v>
      </c>
      <c r="J202">
        <v>2024</v>
      </c>
      <c r="K202" t="s">
        <v>45</v>
      </c>
      <c r="L202" t="s">
        <v>1111</v>
      </c>
      <c r="M202">
        <v>2</v>
      </c>
      <c r="N202">
        <v>60</v>
      </c>
      <c r="O202">
        <v>5404</v>
      </c>
      <c r="P202">
        <v>0.52173913043478259</v>
      </c>
      <c r="Q202">
        <v>60</v>
      </c>
      <c r="R202">
        <v>0.52173913043478259</v>
      </c>
      <c r="S202" t="s">
        <v>1064</v>
      </c>
      <c r="T202">
        <v>12</v>
      </c>
    </row>
    <row r="203" spans="1:20" x14ac:dyDescent="0.4">
      <c r="A203" t="s">
        <v>987</v>
      </c>
      <c r="B203" t="s">
        <v>11</v>
      </c>
      <c r="C203">
        <v>51</v>
      </c>
      <c r="D203" t="s">
        <v>27</v>
      </c>
      <c r="E203" s="23">
        <v>45263</v>
      </c>
      <c r="F203">
        <v>64</v>
      </c>
      <c r="G203">
        <v>3.8589371980676304</v>
      </c>
      <c r="H203" t="s">
        <v>1108</v>
      </c>
      <c r="I203">
        <v>3.7</v>
      </c>
      <c r="J203">
        <v>2024</v>
      </c>
      <c r="K203" t="s">
        <v>3</v>
      </c>
      <c r="L203" t="s">
        <v>1109</v>
      </c>
      <c r="M203">
        <v>4</v>
      </c>
      <c r="N203">
        <v>60</v>
      </c>
      <c r="O203">
        <v>5404</v>
      </c>
      <c r="P203">
        <v>0.9375</v>
      </c>
      <c r="Q203">
        <v>60</v>
      </c>
      <c r="R203">
        <v>0.9375</v>
      </c>
      <c r="S203" t="s">
        <v>1064</v>
      </c>
      <c r="T203">
        <v>12</v>
      </c>
    </row>
    <row r="204" spans="1:20" x14ac:dyDescent="0.4">
      <c r="A204" t="s">
        <v>992</v>
      </c>
      <c r="B204" t="s">
        <v>54</v>
      </c>
      <c r="C204">
        <v>50</v>
      </c>
      <c r="D204" t="s">
        <v>27</v>
      </c>
      <c r="E204" s="23">
        <v>45268</v>
      </c>
      <c r="F204">
        <v>54</v>
      </c>
      <c r="G204">
        <v>3.8589371980676304</v>
      </c>
      <c r="H204" t="s">
        <v>1108</v>
      </c>
      <c r="I204">
        <v>4.3</v>
      </c>
      <c r="J204">
        <v>2024</v>
      </c>
      <c r="K204" t="s">
        <v>45</v>
      </c>
      <c r="L204" t="s">
        <v>1109</v>
      </c>
      <c r="M204">
        <v>4</v>
      </c>
      <c r="N204">
        <v>70</v>
      </c>
      <c r="O204">
        <v>6819</v>
      </c>
      <c r="P204">
        <v>1.2962962962962963</v>
      </c>
      <c r="Q204">
        <v>70</v>
      </c>
      <c r="R204">
        <v>1.2962962962962963</v>
      </c>
      <c r="S204" t="s">
        <v>1064</v>
      </c>
      <c r="T204">
        <v>12</v>
      </c>
    </row>
    <row r="205" spans="1:20" x14ac:dyDescent="0.4">
      <c r="A205" t="s">
        <v>995</v>
      </c>
      <c r="B205" t="s">
        <v>54</v>
      </c>
      <c r="C205">
        <v>96</v>
      </c>
      <c r="D205" t="s">
        <v>27</v>
      </c>
      <c r="E205" s="23">
        <v>45273</v>
      </c>
      <c r="F205">
        <v>164</v>
      </c>
      <c r="G205">
        <v>3.8589371980676304</v>
      </c>
      <c r="H205" t="s">
        <v>1108</v>
      </c>
      <c r="I205">
        <v>4.8</v>
      </c>
      <c r="J205">
        <v>2024</v>
      </c>
      <c r="K205" t="s">
        <v>33</v>
      </c>
      <c r="L205" t="s">
        <v>1111</v>
      </c>
      <c r="M205">
        <v>5</v>
      </c>
      <c r="N205">
        <v>70</v>
      </c>
      <c r="O205">
        <v>6819</v>
      </c>
      <c r="P205">
        <v>0.42682926829268292</v>
      </c>
      <c r="Q205">
        <v>70</v>
      </c>
      <c r="R205">
        <v>0.42682926829268292</v>
      </c>
      <c r="S205" t="s">
        <v>1064</v>
      </c>
      <c r="T205">
        <v>12</v>
      </c>
    </row>
    <row r="206" spans="1:20" x14ac:dyDescent="0.4">
      <c r="A206" t="s">
        <v>998</v>
      </c>
      <c r="B206" t="s">
        <v>84</v>
      </c>
      <c r="C206">
        <v>127</v>
      </c>
      <c r="D206" t="s">
        <v>27</v>
      </c>
      <c r="E206" s="23">
        <v>45275</v>
      </c>
      <c r="F206">
        <v>145</v>
      </c>
      <c r="G206">
        <v>3.8589371980676304</v>
      </c>
      <c r="H206" t="s">
        <v>1108</v>
      </c>
      <c r="I206">
        <v>2.6</v>
      </c>
      <c r="J206">
        <v>2024</v>
      </c>
      <c r="K206" t="s">
        <v>45</v>
      </c>
      <c r="L206" t="s">
        <v>1112</v>
      </c>
      <c r="M206">
        <v>3</v>
      </c>
      <c r="N206">
        <v>59</v>
      </c>
      <c r="O206">
        <v>5009</v>
      </c>
      <c r="P206">
        <v>0.40689655172413791</v>
      </c>
      <c r="Q206">
        <v>59</v>
      </c>
      <c r="R206">
        <v>0.40689655172413791</v>
      </c>
      <c r="S206" t="s">
        <v>1064</v>
      </c>
      <c r="T206">
        <v>12</v>
      </c>
    </row>
    <row r="207" spans="1:20" x14ac:dyDescent="0.4">
      <c r="A207" t="s">
        <v>1008</v>
      </c>
      <c r="B207" t="s">
        <v>8</v>
      </c>
      <c r="C207">
        <v>84</v>
      </c>
      <c r="D207" t="s">
        <v>27</v>
      </c>
      <c r="E207" s="23">
        <v>45279</v>
      </c>
      <c r="F207">
        <v>180</v>
      </c>
      <c r="G207">
        <v>3.8589371980676304</v>
      </c>
      <c r="H207" t="s">
        <v>1108</v>
      </c>
      <c r="I207">
        <v>4.9000000000000004</v>
      </c>
      <c r="J207">
        <v>2024</v>
      </c>
      <c r="K207" t="s">
        <v>18</v>
      </c>
      <c r="L207" t="s">
        <v>1111</v>
      </c>
      <c r="M207">
        <v>5</v>
      </c>
      <c r="N207">
        <v>79</v>
      </c>
      <c r="O207">
        <v>7747</v>
      </c>
      <c r="P207">
        <v>0.43888888888888888</v>
      </c>
      <c r="Q207">
        <v>79</v>
      </c>
      <c r="R207">
        <v>0.43888888888888888</v>
      </c>
      <c r="S207" t="s">
        <v>1064</v>
      </c>
      <c r="T207">
        <v>12</v>
      </c>
    </row>
    <row r="208" spans="1:20" x14ac:dyDescent="0.4">
      <c r="A208" t="s">
        <v>1013</v>
      </c>
      <c r="B208" t="s">
        <v>11</v>
      </c>
      <c r="C208">
        <v>91</v>
      </c>
      <c r="D208" t="s">
        <v>27</v>
      </c>
      <c r="E208" s="23">
        <v>45284</v>
      </c>
      <c r="F208">
        <v>42</v>
      </c>
      <c r="G208">
        <v>3.8589371980676304</v>
      </c>
      <c r="H208" t="s">
        <v>1108</v>
      </c>
      <c r="I208">
        <v>4.0999999999999996</v>
      </c>
      <c r="J208">
        <v>2024</v>
      </c>
      <c r="K208" t="s">
        <v>3</v>
      </c>
      <c r="L208" t="s">
        <v>1111</v>
      </c>
      <c r="M208">
        <v>4</v>
      </c>
      <c r="N208">
        <v>60</v>
      </c>
      <c r="O208">
        <v>5404</v>
      </c>
      <c r="P208">
        <v>1.4285714285714286</v>
      </c>
      <c r="Q208">
        <v>60</v>
      </c>
      <c r="R208">
        <v>1.4285714285714286</v>
      </c>
      <c r="S208" t="s">
        <v>1064</v>
      </c>
      <c r="T208">
        <v>12</v>
      </c>
    </row>
    <row r="209" spans="1:20" x14ac:dyDescent="0.4">
      <c r="A209" t="s">
        <v>1021</v>
      </c>
      <c r="B209" t="s">
        <v>32</v>
      </c>
      <c r="C209">
        <v>86</v>
      </c>
      <c r="D209" t="s">
        <v>27</v>
      </c>
      <c r="E209" s="23">
        <v>45288</v>
      </c>
      <c r="F209">
        <v>205</v>
      </c>
      <c r="G209">
        <v>3.8589371980676304</v>
      </c>
      <c r="H209" t="s">
        <v>1108</v>
      </c>
      <c r="I209">
        <v>4.5</v>
      </c>
      <c r="J209">
        <v>2024</v>
      </c>
      <c r="K209" t="s">
        <v>37</v>
      </c>
      <c r="L209" t="s">
        <v>1111</v>
      </c>
      <c r="M209">
        <v>5</v>
      </c>
      <c r="N209">
        <v>63</v>
      </c>
      <c r="O209">
        <v>5634</v>
      </c>
      <c r="P209">
        <v>0.3073170731707317</v>
      </c>
      <c r="Q209">
        <v>63</v>
      </c>
      <c r="R209">
        <v>0.3073170731707317</v>
      </c>
      <c r="S209" t="s">
        <v>1064</v>
      </c>
      <c r="T209">
        <v>12</v>
      </c>
    </row>
    <row r="210" spans="1:20" x14ac:dyDescent="0.4">
      <c r="A210" t="s">
        <v>1022</v>
      </c>
      <c r="B210" t="s">
        <v>8</v>
      </c>
      <c r="C210">
        <v>164</v>
      </c>
      <c r="D210" t="s">
        <v>27</v>
      </c>
      <c r="E210" s="23">
        <v>45289</v>
      </c>
      <c r="F210">
        <v>100</v>
      </c>
      <c r="G210">
        <v>3.8589371980676304</v>
      </c>
      <c r="H210" t="s">
        <v>1108</v>
      </c>
      <c r="I210">
        <v>4.5999999999999996</v>
      </c>
      <c r="J210">
        <v>2024</v>
      </c>
      <c r="K210" t="s">
        <v>45</v>
      </c>
      <c r="L210" t="s">
        <v>1112</v>
      </c>
      <c r="M210">
        <v>5</v>
      </c>
      <c r="N210">
        <v>79</v>
      </c>
      <c r="O210">
        <v>7747</v>
      </c>
      <c r="P210">
        <v>0.79</v>
      </c>
      <c r="Q210">
        <v>79</v>
      </c>
      <c r="R210">
        <v>0.79</v>
      </c>
      <c r="S210" t="s">
        <v>1064</v>
      </c>
      <c r="T210">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632D-353E-41DA-A556-11CF0FC5012F}">
  <dimension ref="A1:T189"/>
  <sheetViews>
    <sheetView workbookViewId="0"/>
  </sheetViews>
  <sheetFormatPr defaultRowHeight="15" x14ac:dyDescent="0.4"/>
  <cols>
    <col min="1" max="1" width="15.1328125" bestFit="1" customWidth="1"/>
    <col min="2" max="2" width="15.3984375" bestFit="1" customWidth="1"/>
    <col min="3" max="3" width="12.73046875" bestFit="1" customWidth="1"/>
    <col min="4" max="4" width="16.59765625" bestFit="1" customWidth="1"/>
    <col min="5" max="5" width="14.86328125" bestFit="1" customWidth="1"/>
    <col min="6" max="6" width="19" bestFit="1" customWidth="1"/>
    <col min="7" max="7" width="17.73046875" bestFit="1" customWidth="1"/>
    <col min="8" max="8" width="12.3984375" bestFit="1" customWidth="1"/>
    <col min="9" max="9" width="19.53125" bestFit="1" customWidth="1"/>
    <col min="10" max="10" width="8.46484375" bestFit="1" customWidth="1"/>
    <col min="11" max="11" width="15" bestFit="1" customWidth="1"/>
    <col min="12" max="12" width="17.796875" bestFit="1" customWidth="1"/>
    <col min="13" max="13" width="17.19921875" bestFit="1" customWidth="1"/>
    <col min="14" max="14" width="26.6640625" bestFit="1" customWidth="1"/>
    <col min="15" max="15" width="24.1328125" bestFit="1" customWidth="1"/>
    <col min="16" max="16" width="25.53125" bestFit="1" customWidth="1"/>
    <col min="17" max="17" width="13.3984375" bestFit="1" customWidth="1"/>
    <col min="18" max="18" width="21.265625" bestFit="1" customWidth="1"/>
    <col min="19" max="19" width="21.3984375" bestFit="1" customWidth="1"/>
    <col min="20" max="20" width="25.59765625" bestFit="1" customWidth="1"/>
  </cols>
  <sheetData>
    <row r="1" spans="1:20" x14ac:dyDescent="0.4">
      <c r="A1" s="1" t="s">
        <v>1115</v>
      </c>
    </row>
    <row r="3" spans="1:20" x14ac:dyDescent="0.4">
      <c r="A3" t="s">
        <v>1088</v>
      </c>
      <c r="B3" t="s">
        <v>1089</v>
      </c>
      <c r="C3" t="s">
        <v>1090</v>
      </c>
      <c r="D3" t="s">
        <v>1091</v>
      </c>
      <c r="E3" t="s">
        <v>1092</v>
      </c>
      <c r="F3" t="s">
        <v>1093</v>
      </c>
      <c r="G3" t="s">
        <v>1094</v>
      </c>
      <c r="H3" t="s">
        <v>1095</v>
      </c>
      <c r="I3" t="s">
        <v>1096</v>
      </c>
      <c r="J3" t="s">
        <v>1097</v>
      </c>
      <c r="K3" t="s">
        <v>1098</v>
      </c>
      <c r="L3" t="s">
        <v>1099</v>
      </c>
      <c r="M3" t="s">
        <v>1100</v>
      </c>
      <c r="N3" t="s">
        <v>1101</v>
      </c>
      <c r="O3" t="s">
        <v>1102</v>
      </c>
      <c r="P3" t="s">
        <v>1103</v>
      </c>
      <c r="Q3" t="s">
        <v>1104</v>
      </c>
      <c r="R3" t="s">
        <v>1105</v>
      </c>
      <c r="S3" t="s">
        <v>1106</v>
      </c>
      <c r="T3" t="s">
        <v>1107</v>
      </c>
    </row>
    <row r="4" spans="1:20" x14ac:dyDescent="0.4">
      <c r="A4" t="s">
        <v>22</v>
      </c>
      <c r="B4" t="s">
        <v>1</v>
      </c>
      <c r="C4">
        <v>103</v>
      </c>
      <c r="D4" t="s">
        <v>23</v>
      </c>
      <c r="E4" s="23">
        <v>44929</v>
      </c>
      <c r="F4">
        <v>148</v>
      </c>
      <c r="G4">
        <v>3.8973118279569863</v>
      </c>
      <c r="H4" t="s">
        <v>1108</v>
      </c>
      <c r="I4">
        <v>4.4000000000000004</v>
      </c>
      <c r="J4">
        <v>2023</v>
      </c>
      <c r="K4" t="s">
        <v>18</v>
      </c>
      <c r="L4" t="s">
        <v>1111</v>
      </c>
      <c r="M4">
        <v>4</v>
      </c>
      <c r="N4">
        <v>50</v>
      </c>
      <c r="O4">
        <v>4804</v>
      </c>
      <c r="P4">
        <v>0.33783783783783783</v>
      </c>
      <c r="Q4">
        <v>50</v>
      </c>
      <c r="R4">
        <v>0.33783783783783783</v>
      </c>
      <c r="S4" t="s">
        <v>1053</v>
      </c>
      <c r="T4">
        <v>1</v>
      </c>
    </row>
    <row r="5" spans="1:20" x14ac:dyDescent="0.4">
      <c r="A5" t="s">
        <v>47</v>
      </c>
      <c r="B5" t="s">
        <v>6</v>
      </c>
      <c r="C5">
        <v>38</v>
      </c>
      <c r="D5" t="s">
        <v>23</v>
      </c>
      <c r="E5" s="23">
        <v>44933</v>
      </c>
      <c r="F5">
        <v>92</v>
      </c>
      <c r="G5">
        <v>3.8973118279569863</v>
      </c>
      <c r="H5" t="s">
        <v>1108</v>
      </c>
      <c r="I5">
        <v>4.9000000000000004</v>
      </c>
      <c r="J5">
        <v>2023</v>
      </c>
      <c r="K5" t="s">
        <v>48</v>
      </c>
      <c r="L5" t="s">
        <v>1109</v>
      </c>
      <c r="M5">
        <v>5</v>
      </c>
      <c r="N5">
        <v>82</v>
      </c>
      <c r="O5">
        <v>7689</v>
      </c>
      <c r="P5">
        <v>0.89130434782608692</v>
      </c>
      <c r="Q5">
        <v>82</v>
      </c>
      <c r="R5">
        <v>0.89130434782608692</v>
      </c>
      <c r="S5" t="s">
        <v>1053</v>
      </c>
      <c r="T5">
        <v>1</v>
      </c>
    </row>
    <row r="6" spans="1:20" x14ac:dyDescent="0.4">
      <c r="A6" t="s">
        <v>49</v>
      </c>
      <c r="B6" t="s">
        <v>1</v>
      </c>
      <c r="C6">
        <v>67</v>
      </c>
      <c r="D6" t="s">
        <v>23</v>
      </c>
      <c r="E6" s="23">
        <v>44934</v>
      </c>
      <c r="F6">
        <v>165</v>
      </c>
      <c r="G6">
        <v>3.8973118279569863</v>
      </c>
      <c r="H6" t="s">
        <v>1108</v>
      </c>
      <c r="I6">
        <v>4.5</v>
      </c>
      <c r="J6">
        <v>2023</v>
      </c>
      <c r="K6" t="s">
        <v>3</v>
      </c>
      <c r="L6" t="s">
        <v>1111</v>
      </c>
      <c r="M6">
        <v>5</v>
      </c>
      <c r="N6">
        <v>50</v>
      </c>
      <c r="O6">
        <v>4804</v>
      </c>
      <c r="P6">
        <v>0.30303030303030304</v>
      </c>
      <c r="Q6">
        <v>50</v>
      </c>
      <c r="R6">
        <v>0.30303030303030304</v>
      </c>
      <c r="S6" t="s">
        <v>1053</v>
      </c>
      <c r="T6">
        <v>1</v>
      </c>
    </row>
    <row r="7" spans="1:20" x14ac:dyDescent="0.4">
      <c r="A7" t="s">
        <v>57</v>
      </c>
      <c r="B7" t="s">
        <v>40</v>
      </c>
      <c r="C7">
        <v>31</v>
      </c>
      <c r="D7" t="s">
        <v>23</v>
      </c>
      <c r="E7" s="23">
        <v>44936</v>
      </c>
      <c r="F7">
        <v>123</v>
      </c>
      <c r="G7">
        <v>3.8973118279569863</v>
      </c>
      <c r="H7" t="s">
        <v>1108</v>
      </c>
      <c r="I7">
        <v>2.9</v>
      </c>
      <c r="J7">
        <v>2023</v>
      </c>
      <c r="K7" t="s">
        <v>18</v>
      </c>
      <c r="L7" t="s">
        <v>1109</v>
      </c>
      <c r="M7">
        <v>3</v>
      </c>
      <c r="N7">
        <v>69</v>
      </c>
      <c r="O7">
        <v>6601</v>
      </c>
      <c r="P7">
        <v>0.56097560975609762</v>
      </c>
      <c r="Q7">
        <v>69</v>
      </c>
      <c r="R7">
        <v>0.56097560975609762</v>
      </c>
      <c r="S7" t="s">
        <v>1053</v>
      </c>
      <c r="T7">
        <v>1</v>
      </c>
    </row>
    <row r="8" spans="1:20" x14ac:dyDescent="0.4">
      <c r="A8" t="s">
        <v>68</v>
      </c>
      <c r="B8" t="s">
        <v>51</v>
      </c>
      <c r="C8">
        <v>81</v>
      </c>
      <c r="D8" t="s">
        <v>23</v>
      </c>
      <c r="E8" s="23">
        <v>44943</v>
      </c>
      <c r="F8">
        <v>86</v>
      </c>
      <c r="G8">
        <v>3.8973118279569863</v>
      </c>
      <c r="H8" t="s">
        <v>1108</v>
      </c>
      <c r="I8">
        <v>2.4</v>
      </c>
      <c r="J8">
        <v>2023</v>
      </c>
      <c r="K8" t="s">
        <v>18</v>
      </c>
      <c r="L8" t="s">
        <v>1111</v>
      </c>
      <c r="M8">
        <v>2</v>
      </c>
      <c r="N8">
        <v>59</v>
      </c>
      <c r="O8">
        <v>6518</v>
      </c>
      <c r="P8">
        <v>0.68604651162790697</v>
      </c>
      <c r="Q8">
        <v>59</v>
      </c>
      <c r="R8">
        <v>0.68604651162790697</v>
      </c>
      <c r="S8" t="s">
        <v>1053</v>
      </c>
      <c r="T8">
        <v>1</v>
      </c>
    </row>
    <row r="9" spans="1:20" x14ac:dyDescent="0.4">
      <c r="A9" t="s">
        <v>70</v>
      </c>
      <c r="B9" t="s">
        <v>6</v>
      </c>
      <c r="C9">
        <v>74</v>
      </c>
      <c r="D9" t="s">
        <v>23</v>
      </c>
      <c r="E9" s="23">
        <v>44943</v>
      </c>
      <c r="F9">
        <v>96</v>
      </c>
      <c r="G9">
        <v>3.8973118279569863</v>
      </c>
      <c r="H9" t="s">
        <v>1108</v>
      </c>
      <c r="I9">
        <v>4.7</v>
      </c>
      <c r="J9">
        <v>2023</v>
      </c>
      <c r="K9" t="s">
        <v>18</v>
      </c>
      <c r="L9" t="s">
        <v>1111</v>
      </c>
      <c r="M9">
        <v>5</v>
      </c>
      <c r="N9">
        <v>82</v>
      </c>
      <c r="O9">
        <v>7689</v>
      </c>
      <c r="P9">
        <v>0.85416666666666663</v>
      </c>
      <c r="Q9">
        <v>82</v>
      </c>
      <c r="R9">
        <v>0.85416666666666663</v>
      </c>
      <c r="S9" t="s">
        <v>1053</v>
      </c>
      <c r="T9">
        <v>1</v>
      </c>
    </row>
    <row r="10" spans="1:20" x14ac:dyDescent="0.4">
      <c r="A10" t="s">
        <v>81</v>
      </c>
      <c r="B10" t="s">
        <v>30</v>
      </c>
      <c r="C10">
        <v>100</v>
      </c>
      <c r="D10" t="s">
        <v>23</v>
      </c>
      <c r="E10" s="23">
        <v>44947</v>
      </c>
      <c r="F10">
        <v>135</v>
      </c>
      <c r="G10">
        <v>3.8973118279569863</v>
      </c>
      <c r="H10" t="s">
        <v>1108</v>
      </c>
      <c r="I10">
        <v>3.8</v>
      </c>
      <c r="J10">
        <v>2023</v>
      </c>
      <c r="K10" t="s">
        <v>48</v>
      </c>
      <c r="L10" t="s">
        <v>1111</v>
      </c>
      <c r="M10">
        <v>4</v>
      </c>
      <c r="N10">
        <v>69</v>
      </c>
      <c r="O10">
        <v>7230</v>
      </c>
      <c r="P10">
        <v>0.51111111111111107</v>
      </c>
      <c r="Q10">
        <v>69</v>
      </c>
      <c r="R10">
        <v>0.51111111111111107</v>
      </c>
      <c r="S10" t="s">
        <v>1053</v>
      </c>
      <c r="T10">
        <v>1</v>
      </c>
    </row>
    <row r="11" spans="1:20" x14ac:dyDescent="0.4">
      <c r="A11" t="s">
        <v>92</v>
      </c>
      <c r="B11" t="s">
        <v>26</v>
      </c>
      <c r="C11">
        <v>130</v>
      </c>
      <c r="D11" t="s">
        <v>23</v>
      </c>
      <c r="E11" s="23">
        <v>44950</v>
      </c>
      <c r="F11">
        <v>126</v>
      </c>
      <c r="G11">
        <v>3.8973118279569863</v>
      </c>
      <c r="H11" t="s">
        <v>1108</v>
      </c>
      <c r="I11">
        <v>2.5</v>
      </c>
      <c r="J11">
        <v>2023</v>
      </c>
      <c r="K11" t="s">
        <v>18</v>
      </c>
      <c r="L11" t="s">
        <v>1112</v>
      </c>
      <c r="M11">
        <v>3</v>
      </c>
      <c r="N11">
        <v>72</v>
      </c>
      <c r="O11">
        <v>6242</v>
      </c>
      <c r="P11">
        <v>0.5714285714285714</v>
      </c>
      <c r="Q11">
        <v>72</v>
      </c>
      <c r="R11">
        <v>0.5714285714285714</v>
      </c>
      <c r="S11" t="s">
        <v>1053</v>
      </c>
      <c r="T11">
        <v>1</v>
      </c>
    </row>
    <row r="12" spans="1:20" x14ac:dyDescent="0.4">
      <c r="A12" t="s">
        <v>95</v>
      </c>
      <c r="B12" t="s">
        <v>64</v>
      </c>
      <c r="C12">
        <v>147</v>
      </c>
      <c r="D12" t="s">
        <v>23</v>
      </c>
      <c r="E12" s="23">
        <v>44951</v>
      </c>
      <c r="F12">
        <v>105</v>
      </c>
      <c r="G12">
        <v>3.8973118279569863</v>
      </c>
      <c r="H12" t="s">
        <v>1108</v>
      </c>
      <c r="I12">
        <v>4.4000000000000004</v>
      </c>
      <c r="J12">
        <v>2023</v>
      </c>
      <c r="K12" t="s">
        <v>33</v>
      </c>
      <c r="L12" t="s">
        <v>1112</v>
      </c>
      <c r="M12">
        <v>4</v>
      </c>
      <c r="N12">
        <v>65</v>
      </c>
      <c r="O12">
        <v>6785</v>
      </c>
      <c r="P12">
        <v>0.61904761904761907</v>
      </c>
      <c r="Q12">
        <v>65</v>
      </c>
      <c r="R12">
        <v>0.61904761904761907</v>
      </c>
      <c r="S12" t="s">
        <v>1053</v>
      </c>
      <c r="T12">
        <v>1</v>
      </c>
    </row>
    <row r="13" spans="1:20" x14ac:dyDescent="0.4">
      <c r="A13" t="s">
        <v>98</v>
      </c>
      <c r="B13" t="s">
        <v>26</v>
      </c>
      <c r="C13">
        <v>124</v>
      </c>
      <c r="D13" t="s">
        <v>23</v>
      </c>
      <c r="E13" s="23">
        <v>44953</v>
      </c>
      <c r="F13">
        <v>215</v>
      </c>
      <c r="G13">
        <v>3.8973118279569863</v>
      </c>
      <c r="H13" t="s">
        <v>1108</v>
      </c>
      <c r="I13">
        <v>4.0999999999999996</v>
      </c>
      <c r="J13">
        <v>2023</v>
      </c>
      <c r="K13" t="s">
        <v>45</v>
      </c>
      <c r="L13" t="s">
        <v>1112</v>
      </c>
      <c r="M13">
        <v>4</v>
      </c>
      <c r="N13">
        <v>72</v>
      </c>
      <c r="O13">
        <v>6242</v>
      </c>
      <c r="P13">
        <v>0.33488372093023255</v>
      </c>
      <c r="Q13">
        <v>72</v>
      </c>
      <c r="R13">
        <v>0.33488372093023255</v>
      </c>
      <c r="S13" t="s">
        <v>1053</v>
      </c>
      <c r="T13">
        <v>1</v>
      </c>
    </row>
    <row r="14" spans="1:20" x14ac:dyDescent="0.4">
      <c r="A14" t="s">
        <v>111</v>
      </c>
      <c r="B14" t="s">
        <v>26</v>
      </c>
      <c r="C14">
        <v>45</v>
      </c>
      <c r="D14" t="s">
        <v>23</v>
      </c>
      <c r="E14" s="23">
        <v>44958</v>
      </c>
      <c r="F14">
        <v>34</v>
      </c>
      <c r="G14">
        <v>3.8973118279569863</v>
      </c>
      <c r="H14" t="s">
        <v>1108</v>
      </c>
      <c r="I14">
        <v>3.7</v>
      </c>
      <c r="J14">
        <v>2023</v>
      </c>
      <c r="K14" t="s">
        <v>33</v>
      </c>
      <c r="L14" t="s">
        <v>1109</v>
      </c>
      <c r="M14">
        <v>4</v>
      </c>
      <c r="N14">
        <v>72</v>
      </c>
      <c r="O14">
        <v>6242</v>
      </c>
      <c r="P14">
        <v>2.1176470588235294</v>
      </c>
      <c r="Q14">
        <v>72</v>
      </c>
      <c r="R14">
        <v>2.1176470588235294</v>
      </c>
      <c r="S14" t="s">
        <v>1054</v>
      </c>
      <c r="T14">
        <v>2</v>
      </c>
    </row>
    <row r="15" spans="1:20" x14ac:dyDescent="0.4">
      <c r="A15" t="s">
        <v>115</v>
      </c>
      <c r="B15" t="s">
        <v>13</v>
      </c>
      <c r="C15">
        <v>137</v>
      </c>
      <c r="D15" t="s">
        <v>23</v>
      </c>
      <c r="E15" s="23">
        <v>44958</v>
      </c>
      <c r="F15">
        <v>90</v>
      </c>
      <c r="G15">
        <v>3.8973118279569863</v>
      </c>
      <c r="H15" t="s">
        <v>1108</v>
      </c>
      <c r="I15">
        <v>4.0999999999999996</v>
      </c>
      <c r="J15">
        <v>2023</v>
      </c>
      <c r="K15" t="s">
        <v>33</v>
      </c>
      <c r="L15" t="s">
        <v>1112</v>
      </c>
      <c r="M15">
        <v>4</v>
      </c>
      <c r="N15">
        <v>74</v>
      </c>
      <c r="O15">
        <v>6749</v>
      </c>
      <c r="P15">
        <v>0.82222222222222219</v>
      </c>
      <c r="Q15">
        <v>74</v>
      </c>
      <c r="R15">
        <v>0.82222222222222219</v>
      </c>
      <c r="S15" t="s">
        <v>1054</v>
      </c>
      <c r="T15">
        <v>2</v>
      </c>
    </row>
    <row r="16" spans="1:20" x14ac:dyDescent="0.4">
      <c r="A16" t="s">
        <v>123</v>
      </c>
      <c r="B16" t="s">
        <v>21</v>
      </c>
      <c r="C16">
        <v>135</v>
      </c>
      <c r="D16" t="s">
        <v>23</v>
      </c>
      <c r="E16" s="23">
        <v>44964</v>
      </c>
      <c r="F16">
        <v>35</v>
      </c>
      <c r="G16">
        <v>3.8973118279569863</v>
      </c>
      <c r="H16" t="s">
        <v>1108</v>
      </c>
      <c r="I16">
        <v>4.8</v>
      </c>
      <c r="J16">
        <v>2023</v>
      </c>
      <c r="K16" t="s">
        <v>18</v>
      </c>
      <c r="L16" t="s">
        <v>1112</v>
      </c>
      <c r="M16">
        <v>5</v>
      </c>
      <c r="N16">
        <v>67</v>
      </c>
      <c r="O16">
        <v>7216</v>
      </c>
      <c r="P16">
        <v>1.9142857142857144</v>
      </c>
      <c r="Q16">
        <v>67</v>
      </c>
      <c r="R16">
        <v>1.9142857142857144</v>
      </c>
      <c r="S16" t="s">
        <v>1054</v>
      </c>
      <c r="T16">
        <v>2</v>
      </c>
    </row>
    <row r="17" spans="1:20" x14ac:dyDescent="0.4">
      <c r="A17" t="s">
        <v>133</v>
      </c>
      <c r="B17" t="s">
        <v>40</v>
      </c>
      <c r="C17">
        <v>67</v>
      </c>
      <c r="D17" t="s">
        <v>23</v>
      </c>
      <c r="E17" s="23">
        <v>44968</v>
      </c>
      <c r="F17">
        <v>24</v>
      </c>
      <c r="G17">
        <v>3.8973118279569863</v>
      </c>
      <c r="H17" t="s">
        <v>1108</v>
      </c>
      <c r="I17">
        <v>4.3</v>
      </c>
      <c r="J17">
        <v>2023</v>
      </c>
      <c r="K17" t="s">
        <v>48</v>
      </c>
      <c r="L17" t="s">
        <v>1111</v>
      </c>
      <c r="M17">
        <v>4</v>
      </c>
      <c r="N17">
        <v>69</v>
      </c>
      <c r="O17">
        <v>6601</v>
      </c>
      <c r="P17">
        <v>2.875</v>
      </c>
      <c r="Q17">
        <v>69</v>
      </c>
      <c r="R17">
        <v>2.875</v>
      </c>
      <c r="S17" t="s">
        <v>1054</v>
      </c>
      <c r="T17">
        <v>2</v>
      </c>
    </row>
    <row r="18" spans="1:20" x14ac:dyDescent="0.4">
      <c r="A18" t="s">
        <v>137</v>
      </c>
      <c r="B18" t="s">
        <v>6</v>
      </c>
      <c r="C18">
        <v>127</v>
      </c>
      <c r="D18" t="s">
        <v>23</v>
      </c>
      <c r="E18" s="23">
        <v>44970</v>
      </c>
      <c r="F18">
        <v>165</v>
      </c>
      <c r="G18">
        <v>3.8973118279569863</v>
      </c>
      <c r="H18" t="s">
        <v>1108</v>
      </c>
      <c r="I18">
        <v>4.7</v>
      </c>
      <c r="J18">
        <v>2023</v>
      </c>
      <c r="K18" t="s">
        <v>15</v>
      </c>
      <c r="L18" t="s">
        <v>1112</v>
      </c>
      <c r="M18">
        <v>5</v>
      </c>
      <c r="N18">
        <v>82</v>
      </c>
      <c r="O18">
        <v>7689</v>
      </c>
      <c r="P18">
        <v>0.49696969696969695</v>
      </c>
      <c r="Q18">
        <v>82</v>
      </c>
      <c r="R18">
        <v>0.49696969696969695</v>
      </c>
      <c r="S18" t="s">
        <v>1054</v>
      </c>
      <c r="T18">
        <v>2</v>
      </c>
    </row>
    <row r="19" spans="1:20" x14ac:dyDescent="0.4">
      <c r="A19" t="s">
        <v>140</v>
      </c>
      <c r="B19" t="s">
        <v>8</v>
      </c>
      <c r="C19">
        <v>80</v>
      </c>
      <c r="D19" t="s">
        <v>23</v>
      </c>
      <c r="E19" s="23">
        <v>44971</v>
      </c>
      <c r="F19">
        <v>155</v>
      </c>
      <c r="G19">
        <v>3.8973118279569863</v>
      </c>
      <c r="H19" t="s">
        <v>1108</v>
      </c>
      <c r="I19">
        <v>3.2</v>
      </c>
      <c r="J19">
        <v>2023</v>
      </c>
      <c r="K19" t="s">
        <v>18</v>
      </c>
      <c r="L19" t="s">
        <v>1111</v>
      </c>
      <c r="M19">
        <v>3</v>
      </c>
      <c r="N19">
        <v>79</v>
      </c>
      <c r="O19">
        <v>7747</v>
      </c>
      <c r="P19">
        <v>0.50967741935483868</v>
      </c>
      <c r="Q19">
        <v>79</v>
      </c>
      <c r="R19">
        <v>0.50967741935483868</v>
      </c>
      <c r="S19" t="s">
        <v>1054</v>
      </c>
      <c r="T19">
        <v>2</v>
      </c>
    </row>
    <row r="20" spans="1:20" x14ac:dyDescent="0.4">
      <c r="A20" t="s">
        <v>144</v>
      </c>
      <c r="B20" t="s">
        <v>26</v>
      </c>
      <c r="C20">
        <v>38</v>
      </c>
      <c r="D20" t="s">
        <v>23</v>
      </c>
      <c r="E20" s="23">
        <v>44972</v>
      </c>
      <c r="F20">
        <v>100</v>
      </c>
      <c r="G20">
        <v>3.8973118279569863</v>
      </c>
      <c r="H20" t="s">
        <v>1108</v>
      </c>
      <c r="I20">
        <v>4.8</v>
      </c>
      <c r="J20">
        <v>2023</v>
      </c>
      <c r="K20" t="s">
        <v>33</v>
      </c>
      <c r="L20" t="s">
        <v>1109</v>
      </c>
      <c r="M20">
        <v>5</v>
      </c>
      <c r="N20">
        <v>72</v>
      </c>
      <c r="O20">
        <v>6242</v>
      </c>
      <c r="P20">
        <v>0.72</v>
      </c>
      <c r="Q20">
        <v>72</v>
      </c>
      <c r="R20">
        <v>0.72</v>
      </c>
      <c r="S20" t="s">
        <v>1054</v>
      </c>
      <c r="T20">
        <v>2</v>
      </c>
    </row>
    <row r="21" spans="1:20" x14ac:dyDescent="0.4">
      <c r="A21" t="s">
        <v>159</v>
      </c>
      <c r="B21" t="s">
        <v>21</v>
      </c>
      <c r="C21">
        <v>130</v>
      </c>
      <c r="D21" t="s">
        <v>23</v>
      </c>
      <c r="E21" s="23">
        <v>44978</v>
      </c>
      <c r="F21">
        <v>150</v>
      </c>
      <c r="G21">
        <v>3.8973118279569863</v>
      </c>
      <c r="H21" t="s">
        <v>1108</v>
      </c>
      <c r="I21">
        <v>1</v>
      </c>
      <c r="J21">
        <v>2023</v>
      </c>
      <c r="K21" t="s">
        <v>18</v>
      </c>
      <c r="L21" t="s">
        <v>1112</v>
      </c>
      <c r="M21">
        <v>1</v>
      </c>
      <c r="N21">
        <v>67</v>
      </c>
      <c r="O21">
        <v>7216</v>
      </c>
      <c r="P21">
        <v>0.44666666666666666</v>
      </c>
      <c r="Q21">
        <v>67</v>
      </c>
      <c r="R21">
        <v>0.44666666666666666</v>
      </c>
      <c r="S21" t="s">
        <v>1054</v>
      </c>
      <c r="T21">
        <v>2</v>
      </c>
    </row>
    <row r="22" spans="1:20" x14ac:dyDescent="0.4">
      <c r="A22" t="s">
        <v>163</v>
      </c>
      <c r="B22" t="s">
        <v>51</v>
      </c>
      <c r="C22">
        <v>115</v>
      </c>
      <c r="D22" t="s">
        <v>23</v>
      </c>
      <c r="E22" s="23">
        <v>44980</v>
      </c>
      <c r="F22">
        <v>150</v>
      </c>
      <c r="G22">
        <v>3.8973118279569863</v>
      </c>
      <c r="H22" t="s">
        <v>1108</v>
      </c>
      <c r="I22">
        <v>4.0999999999999996</v>
      </c>
      <c r="J22">
        <v>2023</v>
      </c>
      <c r="K22" t="s">
        <v>37</v>
      </c>
      <c r="L22" t="s">
        <v>1111</v>
      </c>
      <c r="M22">
        <v>4</v>
      </c>
      <c r="N22">
        <v>59</v>
      </c>
      <c r="O22">
        <v>6518</v>
      </c>
      <c r="P22">
        <v>0.39333333333333331</v>
      </c>
      <c r="Q22">
        <v>59</v>
      </c>
      <c r="R22">
        <v>0.39333333333333331</v>
      </c>
      <c r="S22" t="s">
        <v>1054</v>
      </c>
      <c r="T22">
        <v>2</v>
      </c>
    </row>
    <row r="23" spans="1:20" x14ac:dyDescent="0.4">
      <c r="A23" t="s">
        <v>168</v>
      </c>
      <c r="B23" t="s">
        <v>64</v>
      </c>
      <c r="C23">
        <v>151</v>
      </c>
      <c r="D23" t="s">
        <v>23</v>
      </c>
      <c r="E23" s="23">
        <v>44983</v>
      </c>
      <c r="F23">
        <v>46</v>
      </c>
      <c r="G23">
        <v>3.8973118279569863</v>
      </c>
      <c r="H23" t="s">
        <v>1108</v>
      </c>
      <c r="I23">
        <v>4.9000000000000004</v>
      </c>
      <c r="J23">
        <v>2023</v>
      </c>
      <c r="K23" t="s">
        <v>3</v>
      </c>
      <c r="L23" t="s">
        <v>1112</v>
      </c>
      <c r="M23">
        <v>5</v>
      </c>
      <c r="N23">
        <v>65</v>
      </c>
      <c r="O23">
        <v>6785</v>
      </c>
      <c r="P23">
        <v>1.4130434782608696</v>
      </c>
      <c r="Q23">
        <v>65</v>
      </c>
      <c r="R23">
        <v>1.4130434782608696</v>
      </c>
      <c r="S23" t="s">
        <v>1054</v>
      </c>
      <c r="T23">
        <v>2</v>
      </c>
    </row>
    <row r="24" spans="1:20" x14ac:dyDescent="0.4">
      <c r="A24" t="s">
        <v>174</v>
      </c>
      <c r="B24" t="s">
        <v>40</v>
      </c>
      <c r="C24">
        <v>42</v>
      </c>
      <c r="D24" t="s">
        <v>23</v>
      </c>
      <c r="E24" s="23">
        <v>44985</v>
      </c>
      <c r="F24">
        <v>111</v>
      </c>
      <c r="G24">
        <v>3.8973118279569863</v>
      </c>
      <c r="H24" t="s">
        <v>1108</v>
      </c>
      <c r="I24">
        <v>3</v>
      </c>
      <c r="J24">
        <v>2023</v>
      </c>
      <c r="K24" t="s">
        <v>18</v>
      </c>
      <c r="L24" t="s">
        <v>1109</v>
      </c>
      <c r="M24">
        <v>3</v>
      </c>
      <c r="N24">
        <v>69</v>
      </c>
      <c r="O24">
        <v>6601</v>
      </c>
      <c r="P24">
        <v>0.6216216216216216</v>
      </c>
      <c r="Q24">
        <v>69</v>
      </c>
      <c r="R24">
        <v>0.6216216216216216</v>
      </c>
      <c r="S24" t="s">
        <v>1054</v>
      </c>
      <c r="T24">
        <v>2</v>
      </c>
    </row>
    <row r="25" spans="1:20" x14ac:dyDescent="0.4">
      <c r="A25" t="s">
        <v>178</v>
      </c>
      <c r="B25" t="s">
        <v>13</v>
      </c>
      <c r="C25">
        <v>90</v>
      </c>
      <c r="D25" t="s">
        <v>23</v>
      </c>
      <c r="E25" s="23">
        <v>44986</v>
      </c>
      <c r="F25">
        <v>170</v>
      </c>
      <c r="G25">
        <v>3.8973118279569863</v>
      </c>
      <c r="H25" t="s">
        <v>1108</v>
      </c>
      <c r="I25">
        <v>3.7</v>
      </c>
      <c r="J25">
        <v>2023</v>
      </c>
      <c r="K25" t="s">
        <v>33</v>
      </c>
      <c r="L25" t="s">
        <v>1111</v>
      </c>
      <c r="M25">
        <v>4</v>
      </c>
      <c r="N25">
        <v>74</v>
      </c>
      <c r="O25">
        <v>6749</v>
      </c>
      <c r="P25">
        <v>0.43529411764705883</v>
      </c>
      <c r="Q25">
        <v>74</v>
      </c>
      <c r="R25">
        <v>0.43529411764705883</v>
      </c>
      <c r="S25" t="s">
        <v>1055</v>
      </c>
      <c r="T25">
        <v>3</v>
      </c>
    </row>
    <row r="26" spans="1:20" x14ac:dyDescent="0.4">
      <c r="A26" t="s">
        <v>182</v>
      </c>
      <c r="B26" t="s">
        <v>32</v>
      </c>
      <c r="C26">
        <v>137</v>
      </c>
      <c r="D26" t="s">
        <v>23</v>
      </c>
      <c r="E26" s="23">
        <v>44986</v>
      </c>
      <c r="F26">
        <v>114</v>
      </c>
      <c r="G26">
        <v>3.8973118279569863</v>
      </c>
      <c r="H26" t="s">
        <v>1108</v>
      </c>
      <c r="I26">
        <v>3.2</v>
      </c>
      <c r="J26">
        <v>2023</v>
      </c>
      <c r="K26" t="s">
        <v>33</v>
      </c>
      <c r="L26" t="s">
        <v>1112</v>
      </c>
      <c r="M26">
        <v>3</v>
      </c>
      <c r="N26">
        <v>63</v>
      </c>
      <c r="O26">
        <v>5634</v>
      </c>
      <c r="P26">
        <v>0.55263157894736847</v>
      </c>
      <c r="Q26">
        <v>63</v>
      </c>
      <c r="R26">
        <v>0.55263157894736847</v>
      </c>
      <c r="S26" t="s">
        <v>1055</v>
      </c>
      <c r="T26">
        <v>3</v>
      </c>
    </row>
    <row r="27" spans="1:20" x14ac:dyDescent="0.4">
      <c r="A27" t="s">
        <v>183</v>
      </c>
      <c r="B27" t="s">
        <v>32</v>
      </c>
      <c r="C27">
        <v>43</v>
      </c>
      <c r="D27" t="s">
        <v>23</v>
      </c>
      <c r="E27" s="23">
        <v>44986</v>
      </c>
      <c r="F27">
        <v>99</v>
      </c>
      <c r="G27">
        <v>3.8973118279569863</v>
      </c>
      <c r="H27" t="s">
        <v>1108</v>
      </c>
      <c r="I27">
        <v>4.7</v>
      </c>
      <c r="J27">
        <v>2023</v>
      </c>
      <c r="K27" t="s">
        <v>33</v>
      </c>
      <c r="L27" t="s">
        <v>1109</v>
      </c>
      <c r="M27">
        <v>5</v>
      </c>
      <c r="N27">
        <v>63</v>
      </c>
      <c r="O27">
        <v>5634</v>
      </c>
      <c r="P27">
        <v>0.63636363636363635</v>
      </c>
      <c r="Q27">
        <v>63</v>
      </c>
      <c r="R27">
        <v>0.63636363636363635</v>
      </c>
      <c r="S27" t="s">
        <v>1055</v>
      </c>
      <c r="T27">
        <v>3</v>
      </c>
    </row>
    <row r="28" spans="1:20" x14ac:dyDescent="0.4">
      <c r="A28" t="s">
        <v>184</v>
      </c>
      <c r="B28" t="s">
        <v>26</v>
      </c>
      <c r="C28">
        <v>114</v>
      </c>
      <c r="D28" t="s">
        <v>23</v>
      </c>
      <c r="E28" s="23">
        <v>44987</v>
      </c>
      <c r="F28">
        <v>23</v>
      </c>
      <c r="G28">
        <v>3.8973118279569863</v>
      </c>
      <c r="H28" t="s">
        <v>1108</v>
      </c>
      <c r="I28">
        <v>4.8</v>
      </c>
      <c r="J28">
        <v>2023</v>
      </c>
      <c r="K28" t="s">
        <v>37</v>
      </c>
      <c r="L28" t="s">
        <v>1111</v>
      </c>
      <c r="M28">
        <v>5</v>
      </c>
      <c r="N28">
        <v>72</v>
      </c>
      <c r="O28">
        <v>6242</v>
      </c>
      <c r="P28">
        <v>3.1304347826086958</v>
      </c>
      <c r="Q28">
        <v>72</v>
      </c>
      <c r="R28">
        <v>3.1304347826086958</v>
      </c>
      <c r="S28" t="s">
        <v>1055</v>
      </c>
      <c r="T28">
        <v>3</v>
      </c>
    </row>
    <row r="29" spans="1:20" x14ac:dyDescent="0.4">
      <c r="A29" t="s">
        <v>202</v>
      </c>
      <c r="B29" t="s">
        <v>8</v>
      </c>
      <c r="C29">
        <v>75</v>
      </c>
      <c r="D29" t="s">
        <v>23</v>
      </c>
      <c r="E29" s="23">
        <v>44989</v>
      </c>
      <c r="F29">
        <v>40</v>
      </c>
      <c r="G29">
        <v>3.8973118279569863</v>
      </c>
      <c r="H29" t="s">
        <v>1108</v>
      </c>
      <c r="I29">
        <v>3.4</v>
      </c>
      <c r="J29">
        <v>2023</v>
      </c>
      <c r="K29" t="s">
        <v>48</v>
      </c>
      <c r="L29" t="s">
        <v>1111</v>
      </c>
      <c r="M29">
        <v>3</v>
      </c>
      <c r="N29">
        <v>79</v>
      </c>
      <c r="O29">
        <v>7747</v>
      </c>
      <c r="P29">
        <v>1.9750000000000001</v>
      </c>
      <c r="Q29">
        <v>79</v>
      </c>
      <c r="R29">
        <v>1.9750000000000001</v>
      </c>
      <c r="S29" t="s">
        <v>1055</v>
      </c>
      <c r="T29">
        <v>3</v>
      </c>
    </row>
    <row r="30" spans="1:20" x14ac:dyDescent="0.4">
      <c r="A30" t="s">
        <v>211</v>
      </c>
      <c r="B30" t="s">
        <v>54</v>
      </c>
      <c r="C30">
        <v>73</v>
      </c>
      <c r="D30" t="s">
        <v>23</v>
      </c>
      <c r="E30" s="23">
        <v>44991</v>
      </c>
      <c r="F30">
        <v>215</v>
      </c>
      <c r="G30">
        <v>3.8973118279569863</v>
      </c>
      <c r="H30" t="s">
        <v>1108</v>
      </c>
      <c r="I30">
        <v>3.6</v>
      </c>
      <c r="J30">
        <v>2023</v>
      </c>
      <c r="K30" t="s">
        <v>15</v>
      </c>
      <c r="L30" t="s">
        <v>1111</v>
      </c>
      <c r="M30">
        <v>4</v>
      </c>
      <c r="N30">
        <v>70</v>
      </c>
      <c r="O30">
        <v>6819</v>
      </c>
      <c r="P30">
        <v>0.32558139534883723</v>
      </c>
      <c r="Q30">
        <v>70</v>
      </c>
      <c r="R30">
        <v>0.32558139534883723</v>
      </c>
      <c r="S30" t="s">
        <v>1055</v>
      </c>
      <c r="T30">
        <v>3</v>
      </c>
    </row>
    <row r="31" spans="1:20" x14ac:dyDescent="0.4">
      <c r="A31" t="s">
        <v>212</v>
      </c>
      <c r="B31" t="s">
        <v>40</v>
      </c>
      <c r="C31">
        <v>62</v>
      </c>
      <c r="D31" t="s">
        <v>23</v>
      </c>
      <c r="E31" s="23">
        <v>44991</v>
      </c>
      <c r="F31">
        <v>32</v>
      </c>
      <c r="G31">
        <v>3.8973118279569863</v>
      </c>
      <c r="H31" t="s">
        <v>1108</v>
      </c>
      <c r="I31">
        <v>0.7</v>
      </c>
      <c r="J31">
        <v>2023</v>
      </c>
      <c r="K31" t="s">
        <v>15</v>
      </c>
      <c r="L31" t="s">
        <v>1111</v>
      </c>
      <c r="M31">
        <v>1</v>
      </c>
      <c r="N31">
        <v>69</v>
      </c>
      <c r="O31">
        <v>6601</v>
      </c>
      <c r="P31">
        <v>2.15625</v>
      </c>
      <c r="Q31">
        <v>69</v>
      </c>
      <c r="R31">
        <v>2.15625</v>
      </c>
      <c r="S31" t="s">
        <v>1055</v>
      </c>
      <c r="T31">
        <v>3</v>
      </c>
    </row>
    <row r="32" spans="1:20" x14ac:dyDescent="0.4">
      <c r="A32" t="s">
        <v>218</v>
      </c>
      <c r="B32" t="s">
        <v>30</v>
      </c>
      <c r="C32">
        <v>41</v>
      </c>
      <c r="D32" t="s">
        <v>23</v>
      </c>
      <c r="E32" s="23">
        <v>44992</v>
      </c>
      <c r="F32">
        <v>68</v>
      </c>
      <c r="G32">
        <v>3.8973118279569863</v>
      </c>
      <c r="H32" t="s">
        <v>1108</v>
      </c>
      <c r="I32">
        <v>4</v>
      </c>
      <c r="J32">
        <v>2023</v>
      </c>
      <c r="K32" t="s">
        <v>18</v>
      </c>
      <c r="L32" t="s">
        <v>1109</v>
      </c>
      <c r="M32">
        <v>4</v>
      </c>
      <c r="N32">
        <v>69</v>
      </c>
      <c r="O32">
        <v>7230</v>
      </c>
      <c r="P32">
        <v>1.0147058823529411</v>
      </c>
      <c r="Q32">
        <v>69</v>
      </c>
      <c r="R32">
        <v>1.0147058823529411</v>
      </c>
      <c r="S32" t="s">
        <v>1055</v>
      </c>
      <c r="T32">
        <v>3</v>
      </c>
    </row>
    <row r="33" spans="1:20" x14ac:dyDescent="0.4">
      <c r="A33" t="s">
        <v>225</v>
      </c>
      <c r="B33" t="s">
        <v>21</v>
      </c>
      <c r="C33">
        <v>85</v>
      </c>
      <c r="D33" t="s">
        <v>23</v>
      </c>
      <c r="E33" s="23">
        <v>44995</v>
      </c>
      <c r="F33">
        <v>46</v>
      </c>
      <c r="G33">
        <v>3.8973118279569863</v>
      </c>
      <c r="H33" t="s">
        <v>1108</v>
      </c>
      <c r="I33">
        <v>4.9000000000000004</v>
      </c>
      <c r="J33">
        <v>2023</v>
      </c>
      <c r="K33" t="s">
        <v>45</v>
      </c>
      <c r="L33" t="s">
        <v>1111</v>
      </c>
      <c r="M33">
        <v>5</v>
      </c>
      <c r="N33">
        <v>67</v>
      </c>
      <c r="O33">
        <v>7216</v>
      </c>
      <c r="P33">
        <v>1.4565217391304348</v>
      </c>
      <c r="Q33">
        <v>67</v>
      </c>
      <c r="R33">
        <v>1.4565217391304348</v>
      </c>
      <c r="S33" t="s">
        <v>1055</v>
      </c>
      <c r="T33">
        <v>3</v>
      </c>
    </row>
    <row r="34" spans="1:20" x14ac:dyDescent="0.4">
      <c r="A34" t="s">
        <v>227</v>
      </c>
      <c r="B34" t="s">
        <v>21</v>
      </c>
      <c r="C34">
        <v>63</v>
      </c>
      <c r="D34" t="s">
        <v>23</v>
      </c>
      <c r="E34" s="23">
        <v>44995</v>
      </c>
      <c r="F34">
        <v>48</v>
      </c>
      <c r="G34">
        <v>3.8973118279569863</v>
      </c>
      <c r="H34" t="s">
        <v>1108</v>
      </c>
      <c r="I34">
        <v>5</v>
      </c>
      <c r="J34">
        <v>2023</v>
      </c>
      <c r="K34" t="s">
        <v>45</v>
      </c>
      <c r="L34" t="s">
        <v>1111</v>
      </c>
      <c r="M34">
        <v>5</v>
      </c>
      <c r="N34">
        <v>67</v>
      </c>
      <c r="O34">
        <v>7216</v>
      </c>
      <c r="P34">
        <v>1.3958333333333333</v>
      </c>
      <c r="Q34">
        <v>67</v>
      </c>
      <c r="R34">
        <v>1.3958333333333333</v>
      </c>
      <c r="S34" t="s">
        <v>1055</v>
      </c>
      <c r="T34">
        <v>3</v>
      </c>
    </row>
    <row r="35" spans="1:20" x14ac:dyDescent="0.4">
      <c r="A35" t="s">
        <v>229</v>
      </c>
      <c r="B35" t="s">
        <v>21</v>
      </c>
      <c r="C35">
        <v>71</v>
      </c>
      <c r="D35" t="s">
        <v>23</v>
      </c>
      <c r="E35" s="23">
        <v>44995</v>
      </c>
      <c r="F35">
        <v>105</v>
      </c>
      <c r="G35">
        <v>3.8973118279569863</v>
      </c>
      <c r="H35" t="s">
        <v>1108</v>
      </c>
      <c r="I35">
        <v>4</v>
      </c>
      <c r="J35">
        <v>2023</v>
      </c>
      <c r="K35" t="s">
        <v>45</v>
      </c>
      <c r="L35" t="s">
        <v>1111</v>
      </c>
      <c r="M35">
        <v>4</v>
      </c>
      <c r="N35">
        <v>67</v>
      </c>
      <c r="O35">
        <v>7216</v>
      </c>
      <c r="P35">
        <v>0.63809523809523805</v>
      </c>
      <c r="Q35">
        <v>67</v>
      </c>
      <c r="R35">
        <v>0.63809523809523805</v>
      </c>
      <c r="S35" t="s">
        <v>1055</v>
      </c>
      <c r="T35">
        <v>3</v>
      </c>
    </row>
    <row r="36" spans="1:20" x14ac:dyDescent="0.4">
      <c r="A36" t="s">
        <v>230</v>
      </c>
      <c r="B36" t="s">
        <v>6</v>
      </c>
      <c r="C36">
        <v>100</v>
      </c>
      <c r="D36" t="s">
        <v>23</v>
      </c>
      <c r="E36" s="23">
        <v>44996</v>
      </c>
      <c r="F36">
        <v>44</v>
      </c>
      <c r="G36">
        <v>3.8973118279569863</v>
      </c>
      <c r="H36" t="s">
        <v>1108</v>
      </c>
      <c r="I36">
        <v>3.6</v>
      </c>
      <c r="J36">
        <v>2023</v>
      </c>
      <c r="K36" t="s">
        <v>48</v>
      </c>
      <c r="L36" t="s">
        <v>1111</v>
      </c>
      <c r="M36">
        <v>4</v>
      </c>
      <c r="N36">
        <v>82</v>
      </c>
      <c r="O36">
        <v>7689</v>
      </c>
      <c r="P36">
        <v>1.8636363636363635</v>
      </c>
      <c r="Q36">
        <v>82</v>
      </c>
      <c r="R36">
        <v>1.8636363636363635</v>
      </c>
      <c r="S36" t="s">
        <v>1055</v>
      </c>
      <c r="T36">
        <v>3</v>
      </c>
    </row>
    <row r="37" spans="1:20" x14ac:dyDescent="0.4">
      <c r="A37" t="s">
        <v>234</v>
      </c>
      <c r="B37" t="s">
        <v>64</v>
      </c>
      <c r="C37">
        <v>63</v>
      </c>
      <c r="D37" t="s">
        <v>23</v>
      </c>
      <c r="E37" s="23">
        <v>44996</v>
      </c>
      <c r="F37">
        <v>42</v>
      </c>
      <c r="G37">
        <v>3.8973118279569863</v>
      </c>
      <c r="H37" t="s">
        <v>1108</v>
      </c>
      <c r="I37">
        <v>4</v>
      </c>
      <c r="J37">
        <v>2023</v>
      </c>
      <c r="K37" t="s">
        <v>48</v>
      </c>
      <c r="L37" t="s">
        <v>1111</v>
      </c>
      <c r="M37">
        <v>4</v>
      </c>
      <c r="N37">
        <v>65</v>
      </c>
      <c r="O37">
        <v>6785</v>
      </c>
      <c r="P37">
        <v>1.5476190476190477</v>
      </c>
      <c r="Q37">
        <v>65</v>
      </c>
      <c r="R37">
        <v>1.5476190476190477</v>
      </c>
      <c r="S37" t="s">
        <v>1055</v>
      </c>
      <c r="T37">
        <v>3</v>
      </c>
    </row>
    <row r="38" spans="1:20" x14ac:dyDescent="0.4">
      <c r="A38" t="s">
        <v>235</v>
      </c>
      <c r="B38" t="s">
        <v>40</v>
      </c>
      <c r="C38">
        <v>83</v>
      </c>
      <c r="D38" t="s">
        <v>23</v>
      </c>
      <c r="E38" s="23">
        <v>44996</v>
      </c>
      <c r="F38">
        <v>42</v>
      </c>
      <c r="G38">
        <v>3.8973118279569863</v>
      </c>
      <c r="H38" t="s">
        <v>1108</v>
      </c>
      <c r="I38">
        <v>4.2</v>
      </c>
      <c r="J38">
        <v>2023</v>
      </c>
      <c r="K38" t="s">
        <v>48</v>
      </c>
      <c r="L38" t="s">
        <v>1111</v>
      </c>
      <c r="M38">
        <v>4</v>
      </c>
      <c r="N38">
        <v>69</v>
      </c>
      <c r="O38">
        <v>6601</v>
      </c>
      <c r="P38">
        <v>1.6428571428571428</v>
      </c>
      <c r="Q38">
        <v>69</v>
      </c>
      <c r="R38">
        <v>1.6428571428571428</v>
      </c>
      <c r="S38" t="s">
        <v>1055</v>
      </c>
      <c r="T38">
        <v>3</v>
      </c>
    </row>
    <row r="39" spans="1:20" x14ac:dyDescent="0.4">
      <c r="A39" t="s">
        <v>237</v>
      </c>
      <c r="B39" t="s">
        <v>13</v>
      </c>
      <c r="C39">
        <v>73</v>
      </c>
      <c r="D39" t="s">
        <v>23</v>
      </c>
      <c r="E39" s="23">
        <v>44997</v>
      </c>
      <c r="F39">
        <v>34</v>
      </c>
      <c r="G39">
        <v>3.8973118279569863</v>
      </c>
      <c r="H39" t="s">
        <v>1108</v>
      </c>
      <c r="I39">
        <v>4.8</v>
      </c>
      <c r="J39">
        <v>2023</v>
      </c>
      <c r="K39" t="s">
        <v>3</v>
      </c>
      <c r="L39" t="s">
        <v>1111</v>
      </c>
      <c r="M39">
        <v>5</v>
      </c>
      <c r="N39">
        <v>74</v>
      </c>
      <c r="O39">
        <v>6749</v>
      </c>
      <c r="P39">
        <v>2.1764705882352939</v>
      </c>
      <c r="Q39">
        <v>74</v>
      </c>
      <c r="R39">
        <v>2.1764705882352939</v>
      </c>
      <c r="S39" t="s">
        <v>1055</v>
      </c>
      <c r="T39">
        <v>3</v>
      </c>
    </row>
    <row r="40" spans="1:20" x14ac:dyDescent="0.4">
      <c r="A40" t="s">
        <v>240</v>
      </c>
      <c r="B40" t="s">
        <v>84</v>
      </c>
      <c r="C40">
        <v>121</v>
      </c>
      <c r="D40" t="s">
        <v>23</v>
      </c>
      <c r="E40" s="23">
        <v>44998</v>
      </c>
      <c r="F40">
        <v>32</v>
      </c>
      <c r="G40">
        <v>3.8973118279569863</v>
      </c>
      <c r="H40" t="s">
        <v>1108</v>
      </c>
      <c r="I40">
        <v>3.7</v>
      </c>
      <c r="J40">
        <v>2023</v>
      </c>
      <c r="K40" t="s">
        <v>15</v>
      </c>
      <c r="L40" t="s">
        <v>1112</v>
      </c>
      <c r="M40">
        <v>4</v>
      </c>
      <c r="N40">
        <v>59</v>
      </c>
      <c r="O40">
        <v>5009</v>
      </c>
      <c r="P40">
        <v>1.84375</v>
      </c>
      <c r="Q40">
        <v>59</v>
      </c>
      <c r="R40">
        <v>1.84375</v>
      </c>
      <c r="S40" t="s">
        <v>1055</v>
      </c>
      <c r="T40">
        <v>3</v>
      </c>
    </row>
    <row r="41" spans="1:20" x14ac:dyDescent="0.4">
      <c r="A41" t="s">
        <v>246</v>
      </c>
      <c r="B41" t="s">
        <v>1</v>
      </c>
      <c r="C41">
        <v>142</v>
      </c>
      <c r="D41" t="s">
        <v>23</v>
      </c>
      <c r="E41" s="23">
        <v>44999</v>
      </c>
      <c r="F41">
        <v>44</v>
      </c>
      <c r="G41">
        <v>3.8973118279569863</v>
      </c>
      <c r="H41" t="s">
        <v>1108</v>
      </c>
      <c r="I41">
        <v>3.5</v>
      </c>
      <c r="J41">
        <v>2023</v>
      </c>
      <c r="K41" t="s">
        <v>18</v>
      </c>
      <c r="L41" t="s">
        <v>1112</v>
      </c>
      <c r="M41">
        <v>4</v>
      </c>
      <c r="N41">
        <v>50</v>
      </c>
      <c r="O41">
        <v>4804</v>
      </c>
      <c r="P41">
        <v>1.1363636363636365</v>
      </c>
      <c r="Q41">
        <v>50</v>
      </c>
      <c r="R41">
        <v>1.1363636363636365</v>
      </c>
      <c r="S41" t="s">
        <v>1055</v>
      </c>
      <c r="T41">
        <v>3</v>
      </c>
    </row>
    <row r="42" spans="1:20" x14ac:dyDescent="0.4">
      <c r="A42" t="s">
        <v>248</v>
      </c>
      <c r="B42" t="s">
        <v>30</v>
      </c>
      <c r="C42">
        <v>119</v>
      </c>
      <c r="D42" t="s">
        <v>23</v>
      </c>
      <c r="E42" s="23">
        <v>44999</v>
      </c>
      <c r="F42">
        <v>20</v>
      </c>
      <c r="G42">
        <v>3.8973118279569863</v>
      </c>
      <c r="H42" t="s">
        <v>1108</v>
      </c>
      <c r="I42">
        <v>3.9</v>
      </c>
      <c r="J42">
        <v>2023</v>
      </c>
      <c r="K42" t="s">
        <v>18</v>
      </c>
      <c r="L42" t="s">
        <v>1111</v>
      </c>
      <c r="M42">
        <v>4</v>
      </c>
      <c r="N42">
        <v>69</v>
      </c>
      <c r="O42">
        <v>7230</v>
      </c>
      <c r="P42">
        <v>3.45</v>
      </c>
      <c r="Q42">
        <v>69</v>
      </c>
      <c r="R42">
        <v>3.45</v>
      </c>
      <c r="S42" t="s">
        <v>1055</v>
      </c>
      <c r="T42">
        <v>3</v>
      </c>
    </row>
    <row r="43" spans="1:20" x14ac:dyDescent="0.4">
      <c r="A43" t="s">
        <v>253</v>
      </c>
      <c r="B43" t="s">
        <v>6</v>
      </c>
      <c r="C43">
        <v>139</v>
      </c>
      <c r="D43" t="s">
        <v>23</v>
      </c>
      <c r="E43" s="23">
        <v>45000</v>
      </c>
      <c r="F43">
        <v>48</v>
      </c>
      <c r="G43">
        <v>3.8973118279569863</v>
      </c>
      <c r="H43" t="s">
        <v>1108</v>
      </c>
      <c r="I43">
        <v>4.7</v>
      </c>
      <c r="J43">
        <v>2023</v>
      </c>
      <c r="K43" t="s">
        <v>33</v>
      </c>
      <c r="L43" t="s">
        <v>1112</v>
      </c>
      <c r="M43">
        <v>5</v>
      </c>
      <c r="N43">
        <v>82</v>
      </c>
      <c r="O43">
        <v>7689</v>
      </c>
      <c r="P43">
        <v>1.7083333333333333</v>
      </c>
      <c r="Q43">
        <v>82</v>
      </c>
      <c r="R43">
        <v>1.7083333333333333</v>
      </c>
      <c r="S43" t="s">
        <v>1055</v>
      </c>
      <c r="T43">
        <v>3</v>
      </c>
    </row>
    <row r="44" spans="1:20" x14ac:dyDescent="0.4">
      <c r="A44" t="s">
        <v>254</v>
      </c>
      <c r="B44" t="s">
        <v>30</v>
      </c>
      <c r="C44">
        <v>59</v>
      </c>
      <c r="D44" t="s">
        <v>23</v>
      </c>
      <c r="E44" s="23">
        <v>45000</v>
      </c>
      <c r="F44">
        <v>64</v>
      </c>
      <c r="G44">
        <v>3.8973118279569863</v>
      </c>
      <c r="H44" t="s">
        <v>1108</v>
      </c>
      <c r="I44">
        <v>4</v>
      </c>
      <c r="J44">
        <v>2023</v>
      </c>
      <c r="K44" t="s">
        <v>33</v>
      </c>
      <c r="L44" t="s">
        <v>1109</v>
      </c>
      <c r="M44">
        <v>4</v>
      </c>
      <c r="N44">
        <v>69</v>
      </c>
      <c r="O44">
        <v>7230</v>
      </c>
      <c r="P44">
        <v>1.078125</v>
      </c>
      <c r="Q44">
        <v>69</v>
      </c>
      <c r="R44">
        <v>1.078125</v>
      </c>
      <c r="S44" t="s">
        <v>1055</v>
      </c>
      <c r="T44">
        <v>3</v>
      </c>
    </row>
    <row r="45" spans="1:20" x14ac:dyDescent="0.4">
      <c r="A45" t="s">
        <v>260</v>
      </c>
      <c r="B45" t="s">
        <v>40</v>
      </c>
      <c r="C45">
        <v>90</v>
      </c>
      <c r="D45" t="s">
        <v>23</v>
      </c>
      <c r="E45" s="23">
        <v>45001</v>
      </c>
      <c r="F45">
        <v>72</v>
      </c>
      <c r="G45">
        <v>3.8973118279569863</v>
      </c>
      <c r="H45" t="s">
        <v>1108</v>
      </c>
      <c r="I45">
        <v>4.7</v>
      </c>
      <c r="J45">
        <v>2023</v>
      </c>
      <c r="K45" t="s">
        <v>37</v>
      </c>
      <c r="L45" t="s">
        <v>1111</v>
      </c>
      <c r="M45">
        <v>5</v>
      </c>
      <c r="N45">
        <v>69</v>
      </c>
      <c r="O45">
        <v>6601</v>
      </c>
      <c r="P45">
        <v>0.95833333333333337</v>
      </c>
      <c r="Q45">
        <v>69</v>
      </c>
      <c r="R45">
        <v>0.95833333333333337</v>
      </c>
      <c r="S45" t="s">
        <v>1055</v>
      </c>
      <c r="T45">
        <v>3</v>
      </c>
    </row>
    <row r="46" spans="1:20" x14ac:dyDescent="0.4">
      <c r="A46" t="s">
        <v>270</v>
      </c>
      <c r="B46" t="s">
        <v>8</v>
      </c>
      <c r="C46">
        <v>89</v>
      </c>
      <c r="D46" t="s">
        <v>23</v>
      </c>
      <c r="E46" s="23">
        <v>45003</v>
      </c>
      <c r="F46">
        <v>70</v>
      </c>
      <c r="G46">
        <v>3.8973118279569863</v>
      </c>
      <c r="H46" t="s">
        <v>1108</v>
      </c>
      <c r="I46">
        <v>4.9000000000000004</v>
      </c>
      <c r="J46">
        <v>2023</v>
      </c>
      <c r="K46" t="s">
        <v>48</v>
      </c>
      <c r="L46" t="s">
        <v>1111</v>
      </c>
      <c r="M46">
        <v>5</v>
      </c>
      <c r="N46">
        <v>79</v>
      </c>
      <c r="O46">
        <v>7747</v>
      </c>
      <c r="P46">
        <v>1.1285714285714286</v>
      </c>
      <c r="Q46">
        <v>79</v>
      </c>
      <c r="R46">
        <v>1.1285714285714286</v>
      </c>
      <c r="S46" t="s">
        <v>1055</v>
      </c>
      <c r="T46">
        <v>3</v>
      </c>
    </row>
    <row r="47" spans="1:20" x14ac:dyDescent="0.4">
      <c r="A47" t="s">
        <v>289</v>
      </c>
      <c r="B47" t="s">
        <v>44</v>
      </c>
      <c r="C47">
        <v>113</v>
      </c>
      <c r="D47" t="s">
        <v>23</v>
      </c>
      <c r="E47" s="23">
        <v>45006</v>
      </c>
      <c r="F47">
        <v>168</v>
      </c>
      <c r="G47">
        <v>3.8973118279569863</v>
      </c>
      <c r="H47" t="s">
        <v>1108</v>
      </c>
      <c r="I47">
        <v>4.0999999999999996</v>
      </c>
      <c r="J47">
        <v>2023</v>
      </c>
      <c r="K47" t="s">
        <v>18</v>
      </c>
      <c r="L47" t="s">
        <v>1111</v>
      </c>
      <c r="M47">
        <v>4</v>
      </c>
      <c r="N47">
        <v>62</v>
      </c>
      <c r="O47">
        <v>6176</v>
      </c>
      <c r="P47">
        <v>0.36904761904761907</v>
      </c>
      <c r="Q47">
        <v>62</v>
      </c>
      <c r="R47">
        <v>0.36904761904761907</v>
      </c>
      <c r="S47" t="s">
        <v>1055</v>
      </c>
      <c r="T47">
        <v>3</v>
      </c>
    </row>
    <row r="48" spans="1:20" x14ac:dyDescent="0.4">
      <c r="A48" t="s">
        <v>295</v>
      </c>
      <c r="B48" t="s">
        <v>32</v>
      </c>
      <c r="C48">
        <v>101</v>
      </c>
      <c r="D48" t="s">
        <v>23</v>
      </c>
      <c r="E48" s="23">
        <v>45007</v>
      </c>
      <c r="F48">
        <v>130</v>
      </c>
      <c r="G48">
        <v>3.8973118279569863</v>
      </c>
      <c r="H48" t="s">
        <v>1108</v>
      </c>
      <c r="I48">
        <v>4.8</v>
      </c>
      <c r="J48">
        <v>2023</v>
      </c>
      <c r="K48" t="s">
        <v>33</v>
      </c>
      <c r="L48" t="s">
        <v>1111</v>
      </c>
      <c r="M48">
        <v>5</v>
      </c>
      <c r="N48">
        <v>63</v>
      </c>
      <c r="O48">
        <v>5634</v>
      </c>
      <c r="P48">
        <v>0.48461538461538461</v>
      </c>
      <c r="Q48">
        <v>63</v>
      </c>
      <c r="R48">
        <v>0.48461538461538461</v>
      </c>
      <c r="S48" t="s">
        <v>1055</v>
      </c>
      <c r="T48">
        <v>3</v>
      </c>
    </row>
    <row r="49" spans="1:20" x14ac:dyDescent="0.4">
      <c r="A49" t="s">
        <v>298</v>
      </c>
      <c r="B49" t="s">
        <v>21</v>
      </c>
      <c r="C49">
        <v>111</v>
      </c>
      <c r="D49" t="s">
        <v>23</v>
      </c>
      <c r="E49" s="23">
        <v>45008</v>
      </c>
      <c r="F49">
        <v>86</v>
      </c>
      <c r="G49">
        <v>3.8973118279569863</v>
      </c>
      <c r="H49" t="s">
        <v>1108</v>
      </c>
      <c r="I49">
        <v>4.0999999999999996</v>
      </c>
      <c r="J49">
        <v>2023</v>
      </c>
      <c r="K49" t="s">
        <v>37</v>
      </c>
      <c r="L49" t="s">
        <v>1111</v>
      </c>
      <c r="M49">
        <v>4</v>
      </c>
      <c r="N49">
        <v>67</v>
      </c>
      <c r="O49">
        <v>7216</v>
      </c>
      <c r="P49">
        <v>0.77906976744186052</v>
      </c>
      <c r="Q49">
        <v>67</v>
      </c>
      <c r="R49">
        <v>0.77906976744186052</v>
      </c>
      <c r="S49" t="s">
        <v>1055</v>
      </c>
      <c r="T49">
        <v>3</v>
      </c>
    </row>
    <row r="50" spans="1:20" x14ac:dyDescent="0.4">
      <c r="A50" t="s">
        <v>299</v>
      </c>
      <c r="B50" t="s">
        <v>54</v>
      </c>
      <c r="C50">
        <v>142</v>
      </c>
      <c r="D50" t="s">
        <v>23</v>
      </c>
      <c r="E50" s="23">
        <v>45009</v>
      </c>
      <c r="F50">
        <v>31</v>
      </c>
      <c r="G50">
        <v>3.8973118279569863</v>
      </c>
      <c r="H50" t="s">
        <v>1108</v>
      </c>
      <c r="I50">
        <v>4.4000000000000004</v>
      </c>
      <c r="J50">
        <v>2023</v>
      </c>
      <c r="K50" t="s">
        <v>45</v>
      </c>
      <c r="L50" t="s">
        <v>1112</v>
      </c>
      <c r="M50">
        <v>4</v>
      </c>
      <c r="N50">
        <v>70</v>
      </c>
      <c r="O50">
        <v>6819</v>
      </c>
      <c r="P50">
        <v>2.2580645161290325</v>
      </c>
      <c r="Q50">
        <v>70</v>
      </c>
      <c r="R50">
        <v>2.2580645161290325</v>
      </c>
      <c r="S50" t="s">
        <v>1055</v>
      </c>
      <c r="T50">
        <v>3</v>
      </c>
    </row>
    <row r="51" spans="1:20" x14ac:dyDescent="0.4">
      <c r="A51" t="s">
        <v>310</v>
      </c>
      <c r="B51" t="s">
        <v>30</v>
      </c>
      <c r="C51">
        <v>118</v>
      </c>
      <c r="D51" t="s">
        <v>23</v>
      </c>
      <c r="E51" s="23">
        <v>45011</v>
      </c>
      <c r="F51">
        <v>99</v>
      </c>
      <c r="G51">
        <v>3.8973118279569863</v>
      </c>
      <c r="H51" t="s">
        <v>1108</v>
      </c>
      <c r="I51">
        <v>5</v>
      </c>
      <c r="J51">
        <v>2023</v>
      </c>
      <c r="K51" t="s">
        <v>3</v>
      </c>
      <c r="L51" t="s">
        <v>1111</v>
      </c>
      <c r="M51">
        <v>5</v>
      </c>
      <c r="N51">
        <v>69</v>
      </c>
      <c r="O51">
        <v>7230</v>
      </c>
      <c r="P51">
        <v>0.69696969696969702</v>
      </c>
      <c r="Q51">
        <v>69</v>
      </c>
      <c r="R51">
        <v>0.69696969696969702</v>
      </c>
      <c r="S51" t="s">
        <v>1055</v>
      </c>
      <c r="T51">
        <v>3</v>
      </c>
    </row>
    <row r="52" spans="1:20" x14ac:dyDescent="0.4">
      <c r="A52" t="s">
        <v>313</v>
      </c>
      <c r="B52" t="s">
        <v>44</v>
      </c>
      <c r="C52">
        <v>116</v>
      </c>
      <c r="D52" t="s">
        <v>23</v>
      </c>
      <c r="E52" s="23">
        <v>45012</v>
      </c>
      <c r="F52">
        <v>63</v>
      </c>
      <c r="G52">
        <v>3.8973118279569863</v>
      </c>
      <c r="H52" t="s">
        <v>1108</v>
      </c>
      <c r="I52">
        <v>3.4</v>
      </c>
      <c r="J52">
        <v>2023</v>
      </c>
      <c r="K52" t="s">
        <v>15</v>
      </c>
      <c r="L52" t="s">
        <v>1111</v>
      </c>
      <c r="M52">
        <v>3</v>
      </c>
      <c r="N52">
        <v>62</v>
      </c>
      <c r="O52">
        <v>6176</v>
      </c>
      <c r="P52">
        <v>0.98412698412698407</v>
      </c>
      <c r="Q52">
        <v>62</v>
      </c>
      <c r="R52">
        <v>0.98412698412698407</v>
      </c>
      <c r="S52" t="s">
        <v>1055</v>
      </c>
      <c r="T52">
        <v>3</v>
      </c>
    </row>
    <row r="53" spans="1:20" x14ac:dyDescent="0.4">
      <c r="A53" t="s">
        <v>317</v>
      </c>
      <c r="B53" t="s">
        <v>13</v>
      </c>
      <c r="C53">
        <v>95</v>
      </c>
      <c r="D53" t="s">
        <v>23</v>
      </c>
      <c r="E53" s="23">
        <v>45012</v>
      </c>
      <c r="F53">
        <v>28</v>
      </c>
      <c r="G53">
        <v>3.8973118279569863</v>
      </c>
      <c r="H53" t="s">
        <v>1108</v>
      </c>
      <c r="I53">
        <v>2.7</v>
      </c>
      <c r="J53">
        <v>2023</v>
      </c>
      <c r="K53" t="s">
        <v>15</v>
      </c>
      <c r="L53" t="s">
        <v>1111</v>
      </c>
      <c r="M53">
        <v>3</v>
      </c>
      <c r="N53">
        <v>74</v>
      </c>
      <c r="O53">
        <v>6749</v>
      </c>
      <c r="P53">
        <v>2.6428571428571428</v>
      </c>
      <c r="Q53">
        <v>74</v>
      </c>
      <c r="R53">
        <v>2.6428571428571428</v>
      </c>
      <c r="S53" t="s">
        <v>1055</v>
      </c>
      <c r="T53">
        <v>3</v>
      </c>
    </row>
    <row r="54" spans="1:20" x14ac:dyDescent="0.4">
      <c r="A54" t="s">
        <v>326</v>
      </c>
      <c r="B54" t="s">
        <v>8</v>
      </c>
      <c r="C54">
        <v>56</v>
      </c>
      <c r="D54" t="s">
        <v>23</v>
      </c>
      <c r="E54" s="23">
        <v>45014</v>
      </c>
      <c r="F54">
        <v>88</v>
      </c>
      <c r="G54">
        <v>3.8973118279569863</v>
      </c>
      <c r="H54" t="s">
        <v>1108</v>
      </c>
      <c r="I54">
        <v>4.0999999999999996</v>
      </c>
      <c r="J54">
        <v>2023</v>
      </c>
      <c r="K54" t="s">
        <v>33</v>
      </c>
      <c r="L54" t="s">
        <v>1109</v>
      </c>
      <c r="M54">
        <v>4</v>
      </c>
      <c r="N54">
        <v>79</v>
      </c>
      <c r="O54">
        <v>7747</v>
      </c>
      <c r="P54">
        <v>0.89772727272727271</v>
      </c>
      <c r="Q54">
        <v>79</v>
      </c>
      <c r="R54">
        <v>0.89772727272727271</v>
      </c>
      <c r="S54" t="s">
        <v>1055</v>
      </c>
      <c r="T54">
        <v>3</v>
      </c>
    </row>
    <row r="55" spans="1:20" x14ac:dyDescent="0.4">
      <c r="A55" t="s">
        <v>339</v>
      </c>
      <c r="B55" t="s">
        <v>8</v>
      </c>
      <c r="C55">
        <v>81</v>
      </c>
      <c r="D55" t="s">
        <v>23</v>
      </c>
      <c r="E55" s="23">
        <v>45019</v>
      </c>
      <c r="F55">
        <v>160</v>
      </c>
      <c r="G55">
        <v>3.8973118279569863</v>
      </c>
      <c r="H55" t="s">
        <v>1108</v>
      </c>
      <c r="I55">
        <v>4.7</v>
      </c>
      <c r="J55">
        <v>2023</v>
      </c>
      <c r="K55" t="s">
        <v>15</v>
      </c>
      <c r="L55" t="s">
        <v>1111</v>
      </c>
      <c r="M55">
        <v>5</v>
      </c>
      <c r="N55">
        <v>79</v>
      </c>
      <c r="O55">
        <v>7747</v>
      </c>
      <c r="P55">
        <v>0.49375000000000002</v>
      </c>
      <c r="Q55">
        <v>79</v>
      </c>
      <c r="R55">
        <v>0.49375000000000002</v>
      </c>
      <c r="S55" t="s">
        <v>1056</v>
      </c>
      <c r="T55">
        <v>4</v>
      </c>
    </row>
    <row r="56" spans="1:20" x14ac:dyDescent="0.4">
      <c r="A56" t="s">
        <v>340</v>
      </c>
      <c r="B56" t="s">
        <v>44</v>
      </c>
      <c r="C56">
        <v>137</v>
      </c>
      <c r="D56" t="s">
        <v>23</v>
      </c>
      <c r="E56" s="23">
        <v>45019</v>
      </c>
      <c r="F56">
        <v>215</v>
      </c>
      <c r="G56">
        <v>3.8973118279569863</v>
      </c>
      <c r="H56" t="s">
        <v>1108</v>
      </c>
      <c r="I56">
        <v>4.7</v>
      </c>
      <c r="J56">
        <v>2023</v>
      </c>
      <c r="K56" t="s">
        <v>15</v>
      </c>
      <c r="L56" t="s">
        <v>1112</v>
      </c>
      <c r="M56">
        <v>5</v>
      </c>
      <c r="N56">
        <v>62</v>
      </c>
      <c r="O56">
        <v>6176</v>
      </c>
      <c r="P56">
        <v>0.28837209302325584</v>
      </c>
      <c r="Q56">
        <v>62</v>
      </c>
      <c r="R56">
        <v>0.28837209302325584</v>
      </c>
      <c r="S56" t="s">
        <v>1056</v>
      </c>
      <c r="T56">
        <v>4</v>
      </c>
    </row>
    <row r="57" spans="1:20" x14ac:dyDescent="0.4">
      <c r="A57" t="s">
        <v>358</v>
      </c>
      <c r="B57" t="s">
        <v>84</v>
      </c>
      <c r="C57">
        <v>70</v>
      </c>
      <c r="D57" t="s">
        <v>23</v>
      </c>
      <c r="E57" s="23">
        <v>45023</v>
      </c>
      <c r="F57">
        <v>42</v>
      </c>
      <c r="G57">
        <v>3.8973118279569863</v>
      </c>
      <c r="H57" t="s">
        <v>1108</v>
      </c>
      <c r="I57">
        <v>4.4000000000000004</v>
      </c>
      <c r="J57">
        <v>2023</v>
      </c>
      <c r="K57" t="s">
        <v>45</v>
      </c>
      <c r="L57" t="s">
        <v>1111</v>
      </c>
      <c r="M57">
        <v>4</v>
      </c>
      <c r="N57">
        <v>59</v>
      </c>
      <c r="O57">
        <v>5009</v>
      </c>
      <c r="P57">
        <v>1.4047619047619047</v>
      </c>
      <c r="Q57">
        <v>59</v>
      </c>
      <c r="R57">
        <v>1.4047619047619047</v>
      </c>
      <c r="S57" t="s">
        <v>1056</v>
      </c>
      <c r="T57">
        <v>4</v>
      </c>
    </row>
    <row r="58" spans="1:20" x14ac:dyDescent="0.4">
      <c r="A58" t="s">
        <v>361</v>
      </c>
      <c r="B58" t="s">
        <v>64</v>
      </c>
      <c r="C58">
        <v>95</v>
      </c>
      <c r="D58" t="s">
        <v>23</v>
      </c>
      <c r="E58" s="23">
        <v>45024</v>
      </c>
      <c r="F58">
        <v>123</v>
      </c>
      <c r="G58">
        <v>3.8973118279569863</v>
      </c>
      <c r="H58" t="s">
        <v>1108</v>
      </c>
      <c r="I58">
        <v>4.4000000000000004</v>
      </c>
      <c r="J58">
        <v>2023</v>
      </c>
      <c r="K58" t="s">
        <v>48</v>
      </c>
      <c r="L58" t="s">
        <v>1111</v>
      </c>
      <c r="M58">
        <v>4</v>
      </c>
      <c r="N58">
        <v>65</v>
      </c>
      <c r="O58">
        <v>6785</v>
      </c>
      <c r="P58">
        <v>0.52845528455284552</v>
      </c>
      <c r="Q58">
        <v>65</v>
      </c>
      <c r="R58">
        <v>0.52845528455284552</v>
      </c>
      <c r="S58" t="s">
        <v>1056</v>
      </c>
      <c r="T58">
        <v>4</v>
      </c>
    </row>
    <row r="59" spans="1:20" x14ac:dyDescent="0.4">
      <c r="A59" t="s">
        <v>366</v>
      </c>
      <c r="B59" t="s">
        <v>40</v>
      </c>
      <c r="C59">
        <v>72</v>
      </c>
      <c r="D59" t="s">
        <v>23</v>
      </c>
      <c r="E59" s="23">
        <v>45024</v>
      </c>
      <c r="F59">
        <v>140</v>
      </c>
      <c r="G59">
        <v>3.8973118279569863</v>
      </c>
      <c r="H59" t="s">
        <v>1108</v>
      </c>
      <c r="I59">
        <v>3.2</v>
      </c>
      <c r="J59">
        <v>2023</v>
      </c>
      <c r="K59" t="s">
        <v>48</v>
      </c>
      <c r="L59" t="s">
        <v>1111</v>
      </c>
      <c r="M59">
        <v>3</v>
      </c>
      <c r="N59">
        <v>69</v>
      </c>
      <c r="O59">
        <v>6601</v>
      </c>
      <c r="P59">
        <v>0.49285714285714288</v>
      </c>
      <c r="Q59">
        <v>69</v>
      </c>
      <c r="R59">
        <v>0.49285714285714288</v>
      </c>
      <c r="S59" t="s">
        <v>1056</v>
      </c>
      <c r="T59">
        <v>4</v>
      </c>
    </row>
    <row r="60" spans="1:20" x14ac:dyDescent="0.4">
      <c r="A60" t="s">
        <v>372</v>
      </c>
      <c r="B60" t="s">
        <v>8</v>
      </c>
      <c r="C60">
        <v>55</v>
      </c>
      <c r="D60" t="s">
        <v>23</v>
      </c>
      <c r="E60" s="23">
        <v>45025</v>
      </c>
      <c r="F60">
        <v>27</v>
      </c>
      <c r="G60">
        <v>3.8973118279569863</v>
      </c>
      <c r="H60" t="s">
        <v>1108</v>
      </c>
      <c r="I60">
        <v>3.7</v>
      </c>
      <c r="J60">
        <v>2023</v>
      </c>
      <c r="K60" t="s">
        <v>3</v>
      </c>
      <c r="L60" t="s">
        <v>1109</v>
      </c>
      <c r="M60">
        <v>4</v>
      </c>
      <c r="N60">
        <v>79</v>
      </c>
      <c r="O60">
        <v>7747</v>
      </c>
      <c r="P60">
        <v>2.925925925925926</v>
      </c>
      <c r="Q60">
        <v>79</v>
      </c>
      <c r="R60">
        <v>2.925925925925926</v>
      </c>
      <c r="S60" t="s">
        <v>1056</v>
      </c>
      <c r="T60">
        <v>4</v>
      </c>
    </row>
    <row r="61" spans="1:20" x14ac:dyDescent="0.4">
      <c r="A61" t="s">
        <v>373</v>
      </c>
      <c r="B61" t="s">
        <v>26</v>
      </c>
      <c r="C61">
        <v>104</v>
      </c>
      <c r="D61" t="s">
        <v>23</v>
      </c>
      <c r="E61" s="23">
        <v>45026</v>
      </c>
      <c r="F61">
        <v>68</v>
      </c>
      <c r="G61">
        <v>3.8973118279569863</v>
      </c>
      <c r="H61" t="s">
        <v>1108</v>
      </c>
      <c r="I61">
        <v>3.6</v>
      </c>
      <c r="J61">
        <v>2023</v>
      </c>
      <c r="K61" t="s">
        <v>15</v>
      </c>
      <c r="L61" t="s">
        <v>1111</v>
      </c>
      <c r="M61">
        <v>4</v>
      </c>
      <c r="N61">
        <v>72</v>
      </c>
      <c r="O61">
        <v>6242</v>
      </c>
      <c r="P61">
        <v>1.0588235294117647</v>
      </c>
      <c r="Q61">
        <v>72</v>
      </c>
      <c r="R61">
        <v>1.0588235294117647</v>
      </c>
      <c r="S61" t="s">
        <v>1056</v>
      </c>
      <c r="T61">
        <v>4</v>
      </c>
    </row>
    <row r="62" spans="1:20" x14ac:dyDescent="0.4">
      <c r="A62" t="s">
        <v>375</v>
      </c>
      <c r="B62" t="s">
        <v>51</v>
      </c>
      <c r="C62">
        <v>99</v>
      </c>
      <c r="D62" t="s">
        <v>23</v>
      </c>
      <c r="E62" s="23">
        <v>45026</v>
      </c>
      <c r="F62">
        <v>42</v>
      </c>
      <c r="G62">
        <v>3.8973118279569863</v>
      </c>
      <c r="H62" t="s">
        <v>1108</v>
      </c>
      <c r="I62">
        <v>3.1</v>
      </c>
      <c r="J62">
        <v>2023</v>
      </c>
      <c r="K62" t="s">
        <v>15</v>
      </c>
      <c r="L62" t="s">
        <v>1111</v>
      </c>
      <c r="M62">
        <v>3</v>
      </c>
      <c r="N62">
        <v>59</v>
      </c>
      <c r="O62">
        <v>6518</v>
      </c>
      <c r="P62">
        <v>1.4047619047619047</v>
      </c>
      <c r="Q62">
        <v>59</v>
      </c>
      <c r="R62">
        <v>1.4047619047619047</v>
      </c>
      <c r="S62" t="s">
        <v>1056</v>
      </c>
      <c r="T62">
        <v>4</v>
      </c>
    </row>
    <row r="63" spans="1:20" x14ac:dyDescent="0.4">
      <c r="A63" t="s">
        <v>376</v>
      </c>
      <c r="B63" t="s">
        <v>26</v>
      </c>
      <c r="C63">
        <v>84</v>
      </c>
      <c r="D63" t="s">
        <v>23</v>
      </c>
      <c r="E63" s="23">
        <v>45027</v>
      </c>
      <c r="F63">
        <v>38</v>
      </c>
      <c r="G63">
        <v>3.8973118279569863</v>
      </c>
      <c r="H63" t="s">
        <v>1108</v>
      </c>
      <c r="I63">
        <v>3.3</v>
      </c>
      <c r="J63">
        <v>2023</v>
      </c>
      <c r="K63" t="s">
        <v>18</v>
      </c>
      <c r="L63" t="s">
        <v>1111</v>
      </c>
      <c r="M63">
        <v>3</v>
      </c>
      <c r="N63">
        <v>72</v>
      </c>
      <c r="O63">
        <v>6242</v>
      </c>
      <c r="P63">
        <v>1.8947368421052631</v>
      </c>
      <c r="Q63">
        <v>72</v>
      </c>
      <c r="R63">
        <v>1.8947368421052631</v>
      </c>
      <c r="S63" t="s">
        <v>1056</v>
      </c>
      <c r="T63">
        <v>4</v>
      </c>
    </row>
    <row r="64" spans="1:20" x14ac:dyDescent="0.4">
      <c r="A64" t="s">
        <v>377</v>
      </c>
      <c r="B64" t="s">
        <v>54</v>
      </c>
      <c r="C64">
        <v>159</v>
      </c>
      <c r="D64" t="s">
        <v>23</v>
      </c>
      <c r="E64" s="23">
        <v>45027</v>
      </c>
      <c r="F64">
        <v>42</v>
      </c>
      <c r="G64">
        <v>3.8973118279569863</v>
      </c>
      <c r="H64" t="s">
        <v>1108</v>
      </c>
      <c r="I64">
        <v>4.5</v>
      </c>
      <c r="J64">
        <v>2023</v>
      </c>
      <c r="K64" t="s">
        <v>18</v>
      </c>
      <c r="L64" t="s">
        <v>1112</v>
      </c>
      <c r="M64">
        <v>5</v>
      </c>
      <c r="N64">
        <v>70</v>
      </c>
      <c r="O64">
        <v>6819</v>
      </c>
      <c r="P64">
        <v>1.6666666666666667</v>
      </c>
      <c r="Q64">
        <v>70</v>
      </c>
      <c r="R64">
        <v>1.6666666666666667</v>
      </c>
      <c r="S64" t="s">
        <v>1056</v>
      </c>
      <c r="T64">
        <v>4</v>
      </c>
    </row>
    <row r="65" spans="1:20" x14ac:dyDescent="0.4">
      <c r="A65" t="s">
        <v>384</v>
      </c>
      <c r="B65" t="s">
        <v>30</v>
      </c>
      <c r="C65">
        <v>114</v>
      </c>
      <c r="D65" t="s">
        <v>23</v>
      </c>
      <c r="E65" s="23">
        <v>45030</v>
      </c>
      <c r="F65">
        <v>126</v>
      </c>
      <c r="G65">
        <v>3.8973118279569863</v>
      </c>
      <c r="H65" t="s">
        <v>1108</v>
      </c>
      <c r="I65">
        <v>4.4000000000000004</v>
      </c>
      <c r="J65">
        <v>2023</v>
      </c>
      <c r="K65" t="s">
        <v>45</v>
      </c>
      <c r="L65" t="s">
        <v>1111</v>
      </c>
      <c r="M65">
        <v>4</v>
      </c>
      <c r="N65">
        <v>69</v>
      </c>
      <c r="O65">
        <v>7230</v>
      </c>
      <c r="P65">
        <v>0.54761904761904767</v>
      </c>
      <c r="Q65">
        <v>69</v>
      </c>
      <c r="R65">
        <v>0.54761904761904767</v>
      </c>
      <c r="S65" t="s">
        <v>1056</v>
      </c>
      <c r="T65">
        <v>4</v>
      </c>
    </row>
    <row r="66" spans="1:20" x14ac:dyDescent="0.4">
      <c r="A66" t="s">
        <v>385</v>
      </c>
      <c r="B66" t="s">
        <v>44</v>
      </c>
      <c r="C66">
        <v>67</v>
      </c>
      <c r="D66" t="s">
        <v>23</v>
      </c>
      <c r="E66" s="23">
        <v>45030</v>
      </c>
      <c r="F66">
        <v>35</v>
      </c>
      <c r="G66">
        <v>3.8973118279569863</v>
      </c>
      <c r="H66" t="s">
        <v>1108</v>
      </c>
      <c r="I66">
        <v>3</v>
      </c>
      <c r="J66">
        <v>2023</v>
      </c>
      <c r="K66" t="s">
        <v>45</v>
      </c>
      <c r="L66" t="s">
        <v>1111</v>
      </c>
      <c r="M66">
        <v>3</v>
      </c>
      <c r="N66">
        <v>62</v>
      </c>
      <c r="O66">
        <v>6176</v>
      </c>
      <c r="P66">
        <v>1.7714285714285714</v>
      </c>
      <c r="Q66">
        <v>62</v>
      </c>
      <c r="R66">
        <v>1.7714285714285714</v>
      </c>
      <c r="S66" t="s">
        <v>1056</v>
      </c>
      <c r="T66">
        <v>4</v>
      </c>
    </row>
    <row r="67" spans="1:20" x14ac:dyDescent="0.4">
      <c r="A67" t="s">
        <v>399</v>
      </c>
      <c r="B67" t="s">
        <v>6</v>
      </c>
      <c r="C67">
        <v>21</v>
      </c>
      <c r="D67" t="s">
        <v>23</v>
      </c>
      <c r="E67" s="23">
        <v>45032</v>
      </c>
      <c r="F67">
        <v>74</v>
      </c>
      <c r="G67">
        <v>3.8973118279569863</v>
      </c>
      <c r="H67" t="s">
        <v>1108</v>
      </c>
      <c r="I67">
        <v>4.5999999999999996</v>
      </c>
      <c r="J67">
        <v>2023</v>
      </c>
      <c r="K67" t="s">
        <v>3</v>
      </c>
      <c r="L67" t="s">
        <v>1110</v>
      </c>
      <c r="M67">
        <v>5</v>
      </c>
      <c r="N67">
        <v>82</v>
      </c>
      <c r="O67">
        <v>7689</v>
      </c>
      <c r="P67">
        <v>1.1081081081081081</v>
      </c>
      <c r="Q67">
        <v>82</v>
      </c>
      <c r="R67">
        <v>1.1081081081081081</v>
      </c>
      <c r="S67" t="s">
        <v>1056</v>
      </c>
      <c r="T67">
        <v>4</v>
      </c>
    </row>
    <row r="68" spans="1:20" x14ac:dyDescent="0.4">
      <c r="A68" t="s">
        <v>403</v>
      </c>
      <c r="B68" t="s">
        <v>26</v>
      </c>
      <c r="C68">
        <v>110</v>
      </c>
      <c r="D68" t="s">
        <v>23</v>
      </c>
      <c r="E68" s="23">
        <v>45033</v>
      </c>
      <c r="F68">
        <v>21</v>
      </c>
      <c r="G68">
        <v>3.8973118279569863</v>
      </c>
      <c r="H68" t="s">
        <v>1108</v>
      </c>
      <c r="I68">
        <v>2.6</v>
      </c>
      <c r="J68">
        <v>2023</v>
      </c>
      <c r="K68" t="s">
        <v>15</v>
      </c>
      <c r="L68" t="s">
        <v>1111</v>
      </c>
      <c r="M68">
        <v>3</v>
      </c>
      <c r="N68">
        <v>72</v>
      </c>
      <c r="O68">
        <v>6242</v>
      </c>
      <c r="P68">
        <v>3.4285714285714284</v>
      </c>
      <c r="Q68">
        <v>72</v>
      </c>
      <c r="R68">
        <v>3.4285714285714284</v>
      </c>
      <c r="S68" t="s">
        <v>1056</v>
      </c>
      <c r="T68">
        <v>4</v>
      </c>
    </row>
    <row r="69" spans="1:20" x14ac:dyDescent="0.4">
      <c r="A69" t="s">
        <v>424</v>
      </c>
      <c r="B69" t="s">
        <v>51</v>
      </c>
      <c r="C69">
        <v>36</v>
      </c>
      <c r="D69" t="s">
        <v>23</v>
      </c>
      <c r="E69" s="23">
        <v>45037</v>
      </c>
      <c r="F69">
        <v>81</v>
      </c>
      <c r="G69">
        <v>3.8973118279569863</v>
      </c>
      <c r="H69" t="s">
        <v>1108</v>
      </c>
      <c r="I69">
        <v>3.7</v>
      </c>
      <c r="J69">
        <v>2023</v>
      </c>
      <c r="K69" t="s">
        <v>45</v>
      </c>
      <c r="L69" t="s">
        <v>1109</v>
      </c>
      <c r="M69">
        <v>4</v>
      </c>
      <c r="N69">
        <v>59</v>
      </c>
      <c r="O69">
        <v>6518</v>
      </c>
      <c r="P69">
        <v>0.72839506172839508</v>
      </c>
      <c r="Q69">
        <v>59</v>
      </c>
      <c r="R69">
        <v>0.72839506172839508</v>
      </c>
      <c r="S69" t="s">
        <v>1056</v>
      </c>
      <c r="T69">
        <v>4</v>
      </c>
    </row>
    <row r="70" spans="1:20" x14ac:dyDescent="0.4">
      <c r="A70" t="s">
        <v>431</v>
      </c>
      <c r="B70" t="s">
        <v>84</v>
      </c>
      <c r="C70">
        <v>89</v>
      </c>
      <c r="D70" t="s">
        <v>23</v>
      </c>
      <c r="E70" s="23">
        <v>45038</v>
      </c>
      <c r="F70">
        <v>129</v>
      </c>
      <c r="G70">
        <v>3.8973118279569863</v>
      </c>
      <c r="H70" t="s">
        <v>1108</v>
      </c>
      <c r="I70">
        <v>4</v>
      </c>
      <c r="J70">
        <v>2023</v>
      </c>
      <c r="K70" t="s">
        <v>48</v>
      </c>
      <c r="L70" t="s">
        <v>1111</v>
      </c>
      <c r="M70">
        <v>4</v>
      </c>
      <c r="N70">
        <v>59</v>
      </c>
      <c r="O70">
        <v>5009</v>
      </c>
      <c r="P70">
        <v>0.4573643410852713</v>
      </c>
      <c r="Q70">
        <v>59</v>
      </c>
      <c r="R70">
        <v>0.4573643410852713</v>
      </c>
      <c r="S70" t="s">
        <v>1056</v>
      </c>
      <c r="T70">
        <v>4</v>
      </c>
    </row>
    <row r="71" spans="1:20" x14ac:dyDescent="0.4">
      <c r="A71" t="s">
        <v>434</v>
      </c>
      <c r="B71" t="s">
        <v>11</v>
      </c>
      <c r="C71">
        <v>163</v>
      </c>
      <c r="D71" t="s">
        <v>23</v>
      </c>
      <c r="E71" s="23">
        <v>45039</v>
      </c>
      <c r="F71">
        <v>62</v>
      </c>
      <c r="G71">
        <v>3.8973118279569863</v>
      </c>
      <c r="H71" t="s">
        <v>1108</v>
      </c>
      <c r="I71">
        <v>3.4</v>
      </c>
      <c r="J71">
        <v>2023</v>
      </c>
      <c r="K71" t="s">
        <v>3</v>
      </c>
      <c r="L71" t="s">
        <v>1112</v>
      </c>
      <c r="M71">
        <v>3</v>
      </c>
      <c r="N71">
        <v>60</v>
      </c>
      <c r="O71">
        <v>5404</v>
      </c>
      <c r="P71">
        <v>0.967741935483871</v>
      </c>
      <c r="Q71">
        <v>60</v>
      </c>
      <c r="R71">
        <v>0.967741935483871</v>
      </c>
      <c r="S71" t="s">
        <v>1056</v>
      </c>
      <c r="T71">
        <v>4</v>
      </c>
    </row>
    <row r="72" spans="1:20" x14ac:dyDescent="0.4">
      <c r="A72" t="s">
        <v>441</v>
      </c>
      <c r="B72" t="s">
        <v>84</v>
      </c>
      <c r="C72">
        <v>26</v>
      </c>
      <c r="D72" t="s">
        <v>23</v>
      </c>
      <c r="E72" s="23">
        <v>45040</v>
      </c>
      <c r="F72">
        <v>43</v>
      </c>
      <c r="G72">
        <v>3.8973118279569863</v>
      </c>
      <c r="H72" t="s">
        <v>1108</v>
      </c>
      <c r="I72">
        <v>4.2</v>
      </c>
      <c r="J72">
        <v>2023</v>
      </c>
      <c r="K72" t="s">
        <v>15</v>
      </c>
      <c r="L72" t="s">
        <v>1110</v>
      </c>
      <c r="M72">
        <v>4</v>
      </c>
      <c r="N72">
        <v>59</v>
      </c>
      <c r="O72">
        <v>5009</v>
      </c>
      <c r="P72">
        <v>1.3720930232558139</v>
      </c>
      <c r="Q72">
        <v>59</v>
      </c>
      <c r="R72">
        <v>1.3720930232558139</v>
      </c>
      <c r="S72" t="s">
        <v>1056</v>
      </c>
      <c r="T72">
        <v>4</v>
      </c>
    </row>
    <row r="73" spans="1:20" x14ac:dyDescent="0.4">
      <c r="A73" t="s">
        <v>456</v>
      </c>
      <c r="B73" t="s">
        <v>1</v>
      </c>
      <c r="C73">
        <v>113</v>
      </c>
      <c r="D73" t="s">
        <v>23</v>
      </c>
      <c r="E73" s="23">
        <v>45043</v>
      </c>
      <c r="F73">
        <v>42</v>
      </c>
      <c r="G73">
        <v>3.8973118279569863</v>
      </c>
      <c r="H73" t="s">
        <v>1108</v>
      </c>
      <c r="I73">
        <v>4.5999999999999996</v>
      </c>
      <c r="J73">
        <v>2023</v>
      </c>
      <c r="K73" t="s">
        <v>37</v>
      </c>
      <c r="L73" t="s">
        <v>1111</v>
      </c>
      <c r="M73">
        <v>5</v>
      </c>
      <c r="N73">
        <v>50</v>
      </c>
      <c r="O73">
        <v>4804</v>
      </c>
      <c r="P73">
        <v>1.1904761904761905</v>
      </c>
      <c r="Q73">
        <v>50</v>
      </c>
      <c r="R73">
        <v>1.1904761904761905</v>
      </c>
      <c r="S73" t="s">
        <v>1056</v>
      </c>
      <c r="T73">
        <v>4</v>
      </c>
    </row>
    <row r="74" spans="1:20" x14ac:dyDescent="0.4">
      <c r="A74" t="s">
        <v>459</v>
      </c>
      <c r="B74" t="s">
        <v>8</v>
      </c>
      <c r="C74">
        <v>145</v>
      </c>
      <c r="D74" t="s">
        <v>23</v>
      </c>
      <c r="E74" s="23">
        <v>45044</v>
      </c>
      <c r="F74">
        <v>110</v>
      </c>
      <c r="G74">
        <v>3.8973118279569863</v>
      </c>
      <c r="H74" t="s">
        <v>1108</v>
      </c>
      <c r="I74">
        <v>3.1</v>
      </c>
      <c r="J74">
        <v>2023</v>
      </c>
      <c r="K74" t="s">
        <v>45</v>
      </c>
      <c r="L74" t="s">
        <v>1112</v>
      </c>
      <c r="M74">
        <v>3</v>
      </c>
      <c r="N74">
        <v>79</v>
      </c>
      <c r="O74">
        <v>7747</v>
      </c>
      <c r="P74">
        <v>0.71818181818181814</v>
      </c>
      <c r="Q74">
        <v>79</v>
      </c>
      <c r="R74">
        <v>0.71818181818181814</v>
      </c>
      <c r="S74" t="s">
        <v>1056</v>
      </c>
      <c r="T74">
        <v>4</v>
      </c>
    </row>
    <row r="75" spans="1:20" x14ac:dyDescent="0.4">
      <c r="A75" t="s">
        <v>463</v>
      </c>
      <c r="B75" t="s">
        <v>21</v>
      </c>
      <c r="C75">
        <v>81</v>
      </c>
      <c r="D75" t="s">
        <v>23</v>
      </c>
      <c r="E75" s="23">
        <v>45045</v>
      </c>
      <c r="F75">
        <v>40</v>
      </c>
      <c r="G75">
        <v>3.8973118279569863</v>
      </c>
      <c r="H75" t="s">
        <v>1108</v>
      </c>
      <c r="I75">
        <v>2.4</v>
      </c>
      <c r="J75">
        <v>2023</v>
      </c>
      <c r="K75" t="s">
        <v>48</v>
      </c>
      <c r="L75" t="s">
        <v>1111</v>
      </c>
      <c r="M75">
        <v>2</v>
      </c>
      <c r="N75">
        <v>67</v>
      </c>
      <c r="O75">
        <v>7216</v>
      </c>
      <c r="P75">
        <v>1.675</v>
      </c>
      <c r="Q75">
        <v>67</v>
      </c>
      <c r="R75">
        <v>1.675</v>
      </c>
      <c r="S75" t="s">
        <v>1056</v>
      </c>
      <c r="T75">
        <v>4</v>
      </c>
    </row>
    <row r="76" spans="1:20" x14ac:dyDescent="0.4">
      <c r="A76" t="s">
        <v>466</v>
      </c>
      <c r="B76" t="s">
        <v>32</v>
      </c>
      <c r="C76">
        <v>95</v>
      </c>
      <c r="D76" t="s">
        <v>23</v>
      </c>
      <c r="E76" s="23">
        <v>45046</v>
      </c>
      <c r="F76">
        <v>75</v>
      </c>
      <c r="G76">
        <v>3.8973118279569863</v>
      </c>
      <c r="H76" t="s">
        <v>1108</v>
      </c>
      <c r="I76">
        <v>4.8</v>
      </c>
      <c r="J76">
        <v>2023</v>
      </c>
      <c r="K76" t="s">
        <v>3</v>
      </c>
      <c r="L76" t="s">
        <v>1111</v>
      </c>
      <c r="M76">
        <v>5</v>
      </c>
      <c r="N76">
        <v>63</v>
      </c>
      <c r="O76">
        <v>5634</v>
      </c>
      <c r="P76">
        <v>0.84</v>
      </c>
      <c r="Q76">
        <v>63</v>
      </c>
      <c r="R76">
        <v>0.84</v>
      </c>
      <c r="S76" t="s">
        <v>1056</v>
      </c>
      <c r="T76">
        <v>4</v>
      </c>
    </row>
    <row r="77" spans="1:20" x14ac:dyDescent="0.4">
      <c r="A77" t="s">
        <v>467</v>
      </c>
      <c r="B77" t="s">
        <v>40</v>
      </c>
      <c r="C77">
        <v>81</v>
      </c>
      <c r="D77" t="s">
        <v>23</v>
      </c>
      <c r="E77" s="23">
        <v>45046</v>
      </c>
      <c r="F77">
        <v>60</v>
      </c>
      <c r="G77">
        <v>3.8973118279569863</v>
      </c>
      <c r="H77" t="s">
        <v>1108</v>
      </c>
      <c r="I77">
        <v>3.6</v>
      </c>
      <c r="J77">
        <v>2023</v>
      </c>
      <c r="K77" t="s">
        <v>3</v>
      </c>
      <c r="L77" t="s">
        <v>1111</v>
      </c>
      <c r="M77">
        <v>4</v>
      </c>
      <c r="N77">
        <v>69</v>
      </c>
      <c r="O77">
        <v>6601</v>
      </c>
      <c r="P77">
        <v>1.1499999999999999</v>
      </c>
      <c r="Q77">
        <v>69</v>
      </c>
      <c r="R77">
        <v>1.1499999999999999</v>
      </c>
      <c r="S77" t="s">
        <v>1056</v>
      </c>
      <c r="T77">
        <v>4</v>
      </c>
    </row>
    <row r="78" spans="1:20" x14ac:dyDescent="0.4">
      <c r="A78" t="s">
        <v>474</v>
      </c>
      <c r="B78" t="s">
        <v>1</v>
      </c>
      <c r="C78">
        <v>135</v>
      </c>
      <c r="D78" t="s">
        <v>23</v>
      </c>
      <c r="E78" s="23">
        <v>45048</v>
      </c>
      <c r="F78">
        <v>104</v>
      </c>
      <c r="G78">
        <v>3.8973118279569863</v>
      </c>
      <c r="H78" t="s">
        <v>1108</v>
      </c>
      <c r="I78">
        <v>4.0999999999999996</v>
      </c>
      <c r="J78">
        <v>2023</v>
      </c>
      <c r="K78" t="s">
        <v>18</v>
      </c>
      <c r="L78" t="s">
        <v>1112</v>
      </c>
      <c r="M78">
        <v>4</v>
      </c>
      <c r="N78">
        <v>50</v>
      </c>
      <c r="O78">
        <v>4804</v>
      </c>
      <c r="P78">
        <v>0.48076923076923078</v>
      </c>
      <c r="Q78">
        <v>50</v>
      </c>
      <c r="R78">
        <v>0.48076923076923078</v>
      </c>
      <c r="S78" t="s">
        <v>1057</v>
      </c>
      <c r="T78">
        <v>5</v>
      </c>
    </row>
    <row r="79" spans="1:20" x14ac:dyDescent="0.4">
      <c r="A79" t="s">
        <v>476</v>
      </c>
      <c r="B79" t="s">
        <v>8</v>
      </c>
      <c r="C79">
        <v>35</v>
      </c>
      <c r="D79" t="s">
        <v>23</v>
      </c>
      <c r="E79" s="23">
        <v>45049</v>
      </c>
      <c r="F79">
        <v>215</v>
      </c>
      <c r="G79">
        <v>3.8973118279569863</v>
      </c>
      <c r="H79" t="s">
        <v>1108</v>
      </c>
      <c r="I79">
        <v>4.3</v>
      </c>
      <c r="J79">
        <v>2023</v>
      </c>
      <c r="K79" t="s">
        <v>33</v>
      </c>
      <c r="L79" t="s">
        <v>1109</v>
      </c>
      <c r="M79">
        <v>4</v>
      </c>
      <c r="N79">
        <v>79</v>
      </c>
      <c r="O79">
        <v>7747</v>
      </c>
      <c r="P79">
        <v>0.36744186046511629</v>
      </c>
      <c r="Q79">
        <v>79</v>
      </c>
      <c r="R79">
        <v>0.36744186046511629</v>
      </c>
      <c r="S79" t="s">
        <v>1057</v>
      </c>
      <c r="T79">
        <v>5</v>
      </c>
    </row>
    <row r="80" spans="1:20" x14ac:dyDescent="0.4">
      <c r="A80" t="s">
        <v>483</v>
      </c>
      <c r="B80" t="s">
        <v>32</v>
      </c>
      <c r="C80">
        <v>40</v>
      </c>
      <c r="D80" t="s">
        <v>23</v>
      </c>
      <c r="E80" s="23">
        <v>45052</v>
      </c>
      <c r="F80">
        <v>108</v>
      </c>
      <c r="G80">
        <v>3.8973118279569863</v>
      </c>
      <c r="H80" t="s">
        <v>1108</v>
      </c>
      <c r="I80">
        <v>4.2</v>
      </c>
      <c r="J80">
        <v>2023</v>
      </c>
      <c r="K80" t="s">
        <v>48</v>
      </c>
      <c r="L80" t="s">
        <v>1109</v>
      </c>
      <c r="M80">
        <v>4</v>
      </c>
      <c r="N80">
        <v>63</v>
      </c>
      <c r="O80">
        <v>5634</v>
      </c>
      <c r="P80">
        <v>0.58333333333333337</v>
      </c>
      <c r="Q80">
        <v>63</v>
      </c>
      <c r="R80">
        <v>0.58333333333333337</v>
      </c>
      <c r="S80" t="s">
        <v>1057</v>
      </c>
      <c r="T80">
        <v>5</v>
      </c>
    </row>
    <row r="81" spans="1:20" x14ac:dyDescent="0.4">
      <c r="A81" t="s">
        <v>484</v>
      </c>
      <c r="B81" t="s">
        <v>84</v>
      </c>
      <c r="C81">
        <v>143</v>
      </c>
      <c r="D81" t="s">
        <v>23</v>
      </c>
      <c r="E81" s="23">
        <v>45052</v>
      </c>
      <c r="F81">
        <v>54</v>
      </c>
      <c r="G81">
        <v>3.8973118279569863</v>
      </c>
      <c r="H81" t="s">
        <v>1108</v>
      </c>
      <c r="I81">
        <v>4.4000000000000004</v>
      </c>
      <c r="J81">
        <v>2023</v>
      </c>
      <c r="K81" t="s">
        <v>48</v>
      </c>
      <c r="L81" t="s">
        <v>1112</v>
      </c>
      <c r="M81">
        <v>4</v>
      </c>
      <c r="N81">
        <v>59</v>
      </c>
      <c r="O81">
        <v>5009</v>
      </c>
      <c r="P81">
        <v>1.0925925925925926</v>
      </c>
      <c r="Q81">
        <v>59</v>
      </c>
      <c r="R81">
        <v>1.0925925925925926</v>
      </c>
      <c r="S81" t="s">
        <v>1057</v>
      </c>
      <c r="T81">
        <v>5</v>
      </c>
    </row>
    <row r="82" spans="1:20" x14ac:dyDescent="0.4">
      <c r="A82" t="s">
        <v>485</v>
      </c>
      <c r="B82" t="s">
        <v>32</v>
      </c>
      <c r="C82">
        <v>70</v>
      </c>
      <c r="D82" t="s">
        <v>23</v>
      </c>
      <c r="E82" s="23">
        <v>45053</v>
      </c>
      <c r="F82">
        <v>44</v>
      </c>
      <c r="G82">
        <v>3.8973118279569863</v>
      </c>
      <c r="H82" t="s">
        <v>1108</v>
      </c>
      <c r="I82">
        <v>3.5</v>
      </c>
      <c r="J82">
        <v>2023</v>
      </c>
      <c r="K82" t="s">
        <v>3</v>
      </c>
      <c r="L82" t="s">
        <v>1111</v>
      </c>
      <c r="M82">
        <v>4</v>
      </c>
      <c r="N82">
        <v>63</v>
      </c>
      <c r="O82">
        <v>5634</v>
      </c>
      <c r="P82">
        <v>1.4318181818181819</v>
      </c>
      <c r="Q82">
        <v>63</v>
      </c>
      <c r="R82">
        <v>1.4318181818181819</v>
      </c>
      <c r="S82" t="s">
        <v>1057</v>
      </c>
      <c r="T82">
        <v>5</v>
      </c>
    </row>
    <row r="83" spans="1:20" x14ac:dyDescent="0.4">
      <c r="A83" t="s">
        <v>486</v>
      </c>
      <c r="B83" t="s">
        <v>51</v>
      </c>
      <c r="C83">
        <v>137</v>
      </c>
      <c r="D83" t="s">
        <v>23</v>
      </c>
      <c r="E83" s="23">
        <v>45053</v>
      </c>
      <c r="F83">
        <v>44</v>
      </c>
      <c r="G83">
        <v>3.8973118279569863</v>
      </c>
      <c r="H83" t="s">
        <v>1108</v>
      </c>
      <c r="I83">
        <v>4.7</v>
      </c>
      <c r="J83">
        <v>2023</v>
      </c>
      <c r="K83" t="s">
        <v>3</v>
      </c>
      <c r="L83" t="s">
        <v>1112</v>
      </c>
      <c r="M83">
        <v>5</v>
      </c>
      <c r="N83">
        <v>59</v>
      </c>
      <c r="O83">
        <v>6518</v>
      </c>
      <c r="P83">
        <v>1.3409090909090908</v>
      </c>
      <c r="Q83">
        <v>59</v>
      </c>
      <c r="R83">
        <v>1.3409090909090908</v>
      </c>
      <c r="S83" t="s">
        <v>1057</v>
      </c>
      <c r="T83">
        <v>5</v>
      </c>
    </row>
    <row r="84" spans="1:20" x14ac:dyDescent="0.4">
      <c r="A84" t="s">
        <v>494</v>
      </c>
      <c r="B84" t="s">
        <v>84</v>
      </c>
      <c r="C84">
        <v>89</v>
      </c>
      <c r="D84" t="s">
        <v>23</v>
      </c>
      <c r="E84" s="23">
        <v>45056</v>
      </c>
      <c r="F84">
        <v>176</v>
      </c>
      <c r="G84">
        <v>3.8973118279569863</v>
      </c>
      <c r="H84" t="s">
        <v>1108</v>
      </c>
      <c r="I84">
        <v>4.5</v>
      </c>
      <c r="J84">
        <v>2023</v>
      </c>
      <c r="K84" t="s">
        <v>33</v>
      </c>
      <c r="L84" t="s">
        <v>1111</v>
      </c>
      <c r="M84">
        <v>5</v>
      </c>
      <c r="N84">
        <v>59</v>
      </c>
      <c r="O84">
        <v>5009</v>
      </c>
      <c r="P84">
        <v>0.33522727272727271</v>
      </c>
      <c r="Q84">
        <v>59</v>
      </c>
      <c r="R84">
        <v>0.33522727272727271</v>
      </c>
      <c r="S84" t="s">
        <v>1057</v>
      </c>
      <c r="T84">
        <v>5</v>
      </c>
    </row>
    <row r="85" spans="1:20" x14ac:dyDescent="0.4">
      <c r="A85" t="s">
        <v>497</v>
      </c>
      <c r="B85" t="s">
        <v>30</v>
      </c>
      <c r="C85">
        <v>91</v>
      </c>
      <c r="D85" t="s">
        <v>23</v>
      </c>
      <c r="E85" s="23">
        <v>45058</v>
      </c>
      <c r="F85">
        <v>76</v>
      </c>
      <c r="G85">
        <v>3.8973118279569863</v>
      </c>
      <c r="H85" t="s">
        <v>1108</v>
      </c>
      <c r="I85">
        <v>4.9000000000000004</v>
      </c>
      <c r="J85">
        <v>2023</v>
      </c>
      <c r="K85" t="s">
        <v>45</v>
      </c>
      <c r="L85" t="s">
        <v>1111</v>
      </c>
      <c r="M85">
        <v>5</v>
      </c>
      <c r="N85">
        <v>69</v>
      </c>
      <c r="O85">
        <v>7230</v>
      </c>
      <c r="P85">
        <v>0.90789473684210531</v>
      </c>
      <c r="Q85">
        <v>69</v>
      </c>
      <c r="R85">
        <v>0.90789473684210531</v>
      </c>
      <c r="S85" t="s">
        <v>1057</v>
      </c>
      <c r="T85">
        <v>5</v>
      </c>
    </row>
    <row r="86" spans="1:20" x14ac:dyDescent="0.4">
      <c r="A86" t="s">
        <v>501</v>
      </c>
      <c r="B86" t="s">
        <v>8</v>
      </c>
      <c r="C86">
        <v>115</v>
      </c>
      <c r="D86" t="s">
        <v>23</v>
      </c>
      <c r="E86" s="23">
        <v>45060</v>
      </c>
      <c r="F86">
        <v>168</v>
      </c>
      <c r="G86">
        <v>3.8973118279569863</v>
      </c>
      <c r="H86" t="s">
        <v>1108</v>
      </c>
      <c r="I86">
        <v>3.4</v>
      </c>
      <c r="J86">
        <v>2023</v>
      </c>
      <c r="K86" t="s">
        <v>3</v>
      </c>
      <c r="L86" t="s">
        <v>1111</v>
      </c>
      <c r="M86">
        <v>3</v>
      </c>
      <c r="N86">
        <v>79</v>
      </c>
      <c r="O86">
        <v>7747</v>
      </c>
      <c r="P86">
        <v>0.47023809523809523</v>
      </c>
      <c r="Q86">
        <v>79</v>
      </c>
      <c r="R86">
        <v>0.47023809523809523</v>
      </c>
      <c r="S86" t="s">
        <v>1057</v>
      </c>
      <c r="T86">
        <v>5</v>
      </c>
    </row>
    <row r="87" spans="1:20" x14ac:dyDescent="0.4">
      <c r="A87" t="s">
        <v>502</v>
      </c>
      <c r="B87" t="s">
        <v>21</v>
      </c>
      <c r="C87">
        <v>56</v>
      </c>
      <c r="D87" t="s">
        <v>23</v>
      </c>
      <c r="E87" s="23">
        <v>45061</v>
      </c>
      <c r="F87">
        <v>200</v>
      </c>
      <c r="G87">
        <v>3.8973118279569863</v>
      </c>
      <c r="H87" t="s">
        <v>1108</v>
      </c>
      <c r="I87">
        <v>4.5999999999999996</v>
      </c>
      <c r="J87">
        <v>2023</v>
      </c>
      <c r="K87" t="s">
        <v>15</v>
      </c>
      <c r="L87" t="s">
        <v>1109</v>
      </c>
      <c r="M87">
        <v>5</v>
      </c>
      <c r="N87">
        <v>67</v>
      </c>
      <c r="O87">
        <v>7216</v>
      </c>
      <c r="P87">
        <v>0.33500000000000002</v>
      </c>
      <c r="Q87">
        <v>67</v>
      </c>
      <c r="R87">
        <v>0.33500000000000002</v>
      </c>
      <c r="S87" t="s">
        <v>1057</v>
      </c>
      <c r="T87">
        <v>5</v>
      </c>
    </row>
    <row r="88" spans="1:20" x14ac:dyDescent="0.4">
      <c r="A88" t="s">
        <v>504</v>
      </c>
      <c r="B88" t="s">
        <v>84</v>
      </c>
      <c r="C88">
        <v>51</v>
      </c>
      <c r="D88" t="s">
        <v>23</v>
      </c>
      <c r="E88" s="23">
        <v>45062</v>
      </c>
      <c r="F88">
        <v>117</v>
      </c>
      <c r="G88">
        <v>3.8973118279569863</v>
      </c>
      <c r="H88" t="s">
        <v>1108</v>
      </c>
      <c r="I88">
        <v>2.7</v>
      </c>
      <c r="J88">
        <v>2023</v>
      </c>
      <c r="K88" t="s">
        <v>18</v>
      </c>
      <c r="L88" t="s">
        <v>1109</v>
      </c>
      <c r="M88">
        <v>3</v>
      </c>
      <c r="N88">
        <v>59</v>
      </c>
      <c r="O88">
        <v>5009</v>
      </c>
      <c r="P88">
        <v>0.50427350427350426</v>
      </c>
      <c r="Q88">
        <v>59</v>
      </c>
      <c r="R88">
        <v>0.50427350427350426</v>
      </c>
      <c r="S88" t="s">
        <v>1057</v>
      </c>
      <c r="T88">
        <v>5</v>
      </c>
    </row>
    <row r="89" spans="1:20" x14ac:dyDescent="0.4">
      <c r="A89" t="s">
        <v>506</v>
      </c>
      <c r="B89" t="s">
        <v>8</v>
      </c>
      <c r="C89">
        <v>80</v>
      </c>
      <c r="D89" t="s">
        <v>23</v>
      </c>
      <c r="E89" s="23">
        <v>45063</v>
      </c>
      <c r="F89">
        <v>145</v>
      </c>
      <c r="G89">
        <v>3.8973118279569863</v>
      </c>
      <c r="H89" t="s">
        <v>1108</v>
      </c>
      <c r="I89">
        <v>4.9000000000000004</v>
      </c>
      <c r="J89">
        <v>2023</v>
      </c>
      <c r="K89" t="s">
        <v>33</v>
      </c>
      <c r="L89" t="s">
        <v>1111</v>
      </c>
      <c r="M89">
        <v>5</v>
      </c>
      <c r="N89">
        <v>79</v>
      </c>
      <c r="O89">
        <v>7747</v>
      </c>
      <c r="P89">
        <v>0.54482758620689653</v>
      </c>
      <c r="Q89">
        <v>79</v>
      </c>
      <c r="R89">
        <v>0.54482758620689653</v>
      </c>
      <c r="S89" t="s">
        <v>1057</v>
      </c>
      <c r="T89">
        <v>5</v>
      </c>
    </row>
    <row r="90" spans="1:20" x14ac:dyDescent="0.4">
      <c r="A90" t="s">
        <v>509</v>
      </c>
      <c r="B90" t="s">
        <v>8</v>
      </c>
      <c r="C90">
        <v>88</v>
      </c>
      <c r="D90" t="s">
        <v>23</v>
      </c>
      <c r="E90" s="23">
        <v>45063</v>
      </c>
      <c r="F90">
        <v>78</v>
      </c>
      <c r="G90">
        <v>3.8973118279569863</v>
      </c>
      <c r="H90" t="s">
        <v>1108</v>
      </c>
      <c r="I90">
        <v>4.3</v>
      </c>
      <c r="J90">
        <v>2023</v>
      </c>
      <c r="K90" t="s">
        <v>33</v>
      </c>
      <c r="L90" t="s">
        <v>1111</v>
      </c>
      <c r="M90">
        <v>4</v>
      </c>
      <c r="N90">
        <v>79</v>
      </c>
      <c r="O90">
        <v>7747</v>
      </c>
      <c r="P90">
        <v>1.0128205128205128</v>
      </c>
      <c r="Q90">
        <v>79</v>
      </c>
      <c r="R90">
        <v>1.0128205128205128</v>
      </c>
      <c r="S90" t="s">
        <v>1057</v>
      </c>
      <c r="T90">
        <v>5</v>
      </c>
    </row>
    <row r="91" spans="1:20" x14ac:dyDescent="0.4">
      <c r="A91" t="s">
        <v>516</v>
      </c>
      <c r="B91" t="s">
        <v>32</v>
      </c>
      <c r="C91">
        <v>76</v>
      </c>
      <c r="D91" t="s">
        <v>23</v>
      </c>
      <c r="E91" s="23">
        <v>45068</v>
      </c>
      <c r="F91">
        <v>39</v>
      </c>
      <c r="G91">
        <v>3.8973118279569863</v>
      </c>
      <c r="H91" t="s">
        <v>1108</v>
      </c>
      <c r="I91">
        <v>4.5999999999999996</v>
      </c>
      <c r="J91">
        <v>2023</v>
      </c>
      <c r="K91" t="s">
        <v>15</v>
      </c>
      <c r="L91" t="s">
        <v>1111</v>
      </c>
      <c r="M91">
        <v>5</v>
      </c>
      <c r="N91">
        <v>63</v>
      </c>
      <c r="O91">
        <v>5634</v>
      </c>
      <c r="P91">
        <v>1.6153846153846154</v>
      </c>
      <c r="Q91">
        <v>63</v>
      </c>
      <c r="R91">
        <v>1.6153846153846154</v>
      </c>
      <c r="S91" t="s">
        <v>1057</v>
      </c>
      <c r="T91">
        <v>5</v>
      </c>
    </row>
    <row r="92" spans="1:20" x14ac:dyDescent="0.4">
      <c r="A92" t="s">
        <v>520</v>
      </c>
      <c r="B92" t="s">
        <v>11</v>
      </c>
      <c r="C92">
        <v>155</v>
      </c>
      <c r="D92" t="s">
        <v>23</v>
      </c>
      <c r="E92" s="23">
        <v>45069</v>
      </c>
      <c r="F92">
        <v>37</v>
      </c>
      <c r="G92">
        <v>3.8973118279569863</v>
      </c>
      <c r="H92" t="s">
        <v>1108</v>
      </c>
      <c r="I92">
        <v>4</v>
      </c>
      <c r="J92">
        <v>2023</v>
      </c>
      <c r="K92" t="s">
        <v>18</v>
      </c>
      <c r="L92" t="s">
        <v>1112</v>
      </c>
      <c r="M92">
        <v>4</v>
      </c>
      <c r="N92">
        <v>60</v>
      </c>
      <c r="O92">
        <v>5404</v>
      </c>
      <c r="P92">
        <v>1.6216216216216217</v>
      </c>
      <c r="Q92">
        <v>60</v>
      </c>
      <c r="R92">
        <v>1.6216216216216217</v>
      </c>
      <c r="S92" t="s">
        <v>1057</v>
      </c>
      <c r="T92">
        <v>5</v>
      </c>
    </row>
    <row r="93" spans="1:20" x14ac:dyDescent="0.4">
      <c r="A93" t="s">
        <v>521</v>
      </c>
      <c r="B93" t="s">
        <v>6</v>
      </c>
      <c r="C93">
        <v>117</v>
      </c>
      <c r="D93" t="s">
        <v>23</v>
      </c>
      <c r="E93" s="23">
        <v>45069</v>
      </c>
      <c r="F93">
        <v>88</v>
      </c>
      <c r="G93">
        <v>3.8973118279569863</v>
      </c>
      <c r="H93" t="s">
        <v>1108</v>
      </c>
      <c r="I93">
        <v>4.7</v>
      </c>
      <c r="J93">
        <v>2023</v>
      </c>
      <c r="K93" t="s">
        <v>18</v>
      </c>
      <c r="L93" t="s">
        <v>1111</v>
      </c>
      <c r="M93">
        <v>5</v>
      </c>
      <c r="N93">
        <v>82</v>
      </c>
      <c r="O93">
        <v>7689</v>
      </c>
      <c r="P93">
        <v>0.93181818181818177</v>
      </c>
      <c r="Q93">
        <v>82</v>
      </c>
      <c r="R93">
        <v>0.93181818181818177</v>
      </c>
      <c r="S93" t="s">
        <v>1057</v>
      </c>
      <c r="T93">
        <v>5</v>
      </c>
    </row>
    <row r="94" spans="1:20" x14ac:dyDescent="0.4">
      <c r="A94" t="s">
        <v>522</v>
      </c>
      <c r="B94" t="s">
        <v>84</v>
      </c>
      <c r="C94">
        <v>63</v>
      </c>
      <c r="D94" t="s">
        <v>23</v>
      </c>
      <c r="E94" s="23">
        <v>45069</v>
      </c>
      <c r="F94">
        <v>80</v>
      </c>
      <c r="G94">
        <v>3.8973118279569863</v>
      </c>
      <c r="H94" t="s">
        <v>1108</v>
      </c>
      <c r="I94">
        <v>2.5</v>
      </c>
      <c r="J94">
        <v>2023</v>
      </c>
      <c r="K94" t="s">
        <v>18</v>
      </c>
      <c r="L94" t="s">
        <v>1111</v>
      </c>
      <c r="M94">
        <v>3</v>
      </c>
      <c r="N94">
        <v>59</v>
      </c>
      <c r="O94">
        <v>5009</v>
      </c>
      <c r="P94">
        <v>0.73750000000000004</v>
      </c>
      <c r="Q94">
        <v>59</v>
      </c>
      <c r="R94">
        <v>0.73750000000000004</v>
      </c>
      <c r="S94" t="s">
        <v>1057</v>
      </c>
      <c r="T94">
        <v>5</v>
      </c>
    </row>
    <row r="95" spans="1:20" x14ac:dyDescent="0.4">
      <c r="A95" t="s">
        <v>526</v>
      </c>
      <c r="B95" t="s">
        <v>30</v>
      </c>
      <c r="C95">
        <v>151</v>
      </c>
      <c r="D95" t="s">
        <v>23</v>
      </c>
      <c r="E95" s="23">
        <v>45071</v>
      </c>
      <c r="F95">
        <v>123</v>
      </c>
      <c r="G95">
        <v>3.8973118279569863</v>
      </c>
      <c r="H95" t="s">
        <v>1108</v>
      </c>
      <c r="I95">
        <v>3.7</v>
      </c>
      <c r="J95">
        <v>2023</v>
      </c>
      <c r="K95" t="s">
        <v>37</v>
      </c>
      <c r="L95" t="s">
        <v>1112</v>
      </c>
      <c r="M95">
        <v>4</v>
      </c>
      <c r="N95">
        <v>69</v>
      </c>
      <c r="O95">
        <v>7230</v>
      </c>
      <c r="P95">
        <v>0.56097560975609762</v>
      </c>
      <c r="Q95">
        <v>69</v>
      </c>
      <c r="R95">
        <v>0.56097560975609762</v>
      </c>
      <c r="S95" t="s">
        <v>1057</v>
      </c>
      <c r="T95">
        <v>5</v>
      </c>
    </row>
    <row r="96" spans="1:20" x14ac:dyDescent="0.4">
      <c r="A96" t="s">
        <v>531</v>
      </c>
      <c r="B96" t="s">
        <v>40</v>
      </c>
      <c r="C96">
        <v>117</v>
      </c>
      <c r="D96" t="s">
        <v>23</v>
      </c>
      <c r="E96" s="23">
        <v>45071</v>
      </c>
      <c r="F96">
        <v>40</v>
      </c>
      <c r="G96">
        <v>3.8973118279569863</v>
      </c>
      <c r="H96" t="s">
        <v>1108</v>
      </c>
      <c r="I96">
        <v>4</v>
      </c>
      <c r="J96">
        <v>2023</v>
      </c>
      <c r="K96" t="s">
        <v>37</v>
      </c>
      <c r="L96" t="s">
        <v>1111</v>
      </c>
      <c r="M96">
        <v>4</v>
      </c>
      <c r="N96">
        <v>69</v>
      </c>
      <c r="O96">
        <v>6601</v>
      </c>
      <c r="P96">
        <v>1.7250000000000001</v>
      </c>
      <c r="Q96">
        <v>69</v>
      </c>
      <c r="R96">
        <v>1.7250000000000001</v>
      </c>
      <c r="S96" t="s">
        <v>1057</v>
      </c>
      <c r="T96">
        <v>5</v>
      </c>
    </row>
    <row r="97" spans="1:20" x14ac:dyDescent="0.4">
      <c r="A97" t="s">
        <v>537</v>
      </c>
      <c r="B97" t="s">
        <v>64</v>
      </c>
      <c r="C97">
        <v>104</v>
      </c>
      <c r="D97" t="s">
        <v>23</v>
      </c>
      <c r="E97" s="23">
        <v>45073</v>
      </c>
      <c r="F97">
        <v>56</v>
      </c>
      <c r="G97">
        <v>3.8973118279569863</v>
      </c>
      <c r="H97" t="s">
        <v>1108</v>
      </c>
      <c r="I97">
        <v>3.4</v>
      </c>
      <c r="J97">
        <v>2023</v>
      </c>
      <c r="K97" t="s">
        <v>48</v>
      </c>
      <c r="L97" t="s">
        <v>1111</v>
      </c>
      <c r="M97">
        <v>3</v>
      </c>
      <c r="N97">
        <v>65</v>
      </c>
      <c r="O97">
        <v>6785</v>
      </c>
      <c r="P97">
        <v>1.1607142857142858</v>
      </c>
      <c r="Q97">
        <v>65</v>
      </c>
      <c r="R97">
        <v>1.1607142857142858</v>
      </c>
      <c r="S97" t="s">
        <v>1057</v>
      </c>
      <c r="T97">
        <v>5</v>
      </c>
    </row>
    <row r="98" spans="1:20" x14ac:dyDescent="0.4">
      <c r="A98" t="s">
        <v>538</v>
      </c>
      <c r="B98" t="s">
        <v>64</v>
      </c>
      <c r="C98">
        <v>101</v>
      </c>
      <c r="D98" t="s">
        <v>23</v>
      </c>
      <c r="E98" s="23">
        <v>45073</v>
      </c>
      <c r="F98">
        <v>185</v>
      </c>
      <c r="G98">
        <v>3.8973118279569863</v>
      </c>
      <c r="H98" t="s">
        <v>1108</v>
      </c>
      <c r="I98">
        <v>5</v>
      </c>
      <c r="J98">
        <v>2023</v>
      </c>
      <c r="K98" t="s">
        <v>48</v>
      </c>
      <c r="L98" t="s">
        <v>1111</v>
      </c>
      <c r="M98">
        <v>5</v>
      </c>
      <c r="N98">
        <v>65</v>
      </c>
      <c r="O98">
        <v>6785</v>
      </c>
      <c r="P98">
        <v>0.35135135135135137</v>
      </c>
      <c r="Q98">
        <v>65</v>
      </c>
      <c r="R98">
        <v>0.35135135135135137</v>
      </c>
      <c r="S98" t="s">
        <v>1057</v>
      </c>
      <c r="T98">
        <v>5</v>
      </c>
    </row>
    <row r="99" spans="1:20" x14ac:dyDescent="0.4">
      <c r="A99" t="s">
        <v>542</v>
      </c>
      <c r="B99" t="s">
        <v>13</v>
      </c>
      <c r="C99">
        <v>98</v>
      </c>
      <c r="D99" t="s">
        <v>23</v>
      </c>
      <c r="E99" s="23">
        <v>45075</v>
      </c>
      <c r="F99">
        <v>35</v>
      </c>
      <c r="G99">
        <v>3.8973118279569863</v>
      </c>
      <c r="H99" t="s">
        <v>1108</v>
      </c>
      <c r="I99">
        <v>4.5</v>
      </c>
      <c r="J99">
        <v>2023</v>
      </c>
      <c r="K99" t="s">
        <v>15</v>
      </c>
      <c r="L99" t="s">
        <v>1111</v>
      </c>
      <c r="M99">
        <v>5</v>
      </c>
      <c r="N99">
        <v>74</v>
      </c>
      <c r="O99">
        <v>6749</v>
      </c>
      <c r="P99">
        <v>2.1142857142857143</v>
      </c>
      <c r="Q99">
        <v>74</v>
      </c>
      <c r="R99">
        <v>2.1142857142857143</v>
      </c>
      <c r="S99" t="s">
        <v>1057</v>
      </c>
      <c r="T99">
        <v>5</v>
      </c>
    </row>
    <row r="100" spans="1:20" x14ac:dyDescent="0.4">
      <c r="A100" t="s">
        <v>569</v>
      </c>
      <c r="B100" t="s">
        <v>84</v>
      </c>
      <c r="C100">
        <v>111</v>
      </c>
      <c r="D100" t="s">
        <v>23</v>
      </c>
      <c r="E100" s="23">
        <v>45088</v>
      </c>
      <c r="F100">
        <v>22</v>
      </c>
      <c r="G100">
        <v>3.8973118279569863</v>
      </c>
      <c r="H100" t="s">
        <v>1108</v>
      </c>
      <c r="I100">
        <v>4.0999999999999996</v>
      </c>
      <c r="J100">
        <v>2023</v>
      </c>
      <c r="K100" t="s">
        <v>3</v>
      </c>
      <c r="L100" t="s">
        <v>1111</v>
      </c>
      <c r="M100">
        <v>4</v>
      </c>
      <c r="N100">
        <v>59</v>
      </c>
      <c r="O100">
        <v>5009</v>
      </c>
      <c r="P100">
        <v>2.6818181818181817</v>
      </c>
      <c r="Q100">
        <v>59</v>
      </c>
      <c r="R100">
        <v>2.6818181818181817</v>
      </c>
      <c r="S100" t="s">
        <v>1058</v>
      </c>
      <c r="T100">
        <v>6</v>
      </c>
    </row>
    <row r="101" spans="1:20" x14ac:dyDescent="0.4">
      <c r="A101" t="s">
        <v>578</v>
      </c>
      <c r="B101" t="s">
        <v>54</v>
      </c>
      <c r="C101">
        <v>78</v>
      </c>
      <c r="D101" t="s">
        <v>23</v>
      </c>
      <c r="E101" s="23">
        <v>45092</v>
      </c>
      <c r="F101">
        <v>28</v>
      </c>
      <c r="G101">
        <v>3.8973118279569863</v>
      </c>
      <c r="H101" t="s">
        <v>1108</v>
      </c>
      <c r="I101">
        <v>3.9</v>
      </c>
      <c r="J101">
        <v>2023</v>
      </c>
      <c r="K101" t="s">
        <v>37</v>
      </c>
      <c r="L101" t="s">
        <v>1111</v>
      </c>
      <c r="M101">
        <v>4</v>
      </c>
      <c r="N101">
        <v>70</v>
      </c>
      <c r="O101">
        <v>6819</v>
      </c>
      <c r="P101">
        <v>2.5</v>
      </c>
      <c r="Q101">
        <v>70</v>
      </c>
      <c r="R101">
        <v>2.5</v>
      </c>
      <c r="S101" t="s">
        <v>1058</v>
      </c>
      <c r="T101">
        <v>6</v>
      </c>
    </row>
    <row r="102" spans="1:20" x14ac:dyDescent="0.4">
      <c r="A102" t="s">
        <v>584</v>
      </c>
      <c r="B102" t="s">
        <v>1</v>
      </c>
      <c r="C102">
        <v>106</v>
      </c>
      <c r="D102" t="s">
        <v>23</v>
      </c>
      <c r="E102" s="23">
        <v>45094</v>
      </c>
      <c r="F102">
        <v>112</v>
      </c>
      <c r="G102">
        <v>3.8973118279569863</v>
      </c>
      <c r="H102" t="s">
        <v>1108</v>
      </c>
      <c r="I102">
        <v>3.7</v>
      </c>
      <c r="J102">
        <v>2023</v>
      </c>
      <c r="K102" t="s">
        <v>48</v>
      </c>
      <c r="L102" t="s">
        <v>1111</v>
      </c>
      <c r="M102">
        <v>4</v>
      </c>
      <c r="N102">
        <v>50</v>
      </c>
      <c r="O102">
        <v>4804</v>
      </c>
      <c r="P102">
        <v>0.44642857142857145</v>
      </c>
      <c r="Q102">
        <v>50</v>
      </c>
      <c r="R102">
        <v>0.44642857142857145</v>
      </c>
      <c r="S102" t="s">
        <v>1058</v>
      </c>
      <c r="T102">
        <v>6</v>
      </c>
    </row>
    <row r="103" spans="1:20" x14ac:dyDescent="0.4">
      <c r="A103" t="s">
        <v>586</v>
      </c>
      <c r="B103" t="s">
        <v>26</v>
      </c>
      <c r="C103">
        <v>85</v>
      </c>
      <c r="D103" t="s">
        <v>23</v>
      </c>
      <c r="E103" s="23">
        <v>45095</v>
      </c>
      <c r="F103">
        <v>38</v>
      </c>
      <c r="G103">
        <v>3.8973118279569863</v>
      </c>
      <c r="H103" t="s">
        <v>1108</v>
      </c>
      <c r="I103">
        <v>4.8</v>
      </c>
      <c r="J103">
        <v>2023</v>
      </c>
      <c r="K103" t="s">
        <v>3</v>
      </c>
      <c r="L103" t="s">
        <v>1111</v>
      </c>
      <c r="M103">
        <v>5</v>
      </c>
      <c r="N103">
        <v>72</v>
      </c>
      <c r="O103">
        <v>6242</v>
      </c>
      <c r="P103">
        <v>1.8947368421052631</v>
      </c>
      <c r="Q103">
        <v>72</v>
      </c>
      <c r="R103">
        <v>1.8947368421052631</v>
      </c>
      <c r="S103" t="s">
        <v>1058</v>
      </c>
      <c r="T103">
        <v>6</v>
      </c>
    </row>
    <row r="104" spans="1:20" x14ac:dyDescent="0.4">
      <c r="A104" t="s">
        <v>589</v>
      </c>
      <c r="B104" t="s">
        <v>84</v>
      </c>
      <c r="C104">
        <v>136</v>
      </c>
      <c r="D104" t="s">
        <v>23</v>
      </c>
      <c r="E104" s="23">
        <v>45097</v>
      </c>
      <c r="F104">
        <v>37</v>
      </c>
      <c r="G104">
        <v>3.8973118279569863</v>
      </c>
      <c r="H104" t="s">
        <v>1108</v>
      </c>
      <c r="I104">
        <v>0.9</v>
      </c>
      <c r="J104">
        <v>2023</v>
      </c>
      <c r="K104" t="s">
        <v>18</v>
      </c>
      <c r="L104" t="s">
        <v>1112</v>
      </c>
      <c r="M104">
        <v>1</v>
      </c>
      <c r="N104">
        <v>59</v>
      </c>
      <c r="O104">
        <v>5009</v>
      </c>
      <c r="P104">
        <v>1.5945945945945945</v>
      </c>
      <c r="Q104">
        <v>59</v>
      </c>
      <c r="R104">
        <v>1.5945945945945945</v>
      </c>
      <c r="S104" t="s">
        <v>1058</v>
      </c>
      <c r="T104">
        <v>6</v>
      </c>
    </row>
    <row r="105" spans="1:20" x14ac:dyDescent="0.4">
      <c r="A105" t="s">
        <v>601</v>
      </c>
      <c r="B105" t="s">
        <v>40</v>
      </c>
      <c r="C105">
        <v>100</v>
      </c>
      <c r="D105" t="s">
        <v>23</v>
      </c>
      <c r="E105" s="23">
        <v>45101</v>
      </c>
      <c r="F105">
        <v>69</v>
      </c>
      <c r="G105">
        <v>3.8973118279569863</v>
      </c>
      <c r="H105" t="s">
        <v>1108</v>
      </c>
      <c r="I105">
        <v>3</v>
      </c>
      <c r="J105">
        <v>2023</v>
      </c>
      <c r="K105" t="s">
        <v>48</v>
      </c>
      <c r="L105" t="s">
        <v>1111</v>
      </c>
      <c r="M105">
        <v>3</v>
      </c>
      <c r="N105">
        <v>69</v>
      </c>
      <c r="O105">
        <v>6601</v>
      </c>
      <c r="P105">
        <v>1</v>
      </c>
      <c r="Q105">
        <v>69</v>
      </c>
      <c r="R105">
        <v>1</v>
      </c>
      <c r="S105" t="s">
        <v>1058</v>
      </c>
      <c r="T105">
        <v>6</v>
      </c>
    </row>
    <row r="106" spans="1:20" x14ac:dyDescent="0.4">
      <c r="A106" t="s">
        <v>609</v>
      </c>
      <c r="B106" t="s">
        <v>6</v>
      </c>
      <c r="C106">
        <v>132</v>
      </c>
      <c r="D106" t="s">
        <v>23</v>
      </c>
      <c r="E106" s="23">
        <v>45104</v>
      </c>
      <c r="F106">
        <v>42</v>
      </c>
      <c r="G106">
        <v>3.8973118279569863</v>
      </c>
      <c r="H106" t="s">
        <v>1108</v>
      </c>
      <c r="I106">
        <v>5</v>
      </c>
      <c r="J106">
        <v>2023</v>
      </c>
      <c r="K106" t="s">
        <v>18</v>
      </c>
      <c r="L106" t="s">
        <v>1112</v>
      </c>
      <c r="M106">
        <v>5</v>
      </c>
      <c r="N106">
        <v>82</v>
      </c>
      <c r="O106">
        <v>7689</v>
      </c>
      <c r="P106">
        <v>1.9523809523809523</v>
      </c>
      <c r="Q106">
        <v>82</v>
      </c>
      <c r="R106">
        <v>1.9523809523809523</v>
      </c>
      <c r="S106" t="s">
        <v>1058</v>
      </c>
      <c r="T106">
        <v>6</v>
      </c>
    </row>
    <row r="107" spans="1:20" x14ac:dyDescent="0.4">
      <c r="A107" t="s">
        <v>611</v>
      </c>
      <c r="B107" t="s">
        <v>40</v>
      </c>
      <c r="C107">
        <v>135</v>
      </c>
      <c r="D107" t="s">
        <v>23</v>
      </c>
      <c r="E107" s="23">
        <v>45104</v>
      </c>
      <c r="F107">
        <v>60</v>
      </c>
      <c r="G107">
        <v>3.8973118279569863</v>
      </c>
      <c r="H107" t="s">
        <v>1108</v>
      </c>
      <c r="I107">
        <v>4.3</v>
      </c>
      <c r="J107">
        <v>2023</v>
      </c>
      <c r="K107" t="s">
        <v>18</v>
      </c>
      <c r="L107" t="s">
        <v>1112</v>
      </c>
      <c r="M107">
        <v>4</v>
      </c>
      <c r="N107">
        <v>69</v>
      </c>
      <c r="O107">
        <v>6601</v>
      </c>
      <c r="P107">
        <v>1.1499999999999999</v>
      </c>
      <c r="Q107">
        <v>69</v>
      </c>
      <c r="R107">
        <v>1.1499999999999999</v>
      </c>
      <c r="S107" t="s">
        <v>1058</v>
      </c>
      <c r="T107">
        <v>6</v>
      </c>
    </row>
    <row r="108" spans="1:20" x14ac:dyDescent="0.4">
      <c r="A108" t="s">
        <v>615</v>
      </c>
      <c r="B108" t="s">
        <v>26</v>
      </c>
      <c r="C108">
        <v>102</v>
      </c>
      <c r="D108" t="s">
        <v>23</v>
      </c>
      <c r="E108" s="23">
        <v>45106</v>
      </c>
      <c r="F108">
        <v>99</v>
      </c>
      <c r="G108">
        <v>3.8973118279569863</v>
      </c>
      <c r="H108" t="s">
        <v>1108</v>
      </c>
      <c r="I108">
        <v>3.2</v>
      </c>
      <c r="J108">
        <v>2023</v>
      </c>
      <c r="K108" t="s">
        <v>37</v>
      </c>
      <c r="L108" t="s">
        <v>1111</v>
      </c>
      <c r="M108">
        <v>3</v>
      </c>
      <c r="N108">
        <v>72</v>
      </c>
      <c r="O108">
        <v>6242</v>
      </c>
      <c r="P108">
        <v>0.72727272727272729</v>
      </c>
      <c r="Q108">
        <v>72</v>
      </c>
      <c r="R108">
        <v>0.72727272727272729</v>
      </c>
      <c r="S108" t="s">
        <v>1058</v>
      </c>
      <c r="T108">
        <v>6</v>
      </c>
    </row>
    <row r="109" spans="1:20" x14ac:dyDescent="0.4">
      <c r="A109" t="s">
        <v>616</v>
      </c>
      <c r="B109" t="s">
        <v>30</v>
      </c>
      <c r="C109">
        <v>60</v>
      </c>
      <c r="D109" t="s">
        <v>23</v>
      </c>
      <c r="E109" s="23">
        <v>45107</v>
      </c>
      <c r="F109">
        <v>66</v>
      </c>
      <c r="G109">
        <v>3.8973118279569863</v>
      </c>
      <c r="H109" t="s">
        <v>1108</v>
      </c>
      <c r="I109">
        <v>3.2</v>
      </c>
      <c r="J109">
        <v>2023</v>
      </c>
      <c r="K109" t="s">
        <v>45</v>
      </c>
      <c r="L109" t="s">
        <v>1109</v>
      </c>
      <c r="M109">
        <v>3</v>
      </c>
      <c r="N109">
        <v>69</v>
      </c>
      <c r="O109">
        <v>7230</v>
      </c>
      <c r="P109">
        <v>1.0454545454545454</v>
      </c>
      <c r="Q109">
        <v>69</v>
      </c>
      <c r="R109">
        <v>1.0454545454545454</v>
      </c>
      <c r="S109" t="s">
        <v>1058</v>
      </c>
      <c r="T109">
        <v>6</v>
      </c>
    </row>
    <row r="110" spans="1:20" x14ac:dyDescent="0.4">
      <c r="A110" t="s">
        <v>617</v>
      </c>
      <c r="B110" t="s">
        <v>11</v>
      </c>
      <c r="C110">
        <v>103</v>
      </c>
      <c r="D110" t="s">
        <v>23</v>
      </c>
      <c r="E110" s="23">
        <v>45107</v>
      </c>
      <c r="F110">
        <v>102</v>
      </c>
      <c r="G110">
        <v>3.8973118279569863</v>
      </c>
      <c r="H110" t="s">
        <v>1108</v>
      </c>
      <c r="I110">
        <v>4.5</v>
      </c>
      <c r="J110">
        <v>2023</v>
      </c>
      <c r="K110" t="s">
        <v>45</v>
      </c>
      <c r="L110" t="s">
        <v>1111</v>
      </c>
      <c r="M110">
        <v>5</v>
      </c>
      <c r="N110">
        <v>60</v>
      </c>
      <c r="O110">
        <v>5404</v>
      </c>
      <c r="P110">
        <v>0.58823529411764708</v>
      </c>
      <c r="Q110">
        <v>60</v>
      </c>
      <c r="R110">
        <v>0.58823529411764708</v>
      </c>
      <c r="S110" t="s">
        <v>1058</v>
      </c>
      <c r="T110">
        <v>6</v>
      </c>
    </row>
    <row r="111" spans="1:20" x14ac:dyDescent="0.4">
      <c r="A111" t="s">
        <v>619</v>
      </c>
      <c r="B111" t="s">
        <v>54</v>
      </c>
      <c r="C111">
        <v>88</v>
      </c>
      <c r="D111" t="s">
        <v>23</v>
      </c>
      <c r="E111" s="23">
        <v>45108</v>
      </c>
      <c r="F111">
        <v>80</v>
      </c>
      <c r="G111">
        <v>3.8973118279569863</v>
      </c>
      <c r="H111" t="s">
        <v>1108</v>
      </c>
      <c r="I111">
        <v>4.2</v>
      </c>
      <c r="J111">
        <v>2024</v>
      </c>
      <c r="K111" t="s">
        <v>48</v>
      </c>
      <c r="L111" t="s">
        <v>1111</v>
      </c>
      <c r="M111">
        <v>4</v>
      </c>
      <c r="N111">
        <v>70</v>
      </c>
      <c r="O111">
        <v>6819</v>
      </c>
      <c r="P111">
        <v>0.875</v>
      </c>
      <c r="Q111">
        <v>70</v>
      </c>
      <c r="R111">
        <v>0.875</v>
      </c>
      <c r="S111" t="s">
        <v>1059</v>
      </c>
      <c r="T111">
        <v>7</v>
      </c>
    </row>
    <row r="112" spans="1:20" x14ac:dyDescent="0.4">
      <c r="A112" t="s">
        <v>620</v>
      </c>
      <c r="B112" t="s">
        <v>11</v>
      </c>
      <c r="C112">
        <v>37</v>
      </c>
      <c r="D112" t="s">
        <v>23</v>
      </c>
      <c r="E112" s="23">
        <v>45108</v>
      </c>
      <c r="F112">
        <v>54</v>
      </c>
      <c r="G112">
        <v>3.8973118279569863</v>
      </c>
      <c r="H112" t="s">
        <v>1108</v>
      </c>
      <c r="I112">
        <v>1.8</v>
      </c>
      <c r="J112">
        <v>2024</v>
      </c>
      <c r="K112" t="s">
        <v>48</v>
      </c>
      <c r="L112" t="s">
        <v>1109</v>
      </c>
      <c r="M112">
        <v>2</v>
      </c>
      <c r="N112">
        <v>60</v>
      </c>
      <c r="O112">
        <v>5404</v>
      </c>
      <c r="P112">
        <v>1.1111111111111112</v>
      </c>
      <c r="Q112">
        <v>60</v>
      </c>
      <c r="R112">
        <v>1.1111111111111112</v>
      </c>
      <c r="S112" t="s">
        <v>1059</v>
      </c>
      <c r="T112">
        <v>7</v>
      </c>
    </row>
    <row r="113" spans="1:20" x14ac:dyDescent="0.4">
      <c r="A113" t="s">
        <v>625</v>
      </c>
      <c r="B113" t="s">
        <v>44</v>
      </c>
      <c r="C113">
        <v>139</v>
      </c>
      <c r="D113" t="s">
        <v>23</v>
      </c>
      <c r="E113" s="23">
        <v>45109</v>
      </c>
      <c r="F113">
        <v>81</v>
      </c>
      <c r="G113">
        <v>3.8973118279569863</v>
      </c>
      <c r="H113" t="s">
        <v>1108</v>
      </c>
      <c r="I113">
        <v>4.4000000000000004</v>
      </c>
      <c r="J113">
        <v>2024</v>
      </c>
      <c r="K113" t="s">
        <v>3</v>
      </c>
      <c r="L113" t="s">
        <v>1112</v>
      </c>
      <c r="M113">
        <v>4</v>
      </c>
      <c r="N113">
        <v>62</v>
      </c>
      <c r="O113">
        <v>6176</v>
      </c>
      <c r="P113">
        <v>0.76543209876543206</v>
      </c>
      <c r="Q113">
        <v>62</v>
      </c>
      <c r="R113">
        <v>0.76543209876543206</v>
      </c>
      <c r="S113" t="s">
        <v>1059</v>
      </c>
      <c r="T113">
        <v>7</v>
      </c>
    </row>
    <row r="114" spans="1:20" x14ac:dyDescent="0.4">
      <c r="A114" t="s">
        <v>628</v>
      </c>
      <c r="B114" t="s">
        <v>26</v>
      </c>
      <c r="C114">
        <v>68</v>
      </c>
      <c r="D114" t="s">
        <v>23</v>
      </c>
      <c r="E114" s="23">
        <v>45112</v>
      </c>
      <c r="F114">
        <v>41</v>
      </c>
      <c r="G114">
        <v>3.8973118279569863</v>
      </c>
      <c r="H114" t="s">
        <v>1108</v>
      </c>
      <c r="I114">
        <v>3.1</v>
      </c>
      <c r="J114">
        <v>2024</v>
      </c>
      <c r="K114" t="s">
        <v>33</v>
      </c>
      <c r="L114" t="s">
        <v>1111</v>
      </c>
      <c r="M114">
        <v>3</v>
      </c>
      <c r="N114">
        <v>72</v>
      </c>
      <c r="O114">
        <v>6242</v>
      </c>
      <c r="P114">
        <v>1.7560975609756098</v>
      </c>
      <c r="Q114">
        <v>72</v>
      </c>
      <c r="R114">
        <v>1.7560975609756098</v>
      </c>
      <c r="S114" t="s">
        <v>1059</v>
      </c>
      <c r="T114">
        <v>7</v>
      </c>
    </row>
    <row r="115" spans="1:20" x14ac:dyDescent="0.4">
      <c r="A115" t="s">
        <v>629</v>
      </c>
      <c r="B115" t="s">
        <v>13</v>
      </c>
      <c r="C115">
        <v>128</v>
      </c>
      <c r="D115" t="s">
        <v>23</v>
      </c>
      <c r="E115" s="23">
        <v>45112</v>
      </c>
      <c r="F115">
        <v>116</v>
      </c>
      <c r="G115">
        <v>3.8973118279569863</v>
      </c>
      <c r="H115" t="s">
        <v>1108</v>
      </c>
      <c r="I115">
        <v>2.2999999999999998</v>
      </c>
      <c r="J115">
        <v>2024</v>
      </c>
      <c r="K115" t="s">
        <v>33</v>
      </c>
      <c r="L115" t="s">
        <v>1112</v>
      </c>
      <c r="M115">
        <v>2</v>
      </c>
      <c r="N115">
        <v>74</v>
      </c>
      <c r="O115">
        <v>6749</v>
      </c>
      <c r="P115">
        <v>0.63793103448275867</v>
      </c>
      <c r="Q115">
        <v>74</v>
      </c>
      <c r="R115">
        <v>0.63793103448275867</v>
      </c>
      <c r="S115" t="s">
        <v>1059</v>
      </c>
      <c r="T115">
        <v>7</v>
      </c>
    </row>
    <row r="116" spans="1:20" x14ac:dyDescent="0.4">
      <c r="A116" t="s">
        <v>633</v>
      </c>
      <c r="B116" t="s">
        <v>11</v>
      </c>
      <c r="C116">
        <v>107</v>
      </c>
      <c r="D116" t="s">
        <v>23</v>
      </c>
      <c r="E116" s="23">
        <v>45114</v>
      </c>
      <c r="F116">
        <v>20</v>
      </c>
      <c r="G116">
        <v>3.8973118279569863</v>
      </c>
      <c r="H116" t="s">
        <v>1108</v>
      </c>
      <c r="I116">
        <v>4.5</v>
      </c>
      <c r="J116">
        <v>2024</v>
      </c>
      <c r="K116" t="s">
        <v>45</v>
      </c>
      <c r="L116" t="s">
        <v>1111</v>
      </c>
      <c r="M116">
        <v>5</v>
      </c>
      <c r="N116">
        <v>60</v>
      </c>
      <c r="O116">
        <v>5404</v>
      </c>
      <c r="P116">
        <v>3</v>
      </c>
      <c r="Q116">
        <v>60</v>
      </c>
      <c r="R116">
        <v>3</v>
      </c>
      <c r="S116" t="s">
        <v>1059</v>
      </c>
      <c r="T116">
        <v>7</v>
      </c>
    </row>
    <row r="117" spans="1:20" x14ac:dyDescent="0.4">
      <c r="A117" t="s">
        <v>638</v>
      </c>
      <c r="B117" t="s">
        <v>32</v>
      </c>
      <c r="C117">
        <v>52</v>
      </c>
      <c r="D117" t="s">
        <v>23</v>
      </c>
      <c r="E117" s="23">
        <v>45115</v>
      </c>
      <c r="F117">
        <v>42</v>
      </c>
      <c r="G117">
        <v>3.8973118279569863</v>
      </c>
      <c r="H117" t="s">
        <v>1108</v>
      </c>
      <c r="I117">
        <v>4.8</v>
      </c>
      <c r="J117">
        <v>2024</v>
      </c>
      <c r="K117" t="s">
        <v>48</v>
      </c>
      <c r="L117" t="s">
        <v>1109</v>
      </c>
      <c r="M117">
        <v>5</v>
      </c>
      <c r="N117">
        <v>63</v>
      </c>
      <c r="O117">
        <v>5634</v>
      </c>
      <c r="P117">
        <v>1.5</v>
      </c>
      <c r="Q117">
        <v>63</v>
      </c>
      <c r="R117">
        <v>1.5</v>
      </c>
      <c r="S117" t="s">
        <v>1059</v>
      </c>
      <c r="T117">
        <v>7</v>
      </c>
    </row>
    <row r="118" spans="1:20" x14ac:dyDescent="0.4">
      <c r="A118" t="s">
        <v>646</v>
      </c>
      <c r="B118" t="s">
        <v>44</v>
      </c>
      <c r="C118">
        <v>114</v>
      </c>
      <c r="D118" t="s">
        <v>23</v>
      </c>
      <c r="E118" s="23">
        <v>45119</v>
      </c>
      <c r="F118">
        <v>114</v>
      </c>
      <c r="G118">
        <v>3.8973118279569863</v>
      </c>
      <c r="H118" t="s">
        <v>1108</v>
      </c>
      <c r="I118">
        <v>3.9</v>
      </c>
      <c r="J118">
        <v>2024</v>
      </c>
      <c r="K118" t="s">
        <v>33</v>
      </c>
      <c r="L118" t="s">
        <v>1111</v>
      </c>
      <c r="M118">
        <v>4</v>
      </c>
      <c r="N118">
        <v>62</v>
      </c>
      <c r="O118">
        <v>6176</v>
      </c>
      <c r="P118">
        <v>0.54385964912280704</v>
      </c>
      <c r="Q118">
        <v>62</v>
      </c>
      <c r="R118">
        <v>0.54385964912280704</v>
      </c>
      <c r="S118" t="s">
        <v>1059</v>
      </c>
      <c r="T118">
        <v>7</v>
      </c>
    </row>
    <row r="119" spans="1:20" x14ac:dyDescent="0.4">
      <c r="A119" t="s">
        <v>651</v>
      </c>
      <c r="B119" t="s">
        <v>8</v>
      </c>
      <c r="C119">
        <v>111</v>
      </c>
      <c r="D119" t="s">
        <v>23</v>
      </c>
      <c r="E119" s="23">
        <v>45122</v>
      </c>
      <c r="F119">
        <v>126</v>
      </c>
      <c r="G119">
        <v>3.8973118279569863</v>
      </c>
      <c r="H119" t="s">
        <v>1108</v>
      </c>
      <c r="I119">
        <v>4.2</v>
      </c>
      <c r="J119">
        <v>2024</v>
      </c>
      <c r="K119" t="s">
        <v>48</v>
      </c>
      <c r="L119" t="s">
        <v>1111</v>
      </c>
      <c r="M119">
        <v>4</v>
      </c>
      <c r="N119">
        <v>79</v>
      </c>
      <c r="O119">
        <v>7747</v>
      </c>
      <c r="P119">
        <v>0.62698412698412698</v>
      </c>
      <c r="Q119">
        <v>79</v>
      </c>
      <c r="R119">
        <v>0.62698412698412698</v>
      </c>
      <c r="S119" t="s">
        <v>1059</v>
      </c>
      <c r="T119">
        <v>7</v>
      </c>
    </row>
    <row r="120" spans="1:20" x14ac:dyDescent="0.4">
      <c r="A120" t="s">
        <v>655</v>
      </c>
      <c r="B120" t="s">
        <v>40</v>
      </c>
      <c r="C120">
        <v>123</v>
      </c>
      <c r="D120" t="s">
        <v>23</v>
      </c>
      <c r="E120" s="23">
        <v>45124</v>
      </c>
      <c r="F120">
        <v>80</v>
      </c>
      <c r="G120">
        <v>3.8973118279569863</v>
      </c>
      <c r="H120" t="s">
        <v>1108</v>
      </c>
      <c r="I120">
        <v>2.7</v>
      </c>
      <c r="J120">
        <v>2024</v>
      </c>
      <c r="K120" t="s">
        <v>15</v>
      </c>
      <c r="L120" t="s">
        <v>1112</v>
      </c>
      <c r="M120">
        <v>3</v>
      </c>
      <c r="N120">
        <v>69</v>
      </c>
      <c r="O120">
        <v>6601</v>
      </c>
      <c r="P120">
        <v>0.86250000000000004</v>
      </c>
      <c r="Q120">
        <v>69</v>
      </c>
      <c r="R120">
        <v>0.86250000000000004</v>
      </c>
      <c r="S120" t="s">
        <v>1059</v>
      </c>
      <c r="T120">
        <v>7</v>
      </c>
    </row>
    <row r="121" spans="1:20" x14ac:dyDescent="0.4">
      <c r="A121" t="s">
        <v>656</v>
      </c>
      <c r="B121" t="s">
        <v>54</v>
      </c>
      <c r="C121">
        <v>105</v>
      </c>
      <c r="D121" t="s">
        <v>23</v>
      </c>
      <c r="E121" s="23">
        <v>45125</v>
      </c>
      <c r="F121">
        <v>176</v>
      </c>
      <c r="G121">
        <v>3.8973118279569863</v>
      </c>
      <c r="H121" t="s">
        <v>1108</v>
      </c>
      <c r="I121">
        <v>4.7</v>
      </c>
      <c r="J121">
        <v>2024</v>
      </c>
      <c r="K121" t="s">
        <v>18</v>
      </c>
      <c r="L121" t="s">
        <v>1111</v>
      </c>
      <c r="M121">
        <v>5</v>
      </c>
      <c r="N121">
        <v>70</v>
      </c>
      <c r="O121">
        <v>6819</v>
      </c>
      <c r="P121">
        <v>0.39772727272727271</v>
      </c>
      <c r="Q121">
        <v>70</v>
      </c>
      <c r="R121">
        <v>0.39772727272727271</v>
      </c>
      <c r="S121" t="s">
        <v>1059</v>
      </c>
      <c r="T121">
        <v>7</v>
      </c>
    </row>
    <row r="122" spans="1:20" x14ac:dyDescent="0.4">
      <c r="A122" t="s">
        <v>661</v>
      </c>
      <c r="B122" t="s">
        <v>6</v>
      </c>
      <c r="C122">
        <v>56</v>
      </c>
      <c r="D122" t="s">
        <v>23</v>
      </c>
      <c r="E122" s="23">
        <v>45127</v>
      </c>
      <c r="F122">
        <v>27</v>
      </c>
      <c r="G122">
        <v>3.8973118279569863</v>
      </c>
      <c r="H122" t="s">
        <v>1108</v>
      </c>
      <c r="I122">
        <v>4.3</v>
      </c>
      <c r="J122">
        <v>2024</v>
      </c>
      <c r="K122" t="s">
        <v>37</v>
      </c>
      <c r="L122" t="s">
        <v>1109</v>
      </c>
      <c r="M122">
        <v>4</v>
      </c>
      <c r="N122">
        <v>82</v>
      </c>
      <c r="O122">
        <v>7689</v>
      </c>
      <c r="P122">
        <v>3.0370370370370372</v>
      </c>
      <c r="Q122">
        <v>82</v>
      </c>
      <c r="R122">
        <v>3.0370370370370372</v>
      </c>
      <c r="S122" t="s">
        <v>1059</v>
      </c>
      <c r="T122">
        <v>7</v>
      </c>
    </row>
    <row r="123" spans="1:20" x14ac:dyDescent="0.4">
      <c r="A123" t="s">
        <v>663</v>
      </c>
      <c r="B123" t="s">
        <v>40</v>
      </c>
      <c r="C123">
        <v>41</v>
      </c>
      <c r="D123" t="s">
        <v>23</v>
      </c>
      <c r="E123" s="23">
        <v>45128</v>
      </c>
      <c r="F123">
        <v>112</v>
      </c>
      <c r="G123">
        <v>3.8973118279569863</v>
      </c>
      <c r="H123" t="s">
        <v>1108</v>
      </c>
      <c r="I123">
        <v>2.2999999999999998</v>
      </c>
      <c r="J123">
        <v>2024</v>
      </c>
      <c r="K123" t="s">
        <v>45</v>
      </c>
      <c r="L123" t="s">
        <v>1109</v>
      </c>
      <c r="M123">
        <v>2</v>
      </c>
      <c r="N123">
        <v>69</v>
      </c>
      <c r="O123">
        <v>6601</v>
      </c>
      <c r="P123">
        <v>0.6160714285714286</v>
      </c>
      <c r="Q123">
        <v>69</v>
      </c>
      <c r="R123">
        <v>0.6160714285714286</v>
      </c>
      <c r="S123" t="s">
        <v>1059</v>
      </c>
      <c r="T123">
        <v>7</v>
      </c>
    </row>
    <row r="124" spans="1:20" x14ac:dyDescent="0.4">
      <c r="A124" t="s">
        <v>674</v>
      </c>
      <c r="B124" t="s">
        <v>8</v>
      </c>
      <c r="C124">
        <v>106</v>
      </c>
      <c r="D124" t="s">
        <v>23</v>
      </c>
      <c r="E124" s="23">
        <v>45135</v>
      </c>
      <c r="F124">
        <v>105</v>
      </c>
      <c r="G124">
        <v>3.8973118279569863</v>
      </c>
      <c r="H124" t="s">
        <v>1108</v>
      </c>
      <c r="I124">
        <v>4.2</v>
      </c>
      <c r="J124">
        <v>2024</v>
      </c>
      <c r="K124" t="s">
        <v>45</v>
      </c>
      <c r="L124" t="s">
        <v>1111</v>
      </c>
      <c r="M124">
        <v>4</v>
      </c>
      <c r="N124">
        <v>79</v>
      </c>
      <c r="O124">
        <v>7747</v>
      </c>
      <c r="P124">
        <v>0.75238095238095237</v>
      </c>
      <c r="Q124">
        <v>79</v>
      </c>
      <c r="R124">
        <v>0.75238095238095237</v>
      </c>
      <c r="S124" t="s">
        <v>1059</v>
      </c>
      <c r="T124">
        <v>7</v>
      </c>
    </row>
    <row r="125" spans="1:20" x14ac:dyDescent="0.4">
      <c r="A125" t="s">
        <v>675</v>
      </c>
      <c r="B125" t="s">
        <v>1</v>
      </c>
      <c r="C125">
        <v>107</v>
      </c>
      <c r="D125" t="s">
        <v>23</v>
      </c>
      <c r="E125" s="23">
        <v>45136</v>
      </c>
      <c r="F125">
        <v>78</v>
      </c>
      <c r="G125">
        <v>3.8973118279569863</v>
      </c>
      <c r="H125" t="s">
        <v>1108</v>
      </c>
      <c r="I125">
        <v>3.4</v>
      </c>
      <c r="J125">
        <v>2024</v>
      </c>
      <c r="K125" t="s">
        <v>48</v>
      </c>
      <c r="L125" t="s">
        <v>1111</v>
      </c>
      <c r="M125">
        <v>3</v>
      </c>
      <c r="N125">
        <v>50</v>
      </c>
      <c r="O125">
        <v>4804</v>
      </c>
      <c r="P125">
        <v>0.64102564102564108</v>
      </c>
      <c r="Q125">
        <v>50</v>
      </c>
      <c r="R125">
        <v>0.64102564102564108</v>
      </c>
      <c r="S125" t="s">
        <v>1059</v>
      </c>
      <c r="T125">
        <v>7</v>
      </c>
    </row>
    <row r="126" spans="1:20" x14ac:dyDescent="0.4">
      <c r="A126" t="s">
        <v>676</v>
      </c>
      <c r="B126" t="s">
        <v>64</v>
      </c>
      <c r="C126">
        <v>78</v>
      </c>
      <c r="D126" t="s">
        <v>23</v>
      </c>
      <c r="E126" s="23">
        <v>45138</v>
      </c>
      <c r="F126">
        <v>205</v>
      </c>
      <c r="G126">
        <v>3.8973118279569863</v>
      </c>
      <c r="H126" t="s">
        <v>1108</v>
      </c>
      <c r="I126">
        <v>4.4000000000000004</v>
      </c>
      <c r="J126">
        <v>2024</v>
      </c>
      <c r="K126" t="s">
        <v>15</v>
      </c>
      <c r="L126" t="s">
        <v>1111</v>
      </c>
      <c r="M126">
        <v>4</v>
      </c>
      <c r="N126">
        <v>65</v>
      </c>
      <c r="O126">
        <v>6785</v>
      </c>
      <c r="P126">
        <v>0.31707317073170732</v>
      </c>
      <c r="Q126">
        <v>65</v>
      </c>
      <c r="R126">
        <v>0.31707317073170732</v>
      </c>
      <c r="S126" t="s">
        <v>1059</v>
      </c>
      <c r="T126">
        <v>7</v>
      </c>
    </row>
    <row r="127" spans="1:20" x14ac:dyDescent="0.4">
      <c r="A127" t="s">
        <v>677</v>
      </c>
      <c r="B127" t="s">
        <v>32</v>
      </c>
      <c r="C127">
        <v>122</v>
      </c>
      <c r="D127" t="s">
        <v>23</v>
      </c>
      <c r="E127" s="23">
        <v>45138</v>
      </c>
      <c r="F127">
        <v>78</v>
      </c>
      <c r="G127">
        <v>3.8973118279569863</v>
      </c>
      <c r="H127" t="s">
        <v>1108</v>
      </c>
      <c r="I127">
        <v>2.7</v>
      </c>
      <c r="J127">
        <v>2024</v>
      </c>
      <c r="K127" t="s">
        <v>15</v>
      </c>
      <c r="L127" t="s">
        <v>1112</v>
      </c>
      <c r="M127">
        <v>3</v>
      </c>
      <c r="N127">
        <v>63</v>
      </c>
      <c r="O127">
        <v>5634</v>
      </c>
      <c r="P127">
        <v>0.80769230769230771</v>
      </c>
      <c r="Q127">
        <v>63</v>
      </c>
      <c r="R127">
        <v>0.80769230769230771</v>
      </c>
      <c r="S127" t="s">
        <v>1059</v>
      </c>
      <c r="T127">
        <v>7</v>
      </c>
    </row>
    <row r="128" spans="1:20" x14ac:dyDescent="0.4">
      <c r="A128" t="s">
        <v>687</v>
      </c>
      <c r="B128" t="s">
        <v>30</v>
      </c>
      <c r="C128">
        <v>144</v>
      </c>
      <c r="D128" t="s">
        <v>23</v>
      </c>
      <c r="E128" s="23">
        <v>45142</v>
      </c>
      <c r="F128">
        <v>195</v>
      </c>
      <c r="G128">
        <v>3.8973118279569863</v>
      </c>
      <c r="H128" t="s">
        <v>1108</v>
      </c>
      <c r="I128">
        <v>3.4</v>
      </c>
      <c r="J128">
        <v>2024</v>
      </c>
      <c r="K128" t="s">
        <v>45</v>
      </c>
      <c r="L128" t="s">
        <v>1112</v>
      </c>
      <c r="M128">
        <v>3</v>
      </c>
      <c r="N128">
        <v>69</v>
      </c>
      <c r="O128">
        <v>7230</v>
      </c>
      <c r="P128">
        <v>0.35384615384615387</v>
      </c>
      <c r="Q128">
        <v>69</v>
      </c>
      <c r="R128">
        <v>0.35384615384615387</v>
      </c>
      <c r="S128" t="s">
        <v>1060</v>
      </c>
      <c r="T128">
        <v>8</v>
      </c>
    </row>
    <row r="129" spans="1:20" x14ac:dyDescent="0.4">
      <c r="A129" t="s">
        <v>689</v>
      </c>
      <c r="B129" t="s">
        <v>30</v>
      </c>
      <c r="C129">
        <v>132</v>
      </c>
      <c r="D129" t="s">
        <v>23</v>
      </c>
      <c r="E129" s="23">
        <v>45144</v>
      </c>
      <c r="F129">
        <v>195</v>
      </c>
      <c r="G129">
        <v>3.8973118279569863</v>
      </c>
      <c r="H129" t="s">
        <v>1108</v>
      </c>
      <c r="I129">
        <v>4.9000000000000004</v>
      </c>
      <c r="J129">
        <v>2024</v>
      </c>
      <c r="K129" t="s">
        <v>3</v>
      </c>
      <c r="L129" t="s">
        <v>1112</v>
      </c>
      <c r="M129">
        <v>5</v>
      </c>
      <c r="N129">
        <v>69</v>
      </c>
      <c r="O129">
        <v>7230</v>
      </c>
      <c r="P129">
        <v>0.35384615384615387</v>
      </c>
      <c r="Q129">
        <v>69</v>
      </c>
      <c r="R129">
        <v>0.35384615384615387</v>
      </c>
      <c r="S129" t="s">
        <v>1060</v>
      </c>
      <c r="T129">
        <v>8</v>
      </c>
    </row>
    <row r="130" spans="1:20" x14ac:dyDescent="0.4">
      <c r="A130" t="s">
        <v>699</v>
      </c>
      <c r="B130" t="s">
        <v>44</v>
      </c>
      <c r="C130">
        <v>134</v>
      </c>
      <c r="D130" t="s">
        <v>23</v>
      </c>
      <c r="E130" s="23">
        <v>45151</v>
      </c>
      <c r="F130">
        <v>160</v>
      </c>
      <c r="G130">
        <v>3.8973118279569863</v>
      </c>
      <c r="H130" t="s">
        <v>1108</v>
      </c>
      <c r="I130">
        <v>4.7</v>
      </c>
      <c r="J130">
        <v>2024</v>
      </c>
      <c r="K130" t="s">
        <v>3</v>
      </c>
      <c r="L130" t="s">
        <v>1112</v>
      </c>
      <c r="M130">
        <v>5</v>
      </c>
      <c r="N130">
        <v>62</v>
      </c>
      <c r="O130">
        <v>6176</v>
      </c>
      <c r="P130">
        <v>0.38750000000000001</v>
      </c>
      <c r="Q130">
        <v>62</v>
      </c>
      <c r="R130">
        <v>0.38750000000000001</v>
      </c>
      <c r="S130" t="s">
        <v>1060</v>
      </c>
      <c r="T130">
        <v>8</v>
      </c>
    </row>
    <row r="131" spans="1:20" x14ac:dyDescent="0.4">
      <c r="A131" t="s">
        <v>703</v>
      </c>
      <c r="B131" t="s">
        <v>26</v>
      </c>
      <c r="C131">
        <v>89</v>
      </c>
      <c r="D131" t="s">
        <v>23</v>
      </c>
      <c r="E131" s="23">
        <v>45156</v>
      </c>
      <c r="F131">
        <v>164</v>
      </c>
      <c r="G131">
        <v>3.8973118279569863</v>
      </c>
      <c r="H131" t="s">
        <v>1108</v>
      </c>
      <c r="I131">
        <v>4.5</v>
      </c>
      <c r="J131">
        <v>2024</v>
      </c>
      <c r="K131" t="s">
        <v>45</v>
      </c>
      <c r="L131" t="s">
        <v>1111</v>
      </c>
      <c r="M131">
        <v>5</v>
      </c>
      <c r="N131">
        <v>72</v>
      </c>
      <c r="O131">
        <v>6242</v>
      </c>
      <c r="P131">
        <v>0.43902439024390244</v>
      </c>
      <c r="Q131">
        <v>72</v>
      </c>
      <c r="R131">
        <v>0.43902439024390244</v>
      </c>
      <c r="S131" t="s">
        <v>1060</v>
      </c>
      <c r="T131">
        <v>8</v>
      </c>
    </row>
    <row r="132" spans="1:20" x14ac:dyDescent="0.4">
      <c r="A132" t="s">
        <v>705</v>
      </c>
      <c r="B132" t="s">
        <v>26</v>
      </c>
      <c r="C132">
        <v>66</v>
      </c>
      <c r="D132" t="s">
        <v>23</v>
      </c>
      <c r="E132" s="23">
        <v>45157</v>
      </c>
      <c r="F132">
        <v>120</v>
      </c>
      <c r="G132">
        <v>3.8973118279569863</v>
      </c>
      <c r="H132" t="s">
        <v>1108</v>
      </c>
      <c r="I132">
        <v>4.5</v>
      </c>
      <c r="J132">
        <v>2024</v>
      </c>
      <c r="K132" t="s">
        <v>48</v>
      </c>
      <c r="L132" t="s">
        <v>1111</v>
      </c>
      <c r="M132">
        <v>5</v>
      </c>
      <c r="N132">
        <v>72</v>
      </c>
      <c r="O132">
        <v>6242</v>
      </c>
      <c r="P132">
        <v>0.6</v>
      </c>
      <c r="Q132">
        <v>72</v>
      </c>
      <c r="R132">
        <v>0.6</v>
      </c>
      <c r="S132" t="s">
        <v>1060</v>
      </c>
      <c r="T132">
        <v>8</v>
      </c>
    </row>
    <row r="133" spans="1:20" x14ac:dyDescent="0.4">
      <c r="A133" t="s">
        <v>712</v>
      </c>
      <c r="B133" t="s">
        <v>64</v>
      </c>
      <c r="C133">
        <v>116</v>
      </c>
      <c r="D133" t="s">
        <v>23</v>
      </c>
      <c r="E133" s="23">
        <v>45159</v>
      </c>
      <c r="F133">
        <v>44</v>
      </c>
      <c r="G133">
        <v>3.8973118279569863</v>
      </c>
      <c r="H133" t="s">
        <v>1108</v>
      </c>
      <c r="I133">
        <v>3.8</v>
      </c>
      <c r="J133">
        <v>2024</v>
      </c>
      <c r="K133" t="s">
        <v>15</v>
      </c>
      <c r="L133" t="s">
        <v>1111</v>
      </c>
      <c r="M133">
        <v>4</v>
      </c>
      <c r="N133">
        <v>65</v>
      </c>
      <c r="O133">
        <v>6785</v>
      </c>
      <c r="P133">
        <v>1.4772727272727273</v>
      </c>
      <c r="Q133">
        <v>65</v>
      </c>
      <c r="R133">
        <v>1.4772727272727273</v>
      </c>
      <c r="S133" t="s">
        <v>1060</v>
      </c>
      <c r="T133">
        <v>8</v>
      </c>
    </row>
    <row r="134" spans="1:20" x14ac:dyDescent="0.4">
      <c r="A134" t="s">
        <v>713</v>
      </c>
      <c r="B134" t="s">
        <v>11</v>
      </c>
      <c r="C134">
        <v>111</v>
      </c>
      <c r="D134" t="s">
        <v>23</v>
      </c>
      <c r="E134" s="23">
        <v>45161</v>
      </c>
      <c r="F134">
        <v>120</v>
      </c>
      <c r="G134">
        <v>3.8973118279569863</v>
      </c>
      <c r="H134" t="s">
        <v>1108</v>
      </c>
      <c r="I134">
        <v>1.8</v>
      </c>
      <c r="J134">
        <v>2024</v>
      </c>
      <c r="K134" t="s">
        <v>33</v>
      </c>
      <c r="L134" t="s">
        <v>1111</v>
      </c>
      <c r="M134">
        <v>2</v>
      </c>
      <c r="N134">
        <v>60</v>
      </c>
      <c r="O134">
        <v>5404</v>
      </c>
      <c r="P134">
        <v>0.5</v>
      </c>
      <c r="Q134">
        <v>60</v>
      </c>
      <c r="R134">
        <v>0.5</v>
      </c>
      <c r="S134" t="s">
        <v>1060</v>
      </c>
      <c r="T134">
        <v>8</v>
      </c>
    </row>
    <row r="135" spans="1:20" x14ac:dyDescent="0.4">
      <c r="A135" t="s">
        <v>714</v>
      </c>
      <c r="B135" t="s">
        <v>13</v>
      </c>
      <c r="C135">
        <v>15</v>
      </c>
      <c r="D135" t="s">
        <v>23</v>
      </c>
      <c r="E135" s="23">
        <v>45161</v>
      </c>
      <c r="F135">
        <v>120</v>
      </c>
      <c r="G135">
        <v>3.8973118279569863</v>
      </c>
      <c r="H135" t="s">
        <v>1108</v>
      </c>
      <c r="I135">
        <v>4.0999999999999996</v>
      </c>
      <c r="J135">
        <v>2024</v>
      </c>
      <c r="K135" t="s">
        <v>33</v>
      </c>
      <c r="L135" t="s">
        <v>1110</v>
      </c>
      <c r="M135">
        <v>4</v>
      </c>
      <c r="N135">
        <v>74</v>
      </c>
      <c r="O135">
        <v>6749</v>
      </c>
      <c r="P135">
        <v>0.6166666666666667</v>
      </c>
      <c r="Q135">
        <v>74</v>
      </c>
      <c r="R135">
        <v>0.6166666666666667</v>
      </c>
      <c r="S135" t="s">
        <v>1060</v>
      </c>
      <c r="T135">
        <v>8</v>
      </c>
    </row>
    <row r="136" spans="1:20" x14ac:dyDescent="0.4">
      <c r="A136" t="s">
        <v>717</v>
      </c>
      <c r="B136" t="s">
        <v>54</v>
      </c>
      <c r="C136">
        <v>73</v>
      </c>
      <c r="D136" t="s">
        <v>23</v>
      </c>
      <c r="E136" s="23">
        <v>45163</v>
      </c>
      <c r="F136">
        <v>44</v>
      </c>
      <c r="G136">
        <v>3.8973118279569863</v>
      </c>
      <c r="H136" t="s">
        <v>1108</v>
      </c>
      <c r="I136">
        <v>3.8</v>
      </c>
      <c r="J136">
        <v>2024</v>
      </c>
      <c r="K136" t="s">
        <v>45</v>
      </c>
      <c r="L136" t="s">
        <v>1111</v>
      </c>
      <c r="M136">
        <v>4</v>
      </c>
      <c r="N136">
        <v>70</v>
      </c>
      <c r="O136">
        <v>6819</v>
      </c>
      <c r="P136">
        <v>1.5909090909090908</v>
      </c>
      <c r="Q136">
        <v>70</v>
      </c>
      <c r="R136">
        <v>1.5909090909090908</v>
      </c>
      <c r="S136" t="s">
        <v>1060</v>
      </c>
      <c r="T136">
        <v>8</v>
      </c>
    </row>
    <row r="137" spans="1:20" x14ac:dyDescent="0.4">
      <c r="A137" t="s">
        <v>721</v>
      </c>
      <c r="B137" t="s">
        <v>21</v>
      </c>
      <c r="C137">
        <v>104</v>
      </c>
      <c r="D137" t="s">
        <v>23</v>
      </c>
      <c r="E137" s="23">
        <v>45164</v>
      </c>
      <c r="F137">
        <v>66</v>
      </c>
      <c r="G137">
        <v>3.8973118279569863</v>
      </c>
      <c r="H137" t="s">
        <v>1108</v>
      </c>
      <c r="I137">
        <v>4.8</v>
      </c>
      <c r="J137">
        <v>2024</v>
      </c>
      <c r="K137" t="s">
        <v>48</v>
      </c>
      <c r="L137" t="s">
        <v>1111</v>
      </c>
      <c r="M137">
        <v>5</v>
      </c>
      <c r="N137">
        <v>67</v>
      </c>
      <c r="O137">
        <v>7216</v>
      </c>
      <c r="P137">
        <v>1.0151515151515151</v>
      </c>
      <c r="Q137">
        <v>67</v>
      </c>
      <c r="R137">
        <v>1.0151515151515151</v>
      </c>
      <c r="S137" t="s">
        <v>1060</v>
      </c>
      <c r="T137">
        <v>8</v>
      </c>
    </row>
    <row r="138" spans="1:20" x14ac:dyDescent="0.4">
      <c r="A138" t="s">
        <v>724</v>
      </c>
      <c r="B138" t="s">
        <v>13</v>
      </c>
      <c r="C138">
        <v>49</v>
      </c>
      <c r="D138" t="s">
        <v>23</v>
      </c>
      <c r="E138" s="23">
        <v>45165</v>
      </c>
      <c r="F138">
        <v>105</v>
      </c>
      <c r="G138">
        <v>3.8973118279569863</v>
      </c>
      <c r="H138" t="s">
        <v>1108</v>
      </c>
      <c r="I138">
        <v>3.3</v>
      </c>
      <c r="J138">
        <v>2024</v>
      </c>
      <c r="K138" t="s">
        <v>3</v>
      </c>
      <c r="L138" t="s">
        <v>1109</v>
      </c>
      <c r="M138">
        <v>3</v>
      </c>
      <c r="N138">
        <v>74</v>
      </c>
      <c r="O138">
        <v>6749</v>
      </c>
      <c r="P138">
        <v>0.70476190476190481</v>
      </c>
      <c r="Q138">
        <v>74</v>
      </c>
      <c r="R138">
        <v>0.70476190476190481</v>
      </c>
      <c r="S138" t="s">
        <v>1060</v>
      </c>
      <c r="T138">
        <v>8</v>
      </c>
    </row>
    <row r="139" spans="1:20" x14ac:dyDescent="0.4">
      <c r="A139" t="s">
        <v>725</v>
      </c>
      <c r="B139" t="s">
        <v>64</v>
      </c>
      <c r="C139">
        <v>73</v>
      </c>
      <c r="D139" t="s">
        <v>23</v>
      </c>
      <c r="E139" s="23">
        <v>45165</v>
      </c>
      <c r="F139">
        <v>100</v>
      </c>
      <c r="G139">
        <v>3.8973118279569863</v>
      </c>
      <c r="H139" t="s">
        <v>1108</v>
      </c>
      <c r="I139">
        <v>2.8</v>
      </c>
      <c r="J139">
        <v>2024</v>
      </c>
      <c r="K139" t="s">
        <v>3</v>
      </c>
      <c r="L139" t="s">
        <v>1111</v>
      </c>
      <c r="M139">
        <v>3</v>
      </c>
      <c r="N139">
        <v>65</v>
      </c>
      <c r="O139">
        <v>6785</v>
      </c>
      <c r="P139">
        <v>0.65</v>
      </c>
      <c r="Q139">
        <v>65</v>
      </c>
      <c r="R139">
        <v>0.65</v>
      </c>
      <c r="S139" t="s">
        <v>1060</v>
      </c>
      <c r="T139">
        <v>8</v>
      </c>
    </row>
    <row r="140" spans="1:20" x14ac:dyDescent="0.4">
      <c r="A140" t="s">
        <v>734</v>
      </c>
      <c r="B140" t="s">
        <v>26</v>
      </c>
      <c r="C140">
        <v>96</v>
      </c>
      <c r="D140" t="s">
        <v>23</v>
      </c>
      <c r="E140" s="23">
        <v>45170</v>
      </c>
      <c r="F140">
        <v>36</v>
      </c>
      <c r="G140">
        <v>3.8973118279569863</v>
      </c>
      <c r="H140" t="s">
        <v>1108</v>
      </c>
      <c r="I140">
        <v>3.4</v>
      </c>
      <c r="J140">
        <v>2024</v>
      </c>
      <c r="K140" t="s">
        <v>45</v>
      </c>
      <c r="L140" t="s">
        <v>1111</v>
      </c>
      <c r="M140">
        <v>3</v>
      </c>
      <c r="N140">
        <v>72</v>
      </c>
      <c r="O140">
        <v>6242</v>
      </c>
      <c r="P140">
        <v>2</v>
      </c>
      <c r="Q140">
        <v>72</v>
      </c>
      <c r="R140">
        <v>2</v>
      </c>
      <c r="S140" t="s">
        <v>1061</v>
      </c>
      <c r="T140">
        <v>9</v>
      </c>
    </row>
    <row r="141" spans="1:20" x14ac:dyDescent="0.4">
      <c r="A141" t="s">
        <v>739</v>
      </c>
      <c r="B141" t="s">
        <v>54</v>
      </c>
      <c r="C141">
        <v>113</v>
      </c>
      <c r="D141" t="s">
        <v>23</v>
      </c>
      <c r="E141" s="23">
        <v>45173</v>
      </c>
      <c r="F141">
        <v>46</v>
      </c>
      <c r="G141">
        <v>3.8973118279569863</v>
      </c>
      <c r="H141" t="s">
        <v>1108</v>
      </c>
      <c r="I141">
        <v>4.4000000000000004</v>
      </c>
      <c r="J141">
        <v>2024</v>
      </c>
      <c r="K141" t="s">
        <v>15</v>
      </c>
      <c r="L141" t="s">
        <v>1111</v>
      </c>
      <c r="M141">
        <v>4</v>
      </c>
      <c r="N141">
        <v>70</v>
      </c>
      <c r="O141">
        <v>6819</v>
      </c>
      <c r="P141">
        <v>1.5217391304347827</v>
      </c>
      <c r="Q141">
        <v>70</v>
      </c>
      <c r="R141">
        <v>1.5217391304347827</v>
      </c>
      <c r="S141" t="s">
        <v>1061</v>
      </c>
      <c r="T141">
        <v>9</v>
      </c>
    </row>
    <row r="142" spans="1:20" x14ac:dyDescent="0.4">
      <c r="A142" t="s">
        <v>740</v>
      </c>
      <c r="B142" t="s">
        <v>54</v>
      </c>
      <c r="C142">
        <v>96</v>
      </c>
      <c r="D142" t="s">
        <v>23</v>
      </c>
      <c r="E142" s="23">
        <v>45173</v>
      </c>
      <c r="F142">
        <v>96</v>
      </c>
      <c r="G142">
        <v>3.8973118279569863</v>
      </c>
      <c r="H142" t="s">
        <v>1108</v>
      </c>
      <c r="I142">
        <v>2.9</v>
      </c>
      <c r="J142">
        <v>2024</v>
      </c>
      <c r="K142" t="s">
        <v>15</v>
      </c>
      <c r="L142" t="s">
        <v>1111</v>
      </c>
      <c r="M142">
        <v>3</v>
      </c>
      <c r="N142">
        <v>70</v>
      </c>
      <c r="O142">
        <v>6819</v>
      </c>
      <c r="P142">
        <v>0.72916666666666663</v>
      </c>
      <c r="Q142">
        <v>70</v>
      </c>
      <c r="R142">
        <v>0.72916666666666663</v>
      </c>
      <c r="S142" t="s">
        <v>1061</v>
      </c>
      <c r="T142">
        <v>9</v>
      </c>
    </row>
    <row r="143" spans="1:20" x14ac:dyDescent="0.4">
      <c r="A143" t="s">
        <v>742</v>
      </c>
      <c r="B143" t="s">
        <v>21</v>
      </c>
      <c r="C143">
        <v>52</v>
      </c>
      <c r="D143" t="s">
        <v>23</v>
      </c>
      <c r="E143" s="23">
        <v>45175</v>
      </c>
      <c r="F143">
        <v>88</v>
      </c>
      <c r="G143">
        <v>3.8973118279569863</v>
      </c>
      <c r="H143" t="s">
        <v>1108</v>
      </c>
      <c r="I143">
        <v>4.3</v>
      </c>
      <c r="J143">
        <v>2024</v>
      </c>
      <c r="K143" t="s">
        <v>33</v>
      </c>
      <c r="L143" t="s">
        <v>1109</v>
      </c>
      <c r="M143">
        <v>4</v>
      </c>
      <c r="N143">
        <v>67</v>
      </c>
      <c r="O143">
        <v>7216</v>
      </c>
      <c r="P143">
        <v>0.76136363636363635</v>
      </c>
      <c r="Q143">
        <v>67</v>
      </c>
      <c r="R143">
        <v>0.76136363636363635</v>
      </c>
      <c r="S143" t="s">
        <v>1061</v>
      </c>
      <c r="T143">
        <v>9</v>
      </c>
    </row>
    <row r="144" spans="1:20" x14ac:dyDescent="0.4">
      <c r="A144" t="s">
        <v>751</v>
      </c>
      <c r="B144" t="s">
        <v>13</v>
      </c>
      <c r="C144">
        <v>74</v>
      </c>
      <c r="D144" t="s">
        <v>23</v>
      </c>
      <c r="E144" s="23">
        <v>45178</v>
      </c>
      <c r="F144">
        <v>75</v>
      </c>
      <c r="G144">
        <v>3.8973118279569863</v>
      </c>
      <c r="H144" t="s">
        <v>1108</v>
      </c>
      <c r="I144">
        <v>2.8</v>
      </c>
      <c r="J144">
        <v>2024</v>
      </c>
      <c r="K144" t="s">
        <v>48</v>
      </c>
      <c r="L144" t="s">
        <v>1111</v>
      </c>
      <c r="M144">
        <v>3</v>
      </c>
      <c r="N144">
        <v>74</v>
      </c>
      <c r="O144">
        <v>6749</v>
      </c>
      <c r="P144">
        <v>0.98666666666666669</v>
      </c>
      <c r="Q144">
        <v>74</v>
      </c>
      <c r="R144">
        <v>0.98666666666666669</v>
      </c>
      <c r="S144" t="s">
        <v>1061</v>
      </c>
      <c r="T144">
        <v>9</v>
      </c>
    </row>
    <row r="145" spans="1:20" x14ac:dyDescent="0.4">
      <c r="A145" t="s">
        <v>781</v>
      </c>
      <c r="B145" t="s">
        <v>54</v>
      </c>
      <c r="C145">
        <v>95</v>
      </c>
      <c r="D145" t="s">
        <v>23</v>
      </c>
      <c r="E145" s="23">
        <v>45193</v>
      </c>
      <c r="F145">
        <v>23</v>
      </c>
      <c r="G145">
        <v>3.8973118279569863</v>
      </c>
      <c r="H145" t="s">
        <v>1108</v>
      </c>
      <c r="I145">
        <v>2.4</v>
      </c>
      <c r="J145">
        <v>2024</v>
      </c>
      <c r="K145" t="s">
        <v>3</v>
      </c>
      <c r="L145" t="s">
        <v>1111</v>
      </c>
      <c r="M145">
        <v>2</v>
      </c>
      <c r="N145">
        <v>70</v>
      </c>
      <c r="O145">
        <v>6819</v>
      </c>
      <c r="P145">
        <v>3.0434782608695654</v>
      </c>
      <c r="Q145">
        <v>70</v>
      </c>
      <c r="R145">
        <v>3.0434782608695654</v>
      </c>
      <c r="S145" t="s">
        <v>1061</v>
      </c>
      <c r="T145">
        <v>9</v>
      </c>
    </row>
    <row r="146" spans="1:20" x14ac:dyDescent="0.4">
      <c r="A146" t="s">
        <v>788</v>
      </c>
      <c r="B146" t="s">
        <v>44</v>
      </c>
      <c r="C146">
        <v>71</v>
      </c>
      <c r="D146" t="s">
        <v>23</v>
      </c>
      <c r="E146" s="23">
        <v>45196</v>
      </c>
      <c r="F146">
        <v>135</v>
      </c>
      <c r="G146">
        <v>3.8973118279569863</v>
      </c>
      <c r="H146" t="s">
        <v>1108</v>
      </c>
      <c r="I146">
        <v>3.9</v>
      </c>
      <c r="J146">
        <v>2024</v>
      </c>
      <c r="K146" t="s">
        <v>33</v>
      </c>
      <c r="L146" t="s">
        <v>1111</v>
      </c>
      <c r="M146">
        <v>4</v>
      </c>
      <c r="N146">
        <v>62</v>
      </c>
      <c r="O146">
        <v>6176</v>
      </c>
      <c r="P146">
        <v>0.45925925925925926</v>
      </c>
      <c r="Q146">
        <v>62</v>
      </c>
      <c r="R146">
        <v>0.45925925925925926</v>
      </c>
      <c r="S146" t="s">
        <v>1061</v>
      </c>
      <c r="T146">
        <v>9</v>
      </c>
    </row>
    <row r="147" spans="1:20" x14ac:dyDescent="0.4">
      <c r="A147" t="s">
        <v>789</v>
      </c>
      <c r="B147" t="s">
        <v>32</v>
      </c>
      <c r="C147">
        <v>152</v>
      </c>
      <c r="D147" t="s">
        <v>23</v>
      </c>
      <c r="E147" s="23">
        <v>45196</v>
      </c>
      <c r="F147">
        <v>88</v>
      </c>
      <c r="G147">
        <v>3.8973118279569863</v>
      </c>
      <c r="H147" t="s">
        <v>1108</v>
      </c>
      <c r="I147">
        <v>4.7</v>
      </c>
      <c r="J147">
        <v>2024</v>
      </c>
      <c r="K147" t="s">
        <v>33</v>
      </c>
      <c r="L147" t="s">
        <v>1112</v>
      </c>
      <c r="M147">
        <v>5</v>
      </c>
      <c r="N147">
        <v>63</v>
      </c>
      <c r="O147">
        <v>5634</v>
      </c>
      <c r="P147">
        <v>0.71590909090909094</v>
      </c>
      <c r="Q147">
        <v>63</v>
      </c>
      <c r="R147">
        <v>0.71590909090909094</v>
      </c>
      <c r="S147" t="s">
        <v>1061</v>
      </c>
      <c r="T147">
        <v>9</v>
      </c>
    </row>
    <row r="148" spans="1:20" x14ac:dyDescent="0.4">
      <c r="A148" t="s">
        <v>791</v>
      </c>
      <c r="B148" t="s">
        <v>64</v>
      </c>
      <c r="C148">
        <v>156</v>
      </c>
      <c r="D148" t="s">
        <v>23</v>
      </c>
      <c r="E148" s="23">
        <v>45196</v>
      </c>
      <c r="F148">
        <v>81</v>
      </c>
      <c r="G148">
        <v>3.8973118279569863</v>
      </c>
      <c r="H148" t="s">
        <v>1108</v>
      </c>
      <c r="I148">
        <v>5</v>
      </c>
      <c r="J148">
        <v>2024</v>
      </c>
      <c r="K148" t="s">
        <v>33</v>
      </c>
      <c r="L148" t="s">
        <v>1112</v>
      </c>
      <c r="M148">
        <v>5</v>
      </c>
      <c r="N148">
        <v>65</v>
      </c>
      <c r="O148">
        <v>6785</v>
      </c>
      <c r="P148">
        <v>0.80246913580246915</v>
      </c>
      <c r="Q148">
        <v>65</v>
      </c>
      <c r="R148">
        <v>0.80246913580246915</v>
      </c>
      <c r="S148" t="s">
        <v>1061</v>
      </c>
      <c r="T148">
        <v>9</v>
      </c>
    </row>
    <row r="149" spans="1:20" x14ac:dyDescent="0.4">
      <c r="A149" t="s">
        <v>793</v>
      </c>
      <c r="B149" t="s">
        <v>8</v>
      </c>
      <c r="C149">
        <v>135</v>
      </c>
      <c r="D149" t="s">
        <v>23</v>
      </c>
      <c r="E149" s="23">
        <v>45197</v>
      </c>
      <c r="F149">
        <v>92</v>
      </c>
      <c r="G149">
        <v>3.8973118279569863</v>
      </c>
      <c r="H149" t="s">
        <v>1108</v>
      </c>
      <c r="I149">
        <v>3.9</v>
      </c>
      <c r="J149">
        <v>2024</v>
      </c>
      <c r="K149" t="s">
        <v>37</v>
      </c>
      <c r="L149" t="s">
        <v>1112</v>
      </c>
      <c r="M149">
        <v>4</v>
      </c>
      <c r="N149">
        <v>79</v>
      </c>
      <c r="O149">
        <v>7747</v>
      </c>
      <c r="P149">
        <v>0.85869565217391308</v>
      </c>
      <c r="Q149">
        <v>79</v>
      </c>
      <c r="R149">
        <v>0.85869565217391308</v>
      </c>
      <c r="S149" t="s">
        <v>1061</v>
      </c>
      <c r="T149">
        <v>9</v>
      </c>
    </row>
    <row r="150" spans="1:20" x14ac:dyDescent="0.4">
      <c r="A150" t="s">
        <v>795</v>
      </c>
      <c r="B150" t="s">
        <v>51</v>
      </c>
      <c r="C150">
        <v>64</v>
      </c>
      <c r="D150" t="s">
        <v>23</v>
      </c>
      <c r="E150" s="23">
        <v>45198</v>
      </c>
      <c r="F150">
        <v>112</v>
      </c>
      <c r="G150">
        <v>3.8973118279569863</v>
      </c>
      <c r="H150" t="s">
        <v>1108</v>
      </c>
      <c r="I150">
        <v>2</v>
      </c>
      <c r="J150">
        <v>2024</v>
      </c>
      <c r="K150" t="s">
        <v>45</v>
      </c>
      <c r="L150" t="s">
        <v>1111</v>
      </c>
      <c r="M150">
        <v>2</v>
      </c>
      <c r="N150">
        <v>59</v>
      </c>
      <c r="O150">
        <v>6518</v>
      </c>
      <c r="P150">
        <v>0.5267857142857143</v>
      </c>
      <c r="Q150">
        <v>59</v>
      </c>
      <c r="R150">
        <v>0.5267857142857143</v>
      </c>
      <c r="S150" t="s">
        <v>1061</v>
      </c>
      <c r="T150">
        <v>9</v>
      </c>
    </row>
    <row r="151" spans="1:20" x14ac:dyDescent="0.4">
      <c r="A151" t="s">
        <v>800</v>
      </c>
      <c r="B151" t="s">
        <v>40</v>
      </c>
      <c r="C151">
        <v>93</v>
      </c>
      <c r="D151" t="s">
        <v>23</v>
      </c>
      <c r="E151" s="23">
        <v>45199</v>
      </c>
      <c r="F151">
        <v>170</v>
      </c>
      <c r="G151">
        <v>3.8973118279569863</v>
      </c>
      <c r="H151" t="s">
        <v>1108</v>
      </c>
      <c r="I151">
        <v>2.2000000000000002</v>
      </c>
      <c r="J151">
        <v>2024</v>
      </c>
      <c r="K151" t="s">
        <v>48</v>
      </c>
      <c r="L151" t="s">
        <v>1111</v>
      </c>
      <c r="M151">
        <v>2</v>
      </c>
      <c r="N151">
        <v>69</v>
      </c>
      <c r="O151">
        <v>6601</v>
      </c>
      <c r="P151">
        <v>0.40588235294117647</v>
      </c>
      <c r="Q151">
        <v>69</v>
      </c>
      <c r="R151">
        <v>0.40588235294117647</v>
      </c>
      <c r="S151" t="s">
        <v>1061</v>
      </c>
      <c r="T151">
        <v>9</v>
      </c>
    </row>
    <row r="152" spans="1:20" x14ac:dyDescent="0.4">
      <c r="A152" t="s">
        <v>806</v>
      </c>
      <c r="B152" t="s">
        <v>13</v>
      </c>
      <c r="C152">
        <v>29</v>
      </c>
      <c r="D152" t="s">
        <v>23</v>
      </c>
      <c r="E152" s="23">
        <v>45199</v>
      </c>
      <c r="F152">
        <v>80</v>
      </c>
      <c r="G152">
        <v>3.8973118279569863</v>
      </c>
      <c r="H152" t="s">
        <v>1108</v>
      </c>
      <c r="I152">
        <v>4.8</v>
      </c>
      <c r="J152">
        <v>2024</v>
      </c>
      <c r="K152" t="s">
        <v>48</v>
      </c>
      <c r="L152" t="s">
        <v>1110</v>
      </c>
      <c r="M152">
        <v>5</v>
      </c>
      <c r="N152">
        <v>74</v>
      </c>
      <c r="O152">
        <v>6749</v>
      </c>
      <c r="P152">
        <v>0.92500000000000004</v>
      </c>
      <c r="Q152">
        <v>74</v>
      </c>
      <c r="R152">
        <v>0.92500000000000004</v>
      </c>
      <c r="S152" t="s">
        <v>1061</v>
      </c>
      <c r="T152">
        <v>9</v>
      </c>
    </row>
    <row r="153" spans="1:20" x14ac:dyDescent="0.4">
      <c r="A153" t="s">
        <v>810</v>
      </c>
      <c r="B153" t="s">
        <v>30</v>
      </c>
      <c r="C153">
        <v>78</v>
      </c>
      <c r="D153" t="s">
        <v>23</v>
      </c>
      <c r="E153" s="23">
        <v>45200</v>
      </c>
      <c r="F153">
        <v>135</v>
      </c>
      <c r="G153">
        <v>3.8973118279569863</v>
      </c>
      <c r="H153" t="s">
        <v>1108</v>
      </c>
      <c r="I153">
        <v>4.0999999999999996</v>
      </c>
      <c r="J153">
        <v>2024</v>
      </c>
      <c r="K153" t="s">
        <v>3</v>
      </c>
      <c r="L153" t="s">
        <v>1111</v>
      </c>
      <c r="M153">
        <v>4</v>
      </c>
      <c r="N153">
        <v>69</v>
      </c>
      <c r="O153">
        <v>7230</v>
      </c>
      <c r="P153">
        <v>0.51111111111111107</v>
      </c>
      <c r="Q153">
        <v>69</v>
      </c>
      <c r="R153">
        <v>0.51111111111111107</v>
      </c>
      <c r="S153" t="s">
        <v>1062</v>
      </c>
      <c r="T153">
        <v>10</v>
      </c>
    </row>
    <row r="154" spans="1:20" x14ac:dyDescent="0.4">
      <c r="A154" t="s">
        <v>821</v>
      </c>
      <c r="B154" t="s">
        <v>32</v>
      </c>
      <c r="C154">
        <v>78</v>
      </c>
      <c r="D154" t="s">
        <v>23</v>
      </c>
      <c r="E154" s="23">
        <v>45202</v>
      </c>
      <c r="F154">
        <v>84</v>
      </c>
      <c r="G154">
        <v>3.8973118279569863</v>
      </c>
      <c r="H154" t="s">
        <v>1108</v>
      </c>
      <c r="I154">
        <v>4.5999999999999996</v>
      </c>
      <c r="J154">
        <v>2024</v>
      </c>
      <c r="K154" t="s">
        <v>18</v>
      </c>
      <c r="L154" t="s">
        <v>1111</v>
      </c>
      <c r="M154">
        <v>5</v>
      </c>
      <c r="N154">
        <v>63</v>
      </c>
      <c r="O154">
        <v>5634</v>
      </c>
      <c r="P154">
        <v>0.75</v>
      </c>
      <c r="Q154">
        <v>63</v>
      </c>
      <c r="R154">
        <v>0.75</v>
      </c>
      <c r="S154" t="s">
        <v>1062</v>
      </c>
      <c r="T154">
        <v>10</v>
      </c>
    </row>
    <row r="155" spans="1:20" x14ac:dyDescent="0.4">
      <c r="A155" t="s">
        <v>825</v>
      </c>
      <c r="B155" t="s">
        <v>54</v>
      </c>
      <c r="C155">
        <v>57</v>
      </c>
      <c r="D155" t="s">
        <v>23</v>
      </c>
      <c r="E155" s="23">
        <v>45203</v>
      </c>
      <c r="F155">
        <v>48</v>
      </c>
      <c r="G155">
        <v>3.8973118279569863</v>
      </c>
      <c r="H155" t="s">
        <v>1108</v>
      </c>
      <c r="I155">
        <v>4.5</v>
      </c>
      <c r="J155">
        <v>2024</v>
      </c>
      <c r="K155" t="s">
        <v>33</v>
      </c>
      <c r="L155" t="s">
        <v>1109</v>
      </c>
      <c r="M155">
        <v>5</v>
      </c>
      <c r="N155">
        <v>70</v>
      </c>
      <c r="O155">
        <v>6819</v>
      </c>
      <c r="P155">
        <v>1.4583333333333333</v>
      </c>
      <c r="Q155">
        <v>70</v>
      </c>
      <c r="R155">
        <v>1.4583333333333333</v>
      </c>
      <c r="S155" t="s">
        <v>1062</v>
      </c>
      <c r="T155">
        <v>10</v>
      </c>
    </row>
    <row r="156" spans="1:20" x14ac:dyDescent="0.4">
      <c r="A156" t="s">
        <v>827</v>
      </c>
      <c r="B156" t="s">
        <v>30</v>
      </c>
      <c r="C156">
        <v>138</v>
      </c>
      <c r="D156" t="s">
        <v>23</v>
      </c>
      <c r="E156" s="23">
        <v>45204</v>
      </c>
      <c r="F156">
        <v>155</v>
      </c>
      <c r="G156">
        <v>3.8973118279569863</v>
      </c>
      <c r="H156" t="s">
        <v>1108</v>
      </c>
      <c r="I156">
        <v>2.7</v>
      </c>
      <c r="J156">
        <v>2024</v>
      </c>
      <c r="K156" t="s">
        <v>37</v>
      </c>
      <c r="L156" t="s">
        <v>1112</v>
      </c>
      <c r="M156">
        <v>3</v>
      </c>
      <c r="N156">
        <v>69</v>
      </c>
      <c r="O156">
        <v>7230</v>
      </c>
      <c r="P156">
        <v>0.44516129032258067</v>
      </c>
      <c r="Q156">
        <v>69</v>
      </c>
      <c r="R156">
        <v>0.44516129032258067</v>
      </c>
      <c r="S156" t="s">
        <v>1062</v>
      </c>
      <c r="T156">
        <v>10</v>
      </c>
    </row>
    <row r="157" spans="1:20" x14ac:dyDescent="0.4">
      <c r="A157" t="s">
        <v>833</v>
      </c>
      <c r="B157" t="s">
        <v>21</v>
      </c>
      <c r="C157">
        <v>90</v>
      </c>
      <c r="D157" t="s">
        <v>23</v>
      </c>
      <c r="E157" s="23">
        <v>45205</v>
      </c>
      <c r="F157">
        <v>84</v>
      </c>
      <c r="G157">
        <v>3.8973118279569863</v>
      </c>
      <c r="H157" t="s">
        <v>1108</v>
      </c>
      <c r="I157">
        <v>3.9</v>
      </c>
      <c r="J157">
        <v>2024</v>
      </c>
      <c r="K157" t="s">
        <v>45</v>
      </c>
      <c r="L157" t="s">
        <v>1111</v>
      </c>
      <c r="M157">
        <v>4</v>
      </c>
      <c r="N157">
        <v>67</v>
      </c>
      <c r="O157">
        <v>7216</v>
      </c>
      <c r="P157">
        <v>0.79761904761904767</v>
      </c>
      <c r="Q157">
        <v>67</v>
      </c>
      <c r="R157">
        <v>0.79761904761904767</v>
      </c>
      <c r="S157" t="s">
        <v>1062</v>
      </c>
      <c r="T157">
        <v>10</v>
      </c>
    </row>
    <row r="158" spans="1:20" x14ac:dyDescent="0.4">
      <c r="A158" t="s">
        <v>845</v>
      </c>
      <c r="B158" t="s">
        <v>13</v>
      </c>
      <c r="C158">
        <v>119</v>
      </c>
      <c r="D158" t="s">
        <v>23</v>
      </c>
      <c r="E158" s="23">
        <v>45209</v>
      </c>
      <c r="F158">
        <v>111</v>
      </c>
      <c r="G158">
        <v>3.8973118279569863</v>
      </c>
      <c r="H158" t="s">
        <v>1108</v>
      </c>
      <c r="I158">
        <v>3.9</v>
      </c>
      <c r="J158">
        <v>2024</v>
      </c>
      <c r="K158" t="s">
        <v>18</v>
      </c>
      <c r="L158" t="s">
        <v>1111</v>
      </c>
      <c r="M158">
        <v>4</v>
      </c>
      <c r="N158">
        <v>74</v>
      </c>
      <c r="O158">
        <v>6749</v>
      </c>
      <c r="P158">
        <v>0.66666666666666663</v>
      </c>
      <c r="Q158">
        <v>74</v>
      </c>
      <c r="R158">
        <v>0.66666666666666663</v>
      </c>
      <c r="S158" t="s">
        <v>1062</v>
      </c>
      <c r="T158">
        <v>10</v>
      </c>
    </row>
    <row r="159" spans="1:20" x14ac:dyDescent="0.4">
      <c r="A159" t="s">
        <v>851</v>
      </c>
      <c r="B159" t="s">
        <v>11</v>
      </c>
      <c r="C159">
        <v>84</v>
      </c>
      <c r="D159" t="s">
        <v>23</v>
      </c>
      <c r="E159" s="23">
        <v>45210</v>
      </c>
      <c r="F159">
        <v>54</v>
      </c>
      <c r="G159">
        <v>3.8973118279569863</v>
      </c>
      <c r="H159" t="s">
        <v>1108</v>
      </c>
      <c r="I159">
        <v>3.3</v>
      </c>
      <c r="J159">
        <v>2024</v>
      </c>
      <c r="K159" t="s">
        <v>33</v>
      </c>
      <c r="L159" t="s">
        <v>1111</v>
      </c>
      <c r="M159">
        <v>3</v>
      </c>
      <c r="N159">
        <v>60</v>
      </c>
      <c r="O159">
        <v>5404</v>
      </c>
      <c r="P159">
        <v>1.1111111111111112</v>
      </c>
      <c r="Q159">
        <v>60</v>
      </c>
      <c r="R159">
        <v>1.1111111111111112</v>
      </c>
      <c r="S159" t="s">
        <v>1062</v>
      </c>
      <c r="T159">
        <v>10</v>
      </c>
    </row>
    <row r="160" spans="1:20" x14ac:dyDescent="0.4">
      <c r="A160" t="s">
        <v>855</v>
      </c>
      <c r="B160" t="s">
        <v>8</v>
      </c>
      <c r="C160">
        <v>126</v>
      </c>
      <c r="D160" t="s">
        <v>23</v>
      </c>
      <c r="E160" s="23">
        <v>45211</v>
      </c>
      <c r="F160">
        <v>50</v>
      </c>
      <c r="G160">
        <v>3.8973118279569863</v>
      </c>
      <c r="H160" t="s">
        <v>1108</v>
      </c>
      <c r="I160">
        <v>4.8</v>
      </c>
      <c r="J160">
        <v>2024</v>
      </c>
      <c r="K160" t="s">
        <v>37</v>
      </c>
      <c r="L160" t="s">
        <v>1112</v>
      </c>
      <c r="M160">
        <v>5</v>
      </c>
      <c r="N160">
        <v>79</v>
      </c>
      <c r="O160">
        <v>7747</v>
      </c>
      <c r="P160">
        <v>1.58</v>
      </c>
      <c r="Q160">
        <v>79</v>
      </c>
      <c r="R160">
        <v>1.58</v>
      </c>
      <c r="S160" t="s">
        <v>1062</v>
      </c>
      <c r="T160">
        <v>10</v>
      </c>
    </row>
    <row r="161" spans="1:20" x14ac:dyDescent="0.4">
      <c r="A161" t="s">
        <v>874</v>
      </c>
      <c r="B161" t="s">
        <v>8</v>
      </c>
      <c r="C161">
        <v>87</v>
      </c>
      <c r="D161" t="s">
        <v>23</v>
      </c>
      <c r="E161" s="23">
        <v>45215</v>
      </c>
      <c r="F161">
        <v>27</v>
      </c>
      <c r="G161">
        <v>3.8973118279569863</v>
      </c>
      <c r="H161" t="s">
        <v>1108</v>
      </c>
      <c r="I161">
        <v>4.2</v>
      </c>
      <c r="J161">
        <v>2024</v>
      </c>
      <c r="K161" t="s">
        <v>15</v>
      </c>
      <c r="L161" t="s">
        <v>1111</v>
      </c>
      <c r="M161">
        <v>4</v>
      </c>
      <c r="N161">
        <v>79</v>
      </c>
      <c r="O161">
        <v>7747</v>
      </c>
      <c r="P161">
        <v>2.925925925925926</v>
      </c>
      <c r="Q161">
        <v>79</v>
      </c>
      <c r="R161">
        <v>2.925925925925926</v>
      </c>
      <c r="S161" t="s">
        <v>1062</v>
      </c>
      <c r="T161">
        <v>10</v>
      </c>
    </row>
    <row r="162" spans="1:20" x14ac:dyDescent="0.4">
      <c r="A162" t="s">
        <v>882</v>
      </c>
      <c r="B162" t="s">
        <v>32</v>
      </c>
      <c r="C162">
        <v>166</v>
      </c>
      <c r="D162" t="s">
        <v>23</v>
      </c>
      <c r="E162" s="23">
        <v>45218</v>
      </c>
      <c r="F162">
        <v>29</v>
      </c>
      <c r="G162">
        <v>3.8973118279569863</v>
      </c>
      <c r="H162" t="s">
        <v>1108</v>
      </c>
      <c r="I162">
        <v>4.3</v>
      </c>
      <c r="J162">
        <v>2024</v>
      </c>
      <c r="K162" t="s">
        <v>37</v>
      </c>
      <c r="L162" t="s">
        <v>1112</v>
      </c>
      <c r="M162">
        <v>4</v>
      </c>
      <c r="N162">
        <v>63</v>
      </c>
      <c r="O162">
        <v>5634</v>
      </c>
      <c r="P162">
        <v>2.1724137931034484</v>
      </c>
      <c r="Q162">
        <v>63</v>
      </c>
      <c r="R162">
        <v>2.1724137931034484</v>
      </c>
      <c r="S162" t="s">
        <v>1062</v>
      </c>
      <c r="T162">
        <v>10</v>
      </c>
    </row>
    <row r="163" spans="1:20" x14ac:dyDescent="0.4">
      <c r="A163" t="s">
        <v>887</v>
      </c>
      <c r="B163" t="s">
        <v>51</v>
      </c>
      <c r="C163">
        <v>126</v>
      </c>
      <c r="D163" t="s">
        <v>23</v>
      </c>
      <c r="E163" s="23">
        <v>45219</v>
      </c>
      <c r="F163">
        <v>80</v>
      </c>
      <c r="G163">
        <v>3.8973118279569863</v>
      </c>
      <c r="H163" t="s">
        <v>1108</v>
      </c>
      <c r="I163">
        <v>4.7</v>
      </c>
      <c r="J163">
        <v>2024</v>
      </c>
      <c r="K163" t="s">
        <v>45</v>
      </c>
      <c r="L163" t="s">
        <v>1112</v>
      </c>
      <c r="M163">
        <v>5</v>
      </c>
      <c r="N163">
        <v>59</v>
      </c>
      <c r="O163">
        <v>6518</v>
      </c>
      <c r="P163">
        <v>0.73750000000000004</v>
      </c>
      <c r="Q163">
        <v>59</v>
      </c>
      <c r="R163">
        <v>0.73750000000000004</v>
      </c>
      <c r="S163" t="s">
        <v>1062</v>
      </c>
      <c r="T163">
        <v>10</v>
      </c>
    </row>
    <row r="164" spans="1:20" x14ac:dyDescent="0.4">
      <c r="A164" t="s">
        <v>892</v>
      </c>
      <c r="B164" t="s">
        <v>84</v>
      </c>
      <c r="C164">
        <v>54</v>
      </c>
      <c r="D164" t="s">
        <v>23</v>
      </c>
      <c r="E164" s="23">
        <v>45221</v>
      </c>
      <c r="F164">
        <v>120</v>
      </c>
      <c r="G164">
        <v>3.8973118279569863</v>
      </c>
      <c r="H164" t="s">
        <v>1108</v>
      </c>
      <c r="I164">
        <v>4.7</v>
      </c>
      <c r="J164">
        <v>2024</v>
      </c>
      <c r="K164" t="s">
        <v>3</v>
      </c>
      <c r="L164" t="s">
        <v>1109</v>
      </c>
      <c r="M164">
        <v>5</v>
      </c>
      <c r="N164">
        <v>59</v>
      </c>
      <c r="O164">
        <v>5009</v>
      </c>
      <c r="P164">
        <v>0.49166666666666664</v>
      </c>
      <c r="Q164">
        <v>59</v>
      </c>
      <c r="R164">
        <v>0.49166666666666664</v>
      </c>
      <c r="S164" t="s">
        <v>1062</v>
      </c>
      <c r="T164">
        <v>10</v>
      </c>
    </row>
    <row r="165" spans="1:20" x14ac:dyDescent="0.4">
      <c r="A165" t="s">
        <v>896</v>
      </c>
      <c r="B165" t="s">
        <v>32</v>
      </c>
      <c r="C165">
        <v>96</v>
      </c>
      <c r="D165" t="s">
        <v>23</v>
      </c>
      <c r="E165" s="23">
        <v>45222</v>
      </c>
      <c r="F165">
        <v>60</v>
      </c>
      <c r="G165">
        <v>3.8973118279569863</v>
      </c>
      <c r="H165" t="s">
        <v>1108</v>
      </c>
      <c r="I165">
        <v>4.5</v>
      </c>
      <c r="J165">
        <v>2024</v>
      </c>
      <c r="K165" t="s">
        <v>15</v>
      </c>
      <c r="L165" t="s">
        <v>1111</v>
      </c>
      <c r="M165">
        <v>5</v>
      </c>
      <c r="N165">
        <v>63</v>
      </c>
      <c r="O165">
        <v>5634</v>
      </c>
      <c r="P165">
        <v>1.05</v>
      </c>
      <c r="Q165">
        <v>63</v>
      </c>
      <c r="R165">
        <v>1.05</v>
      </c>
      <c r="S165" t="s">
        <v>1062</v>
      </c>
      <c r="T165">
        <v>10</v>
      </c>
    </row>
    <row r="166" spans="1:20" x14ac:dyDescent="0.4">
      <c r="A166" t="s">
        <v>910</v>
      </c>
      <c r="B166" t="s">
        <v>30</v>
      </c>
      <c r="C166">
        <v>143</v>
      </c>
      <c r="D166" t="s">
        <v>23</v>
      </c>
      <c r="E166" s="23">
        <v>45227</v>
      </c>
      <c r="F166">
        <v>58</v>
      </c>
      <c r="G166">
        <v>3.8973118279569863</v>
      </c>
      <c r="H166" t="s">
        <v>1108</v>
      </c>
      <c r="I166">
        <v>4.3</v>
      </c>
      <c r="J166">
        <v>2024</v>
      </c>
      <c r="K166" t="s">
        <v>48</v>
      </c>
      <c r="L166" t="s">
        <v>1112</v>
      </c>
      <c r="M166">
        <v>4</v>
      </c>
      <c r="N166">
        <v>69</v>
      </c>
      <c r="O166">
        <v>7230</v>
      </c>
      <c r="P166">
        <v>1.1896551724137931</v>
      </c>
      <c r="Q166">
        <v>69</v>
      </c>
      <c r="R166">
        <v>1.1896551724137931</v>
      </c>
      <c r="S166" t="s">
        <v>1062</v>
      </c>
      <c r="T166">
        <v>10</v>
      </c>
    </row>
    <row r="167" spans="1:20" x14ac:dyDescent="0.4">
      <c r="A167" t="s">
        <v>914</v>
      </c>
      <c r="B167" t="s">
        <v>11</v>
      </c>
      <c r="C167">
        <v>100</v>
      </c>
      <c r="D167" t="s">
        <v>23</v>
      </c>
      <c r="E167" s="23">
        <v>45227</v>
      </c>
      <c r="F167">
        <v>150</v>
      </c>
      <c r="G167">
        <v>3.8973118279569863</v>
      </c>
      <c r="H167" t="s">
        <v>1108</v>
      </c>
      <c r="I167">
        <v>2.6</v>
      </c>
      <c r="J167">
        <v>2024</v>
      </c>
      <c r="K167" t="s">
        <v>48</v>
      </c>
      <c r="L167" t="s">
        <v>1111</v>
      </c>
      <c r="M167">
        <v>3</v>
      </c>
      <c r="N167">
        <v>60</v>
      </c>
      <c r="O167">
        <v>5404</v>
      </c>
      <c r="P167">
        <v>0.4</v>
      </c>
      <c r="Q167">
        <v>60</v>
      </c>
      <c r="R167">
        <v>0.4</v>
      </c>
      <c r="S167" t="s">
        <v>1062</v>
      </c>
      <c r="T167">
        <v>10</v>
      </c>
    </row>
    <row r="168" spans="1:20" x14ac:dyDescent="0.4">
      <c r="A168" t="s">
        <v>922</v>
      </c>
      <c r="B168" t="s">
        <v>8</v>
      </c>
      <c r="C168">
        <v>165</v>
      </c>
      <c r="D168" t="s">
        <v>23</v>
      </c>
      <c r="E168" s="23">
        <v>45231</v>
      </c>
      <c r="F168">
        <v>66</v>
      </c>
      <c r="G168">
        <v>3.8973118279569863</v>
      </c>
      <c r="H168" t="s">
        <v>1108</v>
      </c>
      <c r="I168">
        <v>4.8</v>
      </c>
      <c r="J168">
        <v>2024</v>
      </c>
      <c r="K168" t="s">
        <v>33</v>
      </c>
      <c r="L168" t="s">
        <v>1112</v>
      </c>
      <c r="M168">
        <v>5</v>
      </c>
      <c r="N168">
        <v>79</v>
      </c>
      <c r="O168">
        <v>7747</v>
      </c>
      <c r="P168">
        <v>1.196969696969697</v>
      </c>
      <c r="Q168">
        <v>79</v>
      </c>
      <c r="R168">
        <v>1.196969696969697</v>
      </c>
      <c r="S168" t="s">
        <v>1063</v>
      </c>
      <c r="T168">
        <v>11</v>
      </c>
    </row>
    <row r="169" spans="1:20" x14ac:dyDescent="0.4">
      <c r="A169" t="s">
        <v>924</v>
      </c>
      <c r="B169" t="s">
        <v>11</v>
      </c>
      <c r="C169">
        <v>103</v>
      </c>
      <c r="D169" t="s">
        <v>23</v>
      </c>
      <c r="E169" s="23">
        <v>45232</v>
      </c>
      <c r="F169">
        <v>66</v>
      </c>
      <c r="G169">
        <v>3.8973118279569863</v>
      </c>
      <c r="H169" t="s">
        <v>1108</v>
      </c>
      <c r="I169">
        <v>4.4000000000000004</v>
      </c>
      <c r="J169">
        <v>2024</v>
      </c>
      <c r="K169" t="s">
        <v>37</v>
      </c>
      <c r="L169" t="s">
        <v>1111</v>
      </c>
      <c r="M169">
        <v>4</v>
      </c>
      <c r="N169">
        <v>60</v>
      </c>
      <c r="O169">
        <v>5404</v>
      </c>
      <c r="P169">
        <v>0.90909090909090906</v>
      </c>
      <c r="Q169">
        <v>60</v>
      </c>
      <c r="R169">
        <v>0.90909090909090906</v>
      </c>
      <c r="S169" t="s">
        <v>1063</v>
      </c>
      <c r="T169">
        <v>11</v>
      </c>
    </row>
    <row r="170" spans="1:20" x14ac:dyDescent="0.4">
      <c r="A170" t="s">
        <v>929</v>
      </c>
      <c r="B170" t="s">
        <v>11</v>
      </c>
      <c r="C170">
        <v>105</v>
      </c>
      <c r="D170" t="s">
        <v>23</v>
      </c>
      <c r="E170" s="23">
        <v>45237</v>
      </c>
      <c r="F170">
        <v>112</v>
      </c>
      <c r="G170">
        <v>3.8973118279569863</v>
      </c>
      <c r="H170" t="s">
        <v>1108</v>
      </c>
      <c r="I170">
        <v>3.2</v>
      </c>
      <c r="J170">
        <v>2024</v>
      </c>
      <c r="K170" t="s">
        <v>18</v>
      </c>
      <c r="L170" t="s">
        <v>1111</v>
      </c>
      <c r="M170">
        <v>3</v>
      </c>
      <c r="N170">
        <v>60</v>
      </c>
      <c r="O170">
        <v>5404</v>
      </c>
      <c r="P170">
        <v>0.5357142857142857</v>
      </c>
      <c r="Q170">
        <v>60</v>
      </c>
      <c r="R170">
        <v>0.5357142857142857</v>
      </c>
      <c r="S170" t="s">
        <v>1063</v>
      </c>
      <c r="T170">
        <v>11</v>
      </c>
    </row>
    <row r="171" spans="1:20" x14ac:dyDescent="0.4">
      <c r="A171" t="s">
        <v>935</v>
      </c>
      <c r="B171" t="s">
        <v>6</v>
      </c>
      <c r="C171">
        <v>108</v>
      </c>
      <c r="D171" t="s">
        <v>23</v>
      </c>
      <c r="E171" s="23">
        <v>45239</v>
      </c>
      <c r="F171">
        <v>130</v>
      </c>
      <c r="G171">
        <v>3.8973118279569863</v>
      </c>
      <c r="H171" t="s">
        <v>1108</v>
      </c>
      <c r="I171">
        <v>2.7</v>
      </c>
      <c r="J171">
        <v>2024</v>
      </c>
      <c r="K171" t="s">
        <v>37</v>
      </c>
      <c r="L171" t="s">
        <v>1111</v>
      </c>
      <c r="M171">
        <v>3</v>
      </c>
      <c r="N171">
        <v>82</v>
      </c>
      <c r="O171">
        <v>7689</v>
      </c>
      <c r="P171">
        <v>0.63076923076923075</v>
      </c>
      <c r="Q171">
        <v>82</v>
      </c>
      <c r="R171">
        <v>0.63076923076923075</v>
      </c>
      <c r="S171" t="s">
        <v>1063</v>
      </c>
      <c r="T171">
        <v>11</v>
      </c>
    </row>
    <row r="172" spans="1:20" x14ac:dyDescent="0.4">
      <c r="A172" t="s">
        <v>938</v>
      </c>
      <c r="B172" t="s">
        <v>26</v>
      </c>
      <c r="C172">
        <v>89</v>
      </c>
      <c r="D172" t="s">
        <v>23</v>
      </c>
      <c r="E172" s="23">
        <v>45240</v>
      </c>
      <c r="F172">
        <v>88</v>
      </c>
      <c r="G172">
        <v>3.8973118279569863</v>
      </c>
      <c r="H172" t="s">
        <v>1108</v>
      </c>
      <c r="I172">
        <v>4.9000000000000004</v>
      </c>
      <c r="J172">
        <v>2024</v>
      </c>
      <c r="K172" t="s">
        <v>45</v>
      </c>
      <c r="L172" t="s">
        <v>1111</v>
      </c>
      <c r="M172">
        <v>5</v>
      </c>
      <c r="N172">
        <v>72</v>
      </c>
      <c r="O172">
        <v>6242</v>
      </c>
      <c r="P172">
        <v>0.81818181818181823</v>
      </c>
      <c r="Q172">
        <v>72</v>
      </c>
      <c r="R172">
        <v>0.81818181818181823</v>
      </c>
      <c r="S172" t="s">
        <v>1063</v>
      </c>
      <c r="T172">
        <v>11</v>
      </c>
    </row>
    <row r="173" spans="1:20" x14ac:dyDescent="0.4">
      <c r="A173" t="s">
        <v>940</v>
      </c>
      <c r="B173" t="s">
        <v>51</v>
      </c>
      <c r="C173">
        <v>84</v>
      </c>
      <c r="D173" t="s">
        <v>23</v>
      </c>
      <c r="E173" s="23">
        <v>45241</v>
      </c>
      <c r="F173">
        <v>66</v>
      </c>
      <c r="G173">
        <v>3.8973118279569863</v>
      </c>
      <c r="H173" t="s">
        <v>1108</v>
      </c>
      <c r="I173">
        <v>4.7</v>
      </c>
      <c r="J173">
        <v>2024</v>
      </c>
      <c r="K173" t="s">
        <v>48</v>
      </c>
      <c r="L173" t="s">
        <v>1111</v>
      </c>
      <c r="M173">
        <v>5</v>
      </c>
      <c r="N173">
        <v>59</v>
      </c>
      <c r="O173">
        <v>6518</v>
      </c>
      <c r="P173">
        <v>0.89393939393939392</v>
      </c>
      <c r="Q173">
        <v>59</v>
      </c>
      <c r="R173">
        <v>0.89393939393939392</v>
      </c>
      <c r="S173" t="s">
        <v>1063</v>
      </c>
      <c r="T173">
        <v>11</v>
      </c>
    </row>
    <row r="174" spans="1:20" x14ac:dyDescent="0.4">
      <c r="A174" t="s">
        <v>968</v>
      </c>
      <c r="B174" t="s">
        <v>21</v>
      </c>
      <c r="C174">
        <v>158</v>
      </c>
      <c r="D174" t="s">
        <v>23</v>
      </c>
      <c r="E174" s="23">
        <v>45254</v>
      </c>
      <c r="F174">
        <v>148</v>
      </c>
      <c r="G174">
        <v>3.8973118279569863</v>
      </c>
      <c r="H174" t="s">
        <v>1108</v>
      </c>
      <c r="I174">
        <v>4</v>
      </c>
      <c r="J174">
        <v>2024</v>
      </c>
      <c r="K174" t="s">
        <v>45</v>
      </c>
      <c r="L174" t="s">
        <v>1112</v>
      </c>
      <c r="M174">
        <v>4</v>
      </c>
      <c r="N174">
        <v>67</v>
      </c>
      <c r="O174">
        <v>7216</v>
      </c>
      <c r="P174">
        <v>0.45270270270270269</v>
      </c>
      <c r="Q174">
        <v>67</v>
      </c>
      <c r="R174">
        <v>0.45270270270270269</v>
      </c>
      <c r="S174" t="s">
        <v>1063</v>
      </c>
      <c r="T174">
        <v>11</v>
      </c>
    </row>
    <row r="175" spans="1:20" x14ac:dyDescent="0.4">
      <c r="A175" t="s">
        <v>971</v>
      </c>
      <c r="B175" t="s">
        <v>13</v>
      </c>
      <c r="C175">
        <v>104</v>
      </c>
      <c r="D175" t="s">
        <v>23</v>
      </c>
      <c r="E175" s="23">
        <v>45256</v>
      </c>
      <c r="F175">
        <v>41</v>
      </c>
      <c r="G175">
        <v>3.8973118279569863</v>
      </c>
      <c r="H175" t="s">
        <v>1108</v>
      </c>
      <c r="I175">
        <v>4.7</v>
      </c>
      <c r="J175">
        <v>2024</v>
      </c>
      <c r="K175" t="s">
        <v>3</v>
      </c>
      <c r="L175" t="s">
        <v>1111</v>
      </c>
      <c r="M175">
        <v>5</v>
      </c>
      <c r="N175">
        <v>74</v>
      </c>
      <c r="O175">
        <v>6749</v>
      </c>
      <c r="P175">
        <v>1.8048780487804879</v>
      </c>
      <c r="Q175">
        <v>74</v>
      </c>
      <c r="R175">
        <v>1.8048780487804879</v>
      </c>
      <c r="S175" t="s">
        <v>1063</v>
      </c>
      <c r="T175">
        <v>11</v>
      </c>
    </row>
    <row r="176" spans="1:20" x14ac:dyDescent="0.4">
      <c r="A176" t="s">
        <v>979</v>
      </c>
      <c r="B176" t="s">
        <v>6</v>
      </c>
      <c r="C176">
        <v>126</v>
      </c>
      <c r="D176" t="s">
        <v>23</v>
      </c>
      <c r="E176" s="23">
        <v>45261</v>
      </c>
      <c r="F176">
        <v>33</v>
      </c>
      <c r="G176">
        <v>3.8973118279569863</v>
      </c>
      <c r="H176" t="s">
        <v>1108</v>
      </c>
      <c r="I176">
        <v>4.8</v>
      </c>
      <c r="J176">
        <v>2024</v>
      </c>
      <c r="K176" t="s">
        <v>45</v>
      </c>
      <c r="L176" t="s">
        <v>1112</v>
      </c>
      <c r="M176">
        <v>5</v>
      </c>
      <c r="N176">
        <v>82</v>
      </c>
      <c r="O176">
        <v>7689</v>
      </c>
      <c r="P176">
        <v>2.4848484848484849</v>
      </c>
      <c r="Q176">
        <v>82</v>
      </c>
      <c r="R176">
        <v>2.4848484848484849</v>
      </c>
      <c r="S176" t="s">
        <v>1064</v>
      </c>
      <c r="T176">
        <v>12</v>
      </c>
    </row>
    <row r="177" spans="1:20" x14ac:dyDescent="0.4">
      <c r="A177" t="s">
        <v>981</v>
      </c>
      <c r="B177" t="s">
        <v>6</v>
      </c>
      <c r="C177">
        <v>133</v>
      </c>
      <c r="D177" t="s">
        <v>23</v>
      </c>
      <c r="E177" s="23">
        <v>45261</v>
      </c>
      <c r="F177">
        <v>45</v>
      </c>
      <c r="G177">
        <v>3.8973118279569863</v>
      </c>
      <c r="H177" t="s">
        <v>1108</v>
      </c>
      <c r="I177">
        <v>2.6</v>
      </c>
      <c r="J177">
        <v>2024</v>
      </c>
      <c r="K177" t="s">
        <v>45</v>
      </c>
      <c r="L177" t="s">
        <v>1112</v>
      </c>
      <c r="M177">
        <v>3</v>
      </c>
      <c r="N177">
        <v>82</v>
      </c>
      <c r="O177">
        <v>7689</v>
      </c>
      <c r="P177">
        <v>1.8222222222222222</v>
      </c>
      <c r="Q177">
        <v>82</v>
      </c>
      <c r="R177">
        <v>1.8222222222222222</v>
      </c>
      <c r="S177" t="s">
        <v>1064</v>
      </c>
      <c r="T177">
        <v>12</v>
      </c>
    </row>
    <row r="178" spans="1:20" x14ac:dyDescent="0.4">
      <c r="A178" t="s">
        <v>989</v>
      </c>
      <c r="B178" t="s">
        <v>26</v>
      </c>
      <c r="C178">
        <v>38</v>
      </c>
      <c r="D178" t="s">
        <v>23</v>
      </c>
      <c r="E178" s="23">
        <v>45265</v>
      </c>
      <c r="F178">
        <v>27</v>
      </c>
      <c r="G178">
        <v>3.8973118279569863</v>
      </c>
      <c r="H178" t="s">
        <v>1108</v>
      </c>
      <c r="I178">
        <v>3.1</v>
      </c>
      <c r="J178">
        <v>2024</v>
      </c>
      <c r="K178" t="s">
        <v>18</v>
      </c>
      <c r="L178" t="s">
        <v>1109</v>
      </c>
      <c r="M178">
        <v>3</v>
      </c>
      <c r="N178">
        <v>72</v>
      </c>
      <c r="O178">
        <v>6242</v>
      </c>
      <c r="P178">
        <v>2.6666666666666665</v>
      </c>
      <c r="Q178">
        <v>72</v>
      </c>
      <c r="R178">
        <v>2.6666666666666665</v>
      </c>
      <c r="S178" t="s">
        <v>1064</v>
      </c>
      <c r="T178">
        <v>12</v>
      </c>
    </row>
    <row r="179" spans="1:20" x14ac:dyDescent="0.4">
      <c r="A179" t="s">
        <v>990</v>
      </c>
      <c r="B179" t="s">
        <v>30</v>
      </c>
      <c r="C179">
        <v>78</v>
      </c>
      <c r="D179" t="s">
        <v>23</v>
      </c>
      <c r="E179" s="23">
        <v>45267</v>
      </c>
      <c r="F179">
        <v>200</v>
      </c>
      <c r="G179">
        <v>3.8973118279569863</v>
      </c>
      <c r="H179" t="s">
        <v>1108</v>
      </c>
      <c r="I179">
        <v>2.4</v>
      </c>
      <c r="J179">
        <v>2024</v>
      </c>
      <c r="K179" t="s">
        <v>37</v>
      </c>
      <c r="L179" t="s">
        <v>1111</v>
      </c>
      <c r="M179">
        <v>2</v>
      </c>
      <c r="N179">
        <v>69</v>
      </c>
      <c r="O179">
        <v>7230</v>
      </c>
      <c r="P179">
        <v>0.34499999999999997</v>
      </c>
      <c r="Q179">
        <v>69</v>
      </c>
      <c r="R179">
        <v>0.34499999999999997</v>
      </c>
      <c r="S179" t="s">
        <v>1064</v>
      </c>
      <c r="T179">
        <v>12</v>
      </c>
    </row>
    <row r="180" spans="1:20" x14ac:dyDescent="0.4">
      <c r="A180" t="s">
        <v>997</v>
      </c>
      <c r="B180" t="s">
        <v>44</v>
      </c>
      <c r="C180">
        <v>46</v>
      </c>
      <c r="D180" t="s">
        <v>23</v>
      </c>
      <c r="E180" s="23">
        <v>45274</v>
      </c>
      <c r="F180">
        <v>135</v>
      </c>
      <c r="G180">
        <v>3.8973118279569863</v>
      </c>
      <c r="H180" t="s">
        <v>1108</v>
      </c>
      <c r="I180">
        <v>4.2</v>
      </c>
      <c r="J180">
        <v>2024</v>
      </c>
      <c r="K180" t="s">
        <v>37</v>
      </c>
      <c r="L180" t="s">
        <v>1109</v>
      </c>
      <c r="M180">
        <v>4</v>
      </c>
      <c r="N180">
        <v>62</v>
      </c>
      <c r="O180">
        <v>6176</v>
      </c>
      <c r="P180">
        <v>0.45925925925925926</v>
      </c>
      <c r="Q180">
        <v>62</v>
      </c>
      <c r="R180">
        <v>0.45925925925925926</v>
      </c>
      <c r="S180" t="s">
        <v>1064</v>
      </c>
      <c r="T180">
        <v>12</v>
      </c>
    </row>
    <row r="181" spans="1:20" x14ac:dyDescent="0.4">
      <c r="A181" t="s">
        <v>999</v>
      </c>
      <c r="B181" t="s">
        <v>21</v>
      </c>
      <c r="C181">
        <v>96</v>
      </c>
      <c r="D181" t="s">
        <v>23</v>
      </c>
      <c r="E181" s="23">
        <v>45275</v>
      </c>
      <c r="F181">
        <v>115</v>
      </c>
      <c r="G181">
        <v>3.8973118279569863</v>
      </c>
      <c r="H181" t="s">
        <v>1108</v>
      </c>
      <c r="I181">
        <v>4.9000000000000004</v>
      </c>
      <c r="J181">
        <v>2024</v>
      </c>
      <c r="K181" t="s">
        <v>45</v>
      </c>
      <c r="L181" t="s">
        <v>1111</v>
      </c>
      <c r="M181">
        <v>5</v>
      </c>
      <c r="N181">
        <v>67</v>
      </c>
      <c r="O181">
        <v>7216</v>
      </c>
      <c r="P181">
        <v>0.58260869565217388</v>
      </c>
      <c r="Q181">
        <v>67</v>
      </c>
      <c r="R181">
        <v>0.58260869565217388</v>
      </c>
      <c r="S181" t="s">
        <v>1064</v>
      </c>
      <c r="T181">
        <v>12</v>
      </c>
    </row>
    <row r="182" spans="1:20" x14ac:dyDescent="0.4">
      <c r="A182" t="s">
        <v>1004</v>
      </c>
      <c r="B182" t="s">
        <v>26</v>
      </c>
      <c r="C182">
        <v>147</v>
      </c>
      <c r="D182" t="s">
        <v>23</v>
      </c>
      <c r="E182" s="23">
        <v>45276</v>
      </c>
      <c r="F182">
        <v>76</v>
      </c>
      <c r="G182">
        <v>3.8973118279569863</v>
      </c>
      <c r="H182" t="s">
        <v>1108</v>
      </c>
      <c r="I182">
        <v>4.7</v>
      </c>
      <c r="J182">
        <v>2024</v>
      </c>
      <c r="K182" t="s">
        <v>48</v>
      </c>
      <c r="L182" t="s">
        <v>1112</v>
      </c>
      <c r="M182">
        <v>5</v>
      </c>
      <c r="N182">
        <v>72</v>
      </c>
      <c r="O182">
        <v>6242</v>
      </c>
      <c r="P182">
        <v>0.94736842105263153</v>
      </c>
      <c r="Q182">
        <v>72</v>
      </c>
      <c r="R182">
        <v>0.94736842105263153</v>
      </c>
      <c r="S182" t="s">
        <v>1064</v>
      </c>
      <c r="T182">
        <v>12</v>
      </c>
    </row>
    <row r="183" spans="1:20" x14ac:dyDescent="0.4">
      <c r="A183" t="s">
        <v>1005</v>
      </c>
      <c r="B183" t="s">
        <v>51</v>
      </c>
      <c r="C183">
        <v>126</v>
      </c>
      <c r="D183" t="s">
        <v>23</v>
      </c>
      <c r="E183" s="23">
        <v>45276</v>
      </c>
      <c r="F183">
        <v>185</v>
      </c>
      <c r="G183">
        <v>3.8973118279569863</v>
      </c>
      <c r="H183" t="s">
        <v>1108</v>
      </c>
      <c r="I183">
        <v>4.8</v>
      </c>
      <c r="J183">
        <v>2024</v>
      </c>
      <c r="K183" t="s">
        <v>48</v>
      </c>
      <c r="L183" t="s">
        <v>1112</v>
      </c>
      <c r="M183">
        <v>5</v>
      </c>
      <c r="N183">
        <v>59</v>
      </c>
      <c r="O183">
        <v>6518</v>
      </c>
      <c r="P183">
        <v>0.31891891891891894</v>
      </c>
      <c r="Q183">
        <v>59</v>
      </c>
      <c r="R183">
        <v>0.31891891891891894</v>
      </c>
      <c r="S183" t="s">
        <v>1064</v>
      </c>
      <c r="T183">
        <v>12</v>
      </c>
    </row>
    <row r="184" spans="1:20" x14ac:dyDescent="0.4">
      <c r="A184" t="s">
        <v>1007</v>
      </c>
      <c r="B184" t="s">
        <v>30</v>
      </c>
      <c r="C184">
        <v>32</v>
      </c>
      <c r="D184" t="s">
        <v>23</v>
      </c>
      <c r="E184" s="23">
        <v>45277</v>
      </c>
      <c r="F184">
        <v>148</v>
      </c>
      <c r="G184">
        <v>3.8973118279569863</v>
      </c>
      <c r="H184" t="s">
        <v>1108</v>
      </c>
      <c r="I184">
        <v>4</v>
      </c>
      <c r="J184">
        <v>2024</v>
      </c>
      <c r="K184" t="s">
        <v>3</v>
      </c>
      <c r="L184" t="s">
        <v>1109</v>
      </c>
      <c r="M184">
        <v>4</v>
      </c>
      <c r="N184">
        <v>69</v>
      </c>
      <c r="O184">
        <v>7230</v>
      </c>
      <c r="P184">
        <v>0.46621621621621623</v>
      </c>
      <c r="Q184">
        <v>69</v>
      </c>
      <c r="R184">
        <v>0.46621621621621623</v>
      </c>
      <c r="S184" t="s">
        <v>1064</v>
      </c>
      <c r="T184">
        <v>12</v>
      </c>
    </row>
    <row r="185" spans="1:20" x14ac:dyDescent="0.4">
      <c r="A185" t="s">
        <v>1010</v>
      </c>
      <c r="B185" t="s">
        <v>13</v>
      </c>
      <c r="C185">
        <v>93</v>
      </c>
      <c r="D185" t="s">
        <v>23</v>
      </c>
      <c r="E185" s="23">
        <v>45280</v>
      </c>
      <c r="F185">
        <v>38</v>
      </c>
      <c r="G185">
        <v>3.8973118279569863</v>
      </c>
      <c r="H185" t="s">
        <v>1108</v>
      </c>
      <c r="I185">
        <v>4.5</v>
      </c>
      <c r="J185">
        <v>2024</v>
      </c>
      <c r="K185" t="s">
        <v>33</v>
      </c>
      <c r="L185" t="s">
        <v>1111</v>
      </c>
      <c r="M185">
        <v>5</v>
      </c>
      <c r="N185">
        <v>74</v>
      </c>
      <c r="O185">
        <v>6749</v>
      </c>
      <c r="P185">
        <v>1.9473684210526316</v>
      </c>
      <c r="Q185">
        <v>74</v>
      </c>
      <c r="R185">
        <v>1.9473684210526316</v>
      </c>
      <c r="S185" t="s">
        <v>1064</v>
      </c>
      <c r="T185">
        <v>12</v>
      </c>
    </row>
    <row r="186" spans="1:20" x14ac:dyDescent="0.4">
      <c r="A186" t="s">
        <v>1012</v>
      </c>
      <c r="B186" t="s">
        <v>84</v>
      </c>
      <c r="C186">
        <v>89</v>
      </c>
      <c r="D186" t="s">
        <v>23</v>
      </c>
      <c r="E186" s="23">
        <v>45284</v>
      </c>
      <c r="F186">
        <v>88</v>
      </c>
      <c r="G186">
        <v>3.8973118279569863</v>
      </c>
      <c r="H186" t="s">
        <v>1108</v>
      </c>
      <c r="I186">
        <v>2.8</v>
      </c>
      <c r="J186">
        <v>2024</v>
      </c>
      <c r="K186" t="s">
        <v>3</v>
      </c>
      <c r="L186" t="s">
        <v>1111</v>
      </c>
      <c r="M186">
        <v>3</v>
      </c>
      <c r="N186">
        <v>59</v>
      </c>
      <c r="O186">
        <v>5009</v>
      </c>
      <c r="P186">
        <v>0.67045454545454541</v>
      </c>
      <c r="Q186">
        <v>59</v>
      </c>
      <c r="R186">
        <v>0.67045454545454541</v>
      </c>
      <c r="S186" t="s">
        <v>1064</v>
      </c>
      <c r="T186">
        <v>12</v>
      </c>
    </row>
    <row r="187" spans="1:20" x14ac:dyDescent="0.4">
      <c r="A187" t="s">
        <v>1018</v>
      </c>
      <c r="B187" t="s">
        <v>1</v>
      </c>
      <c r="C187">
        <v>106</v>
      </c>
      <c r="D187" t="s">
        <v>23</v>
      </c>
      <c r="E187" s="23">
        <v>45287</v>
      </c>
      <c r="F187">
        <v>46</v>
      </c>
      <c r="G187">
        <v>3.8973118279569863</v>
      </c>
      <c r="H187" t="s">
        <v>1108</v>
      </c>
      <c r="I187">
        <v>4.5999999999999996</v>
      </c>
      <c r="J187">
        <v>2024</v>
      </c>
      <c r="K187" t="s">
        <v>33</v>
      </c>
      <c r="L187" t="s">
        <v>1111</v>
      </c>
      <c r="M187">
        <v>5</v>
      </c>
      <c r="N187">
        <v>50</v>
      </c>
      <c r="O187">
        <v>4804</v>
      </c>
      <c r="P187">
        <v>1.0869565217391304</v>
      </c>
      <c r="Q187">
        <v>50</v>
      </c>
      <c r="R187">
        <v>1.0869565217391304</v>
      </c>
      <c r="S187" t="s">
        <v>1064</v>
      </c>
      <c r="T187">
        <v>12</v>
      </c>
    </row>
    <row r="188" spans="1:20" x14ac:dyDescent="0.4">
      <c r="A188" t="s">
        <v>1025</v>
      </c>
      <c r="B188" t="s">
        <v>44</v>
      </c>
      <c r="C188">
        <v>95</v>
      </c>
      <c r="D188" t="s">
        <v>23</v>
      </c>
      <c r="E188" s="23">
        <v>45289</v>
      </c>
      <c r="F188">
        <v>50</v>
      </c>
      <c r="G188">
        <v>3.8973118279569863</v>
      </c>
      <c r="H188" t="s">
        <v>1108</v>
      </c>
      <c r="I188">
        <v>2.9</v>
      </c>
      <c r="J188">
        <v>2024</v>
      </c>
      <c r="K188" t="s">
        <v>45</v>
      </c>
      <c r="L188" t="s">
        <v>1111</v>
      </c>
      <c r="M188">
        <v>3</v>
      </c>
      <c r="N188">
        <v>62</v>
      </c>
      <c r="O188">
        <v>6176</v>
      </c>
      <c r="P188">
        <v>1.24</v>
      </c>
      <c r="Q188">
        <v>62</v>
      </c>
      <c r="R188">
        <v>1.24</v>
      </c>
      <c r="S188" t="s">
        <v>1064</v>
      </c>
      <c r="T188">
        <v>12</v>
      </c>
    </row>
    <row r="189" spans="1:20" x14ac:dyDescent="0.4">
      <c r="A189" t="s">
        <v>1028</v>
      </c>
      <c r="B189" t="s">
        <v>21</v>
      </c>
      <c r="C189">
        <v>127</v>
      </c>
      <c r="D189" t="s">
        <v>23</v>
      </c>
      <c r="E189" s="23">
        <v>45290</v>
      </c>
      <c r="F189">
        <v>215</v>
      </c>
      <c r="G189">
        <v>3.8973118279569863</v>
      </c>
      <c r="H189" t="s">
        <v>1108</v>
      </c>
      <c r="I189">
        <v>3.8</v>
      </c>
      <c r="J189">
        <v>2024</v>
      </c>
      <c r="K189" t="s">
        <v>48</v>
      </c>
      <c r="L189" t="s">
        <v>1112</v>
      </c>
      <c r="M189">
        <v>4</v>
      </c>
      <c r="N189">
        <v>67</v>
      </c>
      <c r="O189">
        <v>7216</v>
      </c>
      <c r="P189">
        <v>0.3116279069767442</v>
      </c>
      <c r="Q189">
        <v>67</v>
      </c>
      <c r="R189">
        <v>0.3116279069767442</v>
      </c>
      <c r="S189" t="s">
        <v>1064</v>
      </c>
      <c r="T189">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A3B3-DAF6-4EA2-8EFB-915259122820}">
  <dimension ref="A1:T203"/>
  <sheetViews>
    <sheetView workbookViewId="0">
      <selection activeCell="B12" sqref="B12"/>
    </sheetView>
  </sheetViews>
  <sheetFormatPr defaultRowHeight="15" x14ac:dyDescent="0.4"/>
  <cols>
    <col min="1" max="1" width="15.1328125" bestFit="1" customWidth="1"/>
    <col min="2" max="2" width="15.3984375" bestFit="1" customWidth="1"/>
    <col min="3" max="3" width="12.73046875" bestFit="1" customWidth="1"/>
    <col min="4" max="4" width="16.59765625" bestFit="1" customWidth="1"/>
    <col min="5" max="5" width="14.86328125" bestFit="1" customWidth="1"/>
    <col min="6" max="6" width="19" bestFit="1" customWidth="1"/>
    <col min="7" max="7" width="17.73046875" bestFit="1" customWidth="1"/>
    <col min="8" max="8" width="12.3984375" bestFit="1" customWidth="1"/>
    <col min="9" max="9" width="19.53125" bestFit="1" customWidth="1"/>
    <col min="10" max="10" width="8.46484375" bestFit="1" customWidth="1"/>
    <col min="11" max="11" width="15" bestFit="1" customWidth="1"/>
    <col min="12" max="12" width="17.796875" bestFit="1" customWidth="1"/>
    <col min="13" max="13" width="17.19921875" bestFit="1" customWidth="1"/>
    <col min="14" max="14" width="26.6640625" bestFit="1" customWidth="1"/>
    <col min="15" max="15" width="24.1328125" bestFit="1" customWidth="1"/>
    <col min="16" max="16" width="25.53125" bestFit="1" customWidth="1"/>
    <col min="17" max="17" width="13.3984375" bestFit="1" customWidth="1"/>
    <col min="18" max="18" width="21.265625" bestFit="1" customWidth="1"/>
    <col min="19" max="19" width="21.3984375" bestFit="1" customWidth="1"/>
    <col min="20" max="20" width="25.59765625" bestFit="1" customWidth="1"/>
  </cols>
  <sheetData>
    <row r="1" spans="1:20" x14ac:dyDescent="0.4">
      <c r="A1" s="1" t="s">
        <v>1116</v>
      </c>
    </row>
    <row r="3" spans="1:20" x14ac:dyDescent="0.4">
      <c r="A3" t="s">
        <v>1088</v>
      </c>
      <c r="B3" t="s">
        <v>1089</v>
      </c>
      <c r="C3" t="s">
        <v>1090</v>
      </c>
      <c r="D3" t="s">
        <v>1091</v>
      </c>
      <c r="E3" t="s">
        <v>1092</v>
      </c>
      <c r="F3" t="s">
        <v>1093</v>
      </c>
      <c r="G3" t="s">
        <v>1094</v>
      </c>
      <c r="H3" t="s">
        <v>1095</v>
      </c>
      <c r="I3" t="s">
        <v>1096</v>
      </c>
      <c r="J3" t="s">
        <v>1097</v>
      </c>
      <c r="K3" t="s">
        <v>1098</v>
      </c>
      <c r="L3" t="s">
        <v>1099</v>
      </c>
      <c r="M3" t="s">
        <v>1100</v>
      </c>
      <c r="N3" t="s">
        <v>1101</v>
      </c>
      <c r="O3" t="s">
        <v>1102</v>
      </c>
      <c r="P3" t="s">
        <v>1103</v>
      </c>
      <c r="Q3" t="s">
        <v>1104</v>
      </c>
      <c r="R3" t="s">
        <v>1105</v>
      </c>
      <c r="S3" t="s">
        <v>1106</v>
      </c>
      <c r="T3" t="s">
        <v>1107</v>
      </c>
    </row>
    <row r="4" spans="1:20" x14ac:dyDescent="0.4">
      <c r="A4" t="s">
        <v>0</v>
      </c>
      <c r="B4" t="s">
        <v>1</v>
      </c>
      <c r="C4">
        <v>116</v>
      </c>
      <c r="D4" t="s">
        <v>2</v>
      </c>
      <c r="E4" s="23">
        <v>44927</v>
      </c>
      <c r="F4">
        <v>128</v>
      </c>
      <c r="G4">
        <v>3.8824999999999998</v>
      </c>
      <c r="H4" t="s">
        <v>1108</v>
      </c>
      <c r="I4">
        <v>4.9000000000000004</v>
      </c>
      <c r="J4">
        <v>2023</v>
      </c>
      <c r="K4" t="s">
        <v>3</v>
      </c>
      <c r="L4" t="s">
        <v>1111</v>
      </c>
      <c r="M4">
        <v>5</v>
      </c>
      <c r="N4">
        <v>50</v>
      </c>
      <c r="O4">
        <v>4804</v>
      </c>
      <c r="P4">
        <v>0.390625</v>
      </c>
      <c r="Q4">
        <v>50</v>
      </c>
      <c r="R4">
        <v>0.390625</v>
      </c>
      <c r="S4" t="s">
        <v>1053</v>
      </c>
      <c r="T4">
        <v>1</v>
      </c>
    </row>
    <row r="5" spans="1:20" x14ac:dyDescent="0.4">
      <c r="A5" t="s">
        <v>5</v>
      </c>
      <c r="B5" t="s">
        <v>6</v>
      </c>
      <c r="C5">
        <v>119</v>
      </c>
      <c r="D5" t="s">
        <v>2</v>
      </c>
      <c r="E5" s="23">
        <v>44927</v>
      </c>
      <c r="F5">
        <v>135</v>
      </c>
      <c r="G5">
        <v>3.8824999999999998</v>
      </c>
      <c r="H5" t="s">
        <v>1108</v>
      </c>
      <c r="I5">
        <v>2.9</v>
      </c>
      <c r="J5">
        <v>2023</v>
      </c>
      <c r="K5" t="s">
        <v>3</v>
      </c>
      <c r="L5" t="s">
        <v>1111</v>
      </c>
      <c r="M5">
        <v>3</v>
      </c>
      <c r="N5">
        <v>82</v>
      </c>
      <c r="O5">
        <v>7689</v>
      </c>
      <c r="P5">
        <v>0.6074074074074074</v>
      </c>
      <c r="Q5">
        <v>82</v>
      </c>
      <c r="R5">
        <v>0.6074074074074074</v>
      </c>
      <c r="S5" t="s">
        <v>1053</v>
      </c>
      <c r="T5">
        <v>1</v>
      </c>
    </row>
    <row r="6" spans="1:20" x14ac:dyDescent="0.4">
      <c r="A6" t="s">
        <v>20</v>
      </c>
      <c r="B6" t="s">
        <v>21</v>
      </c>
      <c r="C6">
        <v>84</v>
      </c>
      <c r="D6" t="s">
        <v>2</v>
      </c>
      <c r="E6" s="23">
        <v>44929</v>
      </c>
      <c r="F6">
        <v>60</v>
      </c>
      <c r="G6">
        <v>3.8824999999999998</v>
      </c>
      <c r="H6" t="s">
        <v>1108</v>
      </c>
      <c r="I6">
        <v>4.7</v>
      </c>
      <c r="J6">
        <v>2023</v>
      </c>
      <c r="K6" t="s">
        <v>18</v>
      </c>
      <c r="L6" t="s">
        <v>1111</v>
      </c>
      <c r="M6">
        <v>5</v>
      </c>
      <c r="N6">
        <v>67</v>
      </c>
      <c r="O6">
        <v>7216</v>
      </c>
      <c r="P6">
        <v>1.1166666666666667</v>
      </c>
      <c r="Q6">
        <v>67</v>
      </c>
      <c r="R6">
        <v>1.1166666666666667</v>
      </c>
      <c r="S6" t="s">
        <v>1053</v>
      </c>
      <c r="T6">
        <v>1</v>
      </c>
    </row>
    <row r="7" spans="1:20" x14ac:dyDescent="0.4">
      <c r="A7" t="s">
        <v>29</v>
      </c>
      <c r="B7" t="s">
        <v>30</v>
      </c>
      <c r="C7">
        <v>135</v>
      </c>
      <c r="D7" t="s">
        <v>2</v>
      </c>
      <c r="E7" s="23">
        <v>44929</v>
      </c>
      <c r="F7">
        <v>46</v>
      </c>
      <c r="G7">
        <v>3.8824999999999998</v>
      </c>
      <c r="H7" t="s">
        <v>1108</v>
      </c>
      <c r="I7">
        <v>3.4</v>
      </c>
      <c r="J7">
        <v>2023</v>
      </c>
      <c r="K7" t="s">
        <v>18</v>
      </c>
      <c r="L7" t="s">
        <v>1112</v>
      </c>
      <c r="M7">
        <v>3</v>
      </c>
      <c r="N7">
        <v>69</v>
      </c>
      <c r="O7">
        <v>7230</v>
      </c>
      <c r="P7">
        <v>1.5</v>
      </c>
      <c r="Q7">
        <v>69</v>
      </c>
      <c r="R7">
        <v>1.5</v>
      </c>
      <c r="S7" t="s">
        <v>1053</v>
      </c>
      <c r="T7">
        <v>1</v>
      </c>
    </row>
    <row r="8" spans="1:20" x14ac:dyDescent="0.4">
      <c r="A8" t="s">
        <v>36</v>
      </c>
      <c r="B8" t="s">
        <v>26</v>
      </c>
      <c r="C8">
        <v>176</v>
      </c>
      <c r="D8" t="s">
        <v>2</v>
      </c>
      <c r="E8" s="23">
        <v>44931</v>
      </c>
      <c r="F8">
        <v>24</v>
      </c>
      <c r="G8">
        <v>3.8824999999999998</v>
      </c>
      <c r="H8" t="s">
        <v>1108</v>
      </c>
      <c r="I8">
        <v>4.8</v>
      </c>
      <c r="J8">
        <v>2023</v>
      </c>
      <c r="K8" t="s">
        <v>37</v>
      </c>
      <c r="L8" t="s">
        <v>1112</v>
      </c>
      <c r="M8">
        <v>5</v>
      </c>
      <c r="N8">
        <v>72</v>
      </c>
      <c r="O8">
        <v>6242</v>
      </c>
      <c r="P8">
        <v>3</v>
      </c>
      <c r="Q8">
        <v>72</v>
      </c>
      <c r="R8">
        <v>3</v>
      </c>
      <c r="S8" t="s">
        <v>1053</v>
      </c>
      <c r="T8">
        <v>1</v>
      </c>
    </row>
    <row r="9" spans="1:20" x14ac:dyDescent="0.4">
      <c r="A9" t="s">
        <v>43</v>
      </c>
      <c r="B9" t="s">
        <v>44</v>
      </c>
      <c r="C9">
        <v>48</v>
      </c>
      <c r="D9" t="s">
        <v>2</v>
      </c>
      <c r="E9" s="23">
        <v>44932</v>
      </c>
      <c r="F9">
        <v>30</v>
      </c>
      <c r="G9">
        <v>3.8824999999999998</v>
      </c>
      <c r="H9" t="s">
        <v>1108</v>
      </c>
      <c r="I9">
        <v>4.4000000000000004</v>
      </c>
      <c r="J9">
        <v>2023</v>
      </c>
      <c r="K9" t="s">
        <v>45</v>
      </c>
      <c r="L9" t="s">
        <v>1109</v>
      </c>
      <c r="M9">
        <v>4</v>
      </c>
      <c r="N9">
        <v>62</v>
      </c>
      <c r="O9">
        <v>6176</v>
      </c>
      <c r="P9">
        <v>2.0666666666666669</v>
      </c>
      <c r="Q9">
        <v>62</v>
      </c>
      <c r="R9">
        <v>2.0666666666666669</v>
      </c>
      <c r="S9" t="s">
        <v>1053</v>
      </c>
      <c r="T9">
        <v>1</v>
      </c>
    </row>
    <row r="10" spans="1:20" x14ac:dyDescent="0.4">
      <c r="A10" t="s">
        <v>46</v>
      </c>
      <c r="B10" t="s">
        <v>6</v>
      </c>
      <c r="C10">
        <v>128</v>
      </c>
      <c r="D10" t="s">
        <v>2</v>
      </c>
      <c r="E10" s="23">
        <v>44932</v>
      </c>
      <c r="F10">
        <v>72</v>
      </c>
      <c r="G10">
        <v>3.8824999999999998</v>
      </c>
      <c r="H10" t="s">
        <v>1108</v>
      </c>
      <c r="I10">
        <v>5</v>
      </c>
      <c r="J10">
        <v>2023</v>
      </c>
      <c r="K10" t="s">
        <v>45</v>
      </c>
      <c r="L10" t="s">
        <v>1112</v>
      </c>
      <c r="M10">
        <v>5</v>
      </c>
      <c r="N10">
        <v>82</v>
      </c>
      <c r="O10">
        <v>7689</v>
      </c>
      <c r="P10">
        <v>1.1388888888888888</v>
      </c>
      <c r="Q10">
        <v>82</v>
      </c>
      <c r="R10">
        <v>1.1388888888888888</v>
      </c>
      <c r="S10" t="s">
        <v>1053</v>
      </c>
      <c r="T10">
        <v>1</v>
      </c>
    </row>
    <row r="11" spans="1:20" x14ac:dyDescent="0.4">
      <c r="A11" t="s">
        <v>53</v>
      </c>
      <c r="B11" t="s">
        <v>54</v>
      </c>
      <c r="C11">
        <v>28</v>
      </c>
      <c r="D11" t="s">
        <v>2</v>
      </c>
      <c r="E11" s="23">
        <v>44935</v>
      </c>
      <c r="F11">
        <v>63</v>
      </c>
      <c r="G11">
        <v>3.8824999999999998</v>
      </c>
      <c r="H11" t="s">
        <v>1108</v>
      </c>
      <c r="I11">
        <v>4.0999999999999996</v>
      </c>
      <c r="J11">
        <v>2023</v>
      </c>
      <c r="K11" t="s">
        <v>15</v>
      </c>
      <c r="L11" t="s">
        <v>1110</v>
      </c>
      <c r="M11">
        <v>4</v>
      </c>
      <c r="N11">
        <v>70</v>
      </c>
      <c r="O11">
        <v>6819</v>
      </c>
      <c r="P11">
        <v>1.1111111111111112</v>
      </c>
      <c r="Q11">
        <v>70</v>
      </c>
      <c r="R11">
        <v>1.1111111111111112</v>
      </c>
      <c r="S11" t="s">
        <v>1053</v>
      </c>
      <c r="T11">
        <v>1</v>
      </c>
    </row>
    <row r="12" spans="1:20" x14ac:dyDescent="0.4">
      <c r="A12" t="s">
        <v>55</v>
      </c>
      <c r="B12" t="s">
        <v>32</v>
      </c>
      <c r="C12">
        <v>73</v>
      </c>
      <c r="D12" t="s">
        <v>2</v>
      </c>
      <c r="E12" s="23">
        <v>44935</v>
      </c>
      <c r="F12">
        <v>80</v>
      </c>
      <c r="G12">
        <v>3.8824999999999998</v>
      </c>
      <c r="H12" t="s">
        <v>1108</v>
      </c>
      <c r="I12">
        <v>4.2</v>
      </c>
      <c r="J12">
        <v>2023</v>
      </c>
      <c r="K12" t="s">
        <v>15</v>
      </c>
      <c r="L12" t="s">
        <v>1111</v>
      </c>
      <c r="M12">
        <v>4</v>
      </c>
      <c r="N12">
        <v>63</v>
      </c>
      <c r="O12">
        <v>5634</v>
      </c>
      <c r="P12">
        <v>0.78749999999999998</v>
      </c>
      <c r="Q12">
        <v>63</v>
      </c>
      <c r="R12">
        <v>0.78749999999999998</v>
      </c>
      <c r="S12" t="s">
        <v>1053</v>
      </c>
      <c r="T12">
        <v>1</v>
      </c>
    </row>
    <row r="13" spans="1:20" x14ac:dyDescent="0.4">
      <c r="A13" t="s">
        <v>56</v>
      </c>
      <c r="B13" t="s">
        <v>13</v>
      </c>
      <c r="C13">
        <v>81</v>
      </c>
      <c r="D13" t="s">
        <v>2</v>
      </c>
      <c r="E13" s="23">
        <v>44936</v>
      </c>
      <c r="F13">
        <v>50</v>
      </c>
      <c r="G13">
        <v>3.8824999999999998</v>
      </c>
      <c r="H13" t="s">
        <v>1108</v>
      </c>
      <c r="I13">
        <v>4.5999999999999996</v>
      </c>
      <c r="J13">
        <v>2023</v>
      </c>
      <c r="K13" t="s">
        <v>18</v>
      </c>
      <c r="L13" t="s">
        <v>1111</v>
      </c>
      <c r="M13">
        <v>5</v>
      </c>
      <c r="N13">
        <v>74</v>
      </c>
      <c r="O13">
        <v>6749</v>
      </c>
      <c r="P13">
        <v>1.48</v>
      </c>
      <c r="Q13">
        <v>74</v>
      </c>
      <c r="R13">
        <v>1.48</v>
      </c>
      <c r="S13" t="s">
        <v>1053</v>
      </c>
      <c r="T13">
        <v>1</v>
      </c>
    </row>
    <row r="14" spans="1:20" x14ac:dyDescent="0.4">
      <c r="A14" t="s">
        <v>59</v>
      </c>
      <c r="B14" t="s">
        <v>40</v>
      </c>
      <c r="C14">
        <v>80</v>
      </c>
      <c r="D14" t="s">
        <v>2</v>
      </c>
      <c r="E14" s="23">
        <v>44936</v>
      </c>
      <c r="F14">
        <v>140</v>
      </c>
      <c r="G14">
        <v>3.8824999999999998</v>
      </c>
      <c r="H14" t="s">
        <v>1108</v>
      </c>
      <c r="I14">
        <v>4.2</v>
      </c>
      <c r="J14">
        <v>2023</v>
      </c>
      <c r="K14" t="s">
        <v>18</v>
      </c>
      <c r="L14" t="s">
        <v>1111</v>
      </c>
      <c r="M14">
        <v>4</v>
      </c>
      <c r="N14">
        <v>69</v>
      </c>
      <c r="O14">
        <v>6601</v>
      </c>
      <c r="P14">
        <v>0.49285714285714288</v>
      </c>
      <c r="Q14">
        <v>69</v>
      </c>
      <c r="R14">
        <v>0.49285714285714288</v>
      </c>
      <c r="S14" t="s">
        <v>1053</v>
      </c>
      <c r="T14">
        <v>1</v>
      </c>
    </row>
    <row r="15" spans="1:20" x14ac:dyDescent="0.4">
      <c r="A15" t="s">
        <v>60</v>
      </c>
      <c r="B15" t="s">
        <v>13</v>
      </c>
      <c r="C15">
        <v>82</v>
      </c>
      <c r="D15" t="s">
        <v>2</v>
      </c>
      <c r="E15" s="23">
        <v>44938</v>
      </c>
      <c r="F15">
        <v>42</v>
      </c>
      <c r="G15">
        <v>3.8824999999999998</v>
      </c>
      <c r="H15" t="s">
        <v>1108</v>
      </c>
      <c r="I15">
        <v>3.7</v>
      </c>
      <c r="J15">
        <v>2023</v>
      </c>
      <c r="K15" t="s">
        <v>37</v>
      </c>
      <c r="L15" t="s">
        <v>1111</v>
      </c>
      <c r="M15">
        <v>4</v>
      </c>
      <c r="N15">
        <v>74</v>
      </c>
      <c r="O15">
        <v>6749</v>
      </c>
      <c r="P15">
        <v>1.7619047619047619</v>
      </c>
      <c r="Q15">
        <v>74</v>
      </c>
      <c r="R15">
        <v>1.7619047619047619</v>
      </c>
      <c r="S15" t="s">
        <v>1053</v>
      </c>
      <c r="T15">
        <v>1</v>
      </c>
    </row>
    <row r="16" spans="1:20" x14ac:dyDescent="0.4">
      <c r="A16" t="s">
        <v>63</v>
      </c>
      <c r="B16" t="s">
        <v>64</v>
      </c>
      <c r="C16">
        <v>105</v>
      </c>
      <c r="D16" t="s">
        <v>2</v>
      </c>
      <c r="E16" s="23">
        <v>44941</v>
      </c>
      <c r="F16">
        <v>125</v>
      </c>
      <c r="G16">
        <v>3.8824999999999998</v>
      </c>
      <c r="H16" t="s">
        <v>1108</v>
      </c>
      <c r="I16">
        <v>4.8</v>
      </c>
      <c r="J16">
        <v>2023</v>
      </c>
      <c r="K16" t="s">
        <v>3</v>
      </c>
      <c r="L16" t="s">
        <v>1111</v>
      </c>
      <c r="M16">
        <v>5</v>
      </c>
      <c r="N16">
        <v>65</v>
      </c>
      <c r="O16">
        <v>6785</v>
      </c>
      <c r="P16">
        <v>0.52</v>
      </c>
      <c r="Q16">
        <v>65</v>
      </c>
      <c r="R16">
        <v>0.52</v>
      </c>
      <c r="S16" t="s">
        <v>1053</v>
      </c>
      <c r="T16">
        <v>1</v>
      </c>
    </row>
    <row r="17" spans="1:20" x14ac:dyDescent="0.4">
      <c r="A17" t="s">
        <v>69</v>
      </c>
      <c r="B17" t="s">
        <v>40</v>
      </c>
      <c r="C17">
        <v>106</v>
      </c>
      <c r="D17" t="s">
        <v>2</v>
      </c>
      <c r="E17" s="23">
        <v>44943</v>
      </c>
      <c r="F17">
        <v>108</v>
      </c>
      <c r="G17">
        <v>3.8824999999999998</v>
      </c>
      <c r="H17" t="s">
        <v>1108</v>
      </c>
      <c r="I17">
        <v>5</v>
      </c>
      <c r="J17">
        <v>2023</v>
      </c>
      <c r="K17" t="s">
        <v>18</v>
      </c>
      <c r="L17" t="s">
        <v>1111</v>
      </c>
      <c r="M17">
        <v>5</v>
      </c>
      <c r="N17">
        <v>69</v>
      </c>
      <c r="O17">
        <v>6601</v>
      </c>
      <c r="P17">
        <v>0.63888888888888884</v>
      </c>
      <c r="Q17">
        <v>69</v>
      </c>
      <c r="R17">
        <v>0.63888888888888884</v>
      </c>
      <c r="S17" t="s">
        <v>1053</v>
      </c>
      <c r="T17">
        <v>1</v>
      </c>
    </row>
    <row r="18" spans="1:20" x14ac:dyDescent="0.4">
      <c r="A18" t="s">
        <v>72</v>
      </c>
      <c r="B18" t="s">
        <v>40</v>
      </c>
      <c r="C18">
        <v>89</v>
      </c>
      <c r="D18" t="s">
        <v>2</v>
      </c>
      <c r="E18" s="23">
        <v>44944</v>
      </c>
      <c r="F18">
        <v>155</v>
      </c>
      <c r="G18">
        <v>3.8824999999999998</v>
      </c>
      <c r="H18" t="s">
        <v>1108</v>
      </c>
      <c r="I18">
        <v>4.0999999999999996</v>
      </c>
      <c r="J18">
        <v>2023</v>
      </c>
      <c r="K18" t="s">
        <v>33</v>
      </c>
      <c r="L18" t="s">
        <v>1111</v>
      </c>
      <c r="M18">
        <v>4</v>
      </c>
      <c r="N18">
        <v>69</v>
      </c>
      <c r="O18">
        <v>6601</v>
      </c>
      <c r="P18">
        <v>0.44516129032258067</v>
      </c>
      <c r="Q18">
        <v>69</v>
      </c>
      <c r="R18">
        <v>0.44516129032258067</v>
      </c>
      <c r="S18" t="s">
        <v>1053</v>
      </c>
      <c r="T18">
        <v>1</v>
      </c>
    </row>
    <row r="19" spans="1:20" x14ac:dyDescent="0.4">
      <c r="A19" t="s">
        <v>77</v>
      </c>
      <c r="B19" t="s">
        <v>6</v>
      </c>
      <c r="C19">
        <v>104</v>
      </c>
      <c r="D19" t="s">
        <v>2</v>
      </c>
      <c r="E19" s="23">
        <v>44945</v>
      </c>
      <c r="F19">
        <v>86</v>
      </c>
      <c r="G19">
        <v>3.8824999999999998</v>
      </c>
      <c r="H19" t="s">
        <v>1108</v>
      </c>
      <c r="I19">
        <v>4</v>
      </c>
      <c r="J19">
        <v>2023</v>
      </c>
      <c r="K19" t="s">
        <v>37</v>
      </c>
      <c r="L19" t="s">
        <v>1111</v>
      </c>
      <c r="M19">
        <v>4</v>
      </c>
      <c r="N19">
        <v>82</v>
      </c>
      <c r="O19">
        <v>7689</v>
      </c>
      <c r="P19">
        <v>0.95348837209302328</v>
      </c>
      <c r="Q19">
        <v>82</v>
      </c>
      <c r="R19">
        <v>0.95348837209302328</v>
      </c>
      <c r="S19" t="s">
        <v>1053</v>
      </c>
      <c r="T19">
        <v>1</v>
      </c>
    </row>
    <row r="20" spans="1:20" x14ac:dyDescent="0.4">
      <c r="A20" t="s">
        <v>85</v>
      </c>
      <c r="B20" t="s">
        <v>30</v>
      </c>
      <c r="C20">
        <v>59</v>
      </c>
      <c r="D20" t="s">
        <v>2</v>
      </c>
      <c r="E20" s="23">
        <v>44948</v>
      </c>
      <c r="F20">
        <v>136</v>
      </c>
      <c r="G20">
        <v>3.8824999999999998</v>
      </c>
      <c r="H20" t="s">
        <v>1108</v>
      </c>
      <c r="I20">
        <v>4.5999999999999996</v>
      </c>
      <c r="J20">
        <v>2023</v>
      </c>
      <c r="K20" t="s">
        <v>3</v>
      </c>
      <c r="L20" t="s">
        <v>1109</v>
      </c>
      <c r="M20">
        <v>5</v>
      </c>
      <c r="N20">
        <v>69</v>
      </c>
      <c r="O20">
        <v>7230</v>
      </c>
      <c r="P20">
        <v>0.50735294117647056</v>
      </c>
      <c r="Q20">
        <v>69</v>
      </c>
      <c r="R20">
        <v>0.50735294117647056</v>
      </c>
      <c r="S20" t="s">
        <v>1053</v>
      </c>
      <c r="T20">
        <v>1</v>
      </c>
    </row>
    <row r="21" spans="1:20" x14ac:dyDescent="0.4">
      <c r="A21" t="s">
        <v>89</v>
      </c>
      <c r="B21" t="s">
        <v>13</v>
      </c>
      <c r="C21">
        <v>63</v>
      </c>
      <c r="D21" t="s">
        <v>2</v>
      </c>
      <c r="E21" s="23">
        <v>44949</v>
      </c>
      <c r="F21">
        <v>160</v>
      </c>
      <c r="G21">
        <v>3.8824999999999998</v>
      </c>
      <c r="H21" t="s">
        <v>1108</v>
      </c>
      <c r="I21">
        <v>4.3</v>
      </c>
      <c r="J21">
        <v>2023</v>
      </c>
      <c r="K21" t="s">
        <v>15</v>
      </c>
      <c r="L21" t="s">
        <v>1111</v>
      </c>
      <c r="M21">
        <v>4</v>
      </c>
      <c r="N21">
        <v>74</v>
      </c>
      <c r="O21">
        <v>6749</v>
      </c>
      <c r="P21">
        <v>0.46250000000000002</v>
      </c>
      <c r="Q21">
        <v>74</v>
      </c>
      <c r="R21">
        <v>0.46250000000000002</v>
      </c>
      <c r="S21" t="s">
        <v>1053</v>
      </c>
      <c r="T21">
        <v>1</v>
      </c>
    </row>
    <row r="22" spans="1:20" x14ac:dyDescent="0.4">
      <c r="A22" t="s">
        <v>94</v>
      </c>
      <c r="B22" t="s">
        <v>30</v>
      </c>
      <c r="C22">
        <v>71</v>
      </c>
      <c r="D22" t="s">
        <v>2</v>
      </c>
      <c r="E22" s="23">
        <v>44951</v>
      </c>
      <c r="F22">
        <v>90</v>
      </c>
      <c r="G22">
        <v>3.8824999999999998</v>
      </c>
      <c r="H22" t="s">
        <v>1108</v>
      </c>
      <c r="I22">
        <v>3.8</v>
      </c>
      <c r="J22">
        <v>2023</v>
      </c>
      <c r="K22" t="s">
        <v>33</v>
      </c>
      <c r="L22" t="s">
        <v>1111</v>
      </c>
      <c r="M22">
        <v>4</v>
      </c>
      <c r="N22">
        <v>69</v>
      </c>
      <c r="O22">
        <v>7230</v>
      </c>
      <c r="P22">
        <v>0.76666666666666672</v>
      </c>
      <c r="Q22">
        <v>69</v>
      </c>
      <c r="R22">
        <v>0.76666666666666672</v>
      </c>
      <c r="S22" t="s">
        <v>1053</v>
      </c>
      <c r="T22">
        <v>1</v>
      </c>
    </row>
    <row r="23" spans="1:20" x14ac:dyDescent="0.4">
      <c r="A23" t="s">
        <v>97</v>
      </c>
      <c r="B23" t="s">
        <v>51</v>
      </c>
      <c r="C23">
        <v>50</v>
      </c>
      <c r="D23" t="s">
        <v>2</v>
      </c>
      <c r="E23" s="23">
        <v>44952</v>
      </c>
      <c r="F23">
        <v>60</v>
      </c>
      <c r="G23">
        <v>3.8824999999999998</v>
      </c>
      <c r="H23" t="s">
        <v>1108</v>
      </c>
      <c r="I23">
        <v>2</v>
      </c>
      <c r="J23">
        <v>2023</v>
      </c>
      <c r="K23" t="s">
        <v>37</v>
      </c>
      <c r="L23" t="s">
        <v>1109</v>
      </c>
      <c r="M23">
        <v>2</v>
      </c>
      <c r="N23">
        <v>59</v>
      </c>
      <c r="O23">
        <v>6518</v>
      </c>
      <c r="P23">
        <v>0.98333333333333328</v>
      </c>
      <c r="Q23">
        <v>59</v>
      </c>
      <c r="R23">
        <v>0.98333333333333328</v>
      </c>
      <c r="S23" t="s">
        <v>1053</v>
      </c>
      <c r="T23">
        <v>1</v>
      </c>
    </row>
    <row r="24" spans="1:20" x14ac:dyDescent="0.4">
      <c r="A24" t="s">
        <v>109</v>
      </c>
      <c r="B24" t="s">
        <v>13</v>
      </c>
      <c r="C24">
        <v>62</v>
      </c>
      <c r="D24" t="s">
        <v>2</v>
      </c>
      <c r="E24" s="23">
        <v>44957</v>
      </c>
      <c r="F24">
        <v>99</v>
      </c>
      <c r="G24">
        <v>3.8824999999999998</v>
      </c>
      <c r="H24" t="s">
        <v>1108</v>
      </c>
      <c r="I24">
        <v>3.6</v>
      </c>
      <c r="J24">
        <v>2023</v>
      </c>
      <c r="K24" t="s">
        <v>18</v>
      </c>
      <c r="L24" t="s">
        <v>1111</v>
      </c>
      <c r="M24">
        <v>4</v>
      </c>
      <c r="N24">
        <v>74</v>
      </c>
      <c r="O24">
        <v>6749</v>
      </c>
      <c r="P24">
        <v>0.74747474747474751</v>
      </c>
      <c r="Q24">
        <v>74</v>
      </c>
      <c r="R24">
        <v>0.74747474747474751</v>
      </c>
      <c r="S24" t="s">
        <v>1053</v>
      </c>
      <c r="T24">
        <v>1</v>
      </c>
    </row>
    <row r="25" spans="1:20" x14ac:dyDescent="0.4">
      <c r="A25" t="s">
        <v>113</v>
      </c>
      <c r="B25" t="s">
        <v>84</v>
      </c>
      <c r="C25">
        <v>109</v>
      </c>
      <c r="D25" t="s">
        <v>2</v>
      </c>
      <c r="E25" s="23">
        <v>44958</v>
      </c>
      <c r="F25">
        <v>105</v>
      </c>
      <c r="G25">
        <v>3.8824999999999998</v>
      </c>
      <c r="H25" t="s">
        <v>1108</v>
      </c>
      <c r="I25">
        <v>3.3</v>
      </c>
      <c r="J25">
        <v>2023</v>
      </c>
      <c r="K25" t="s">
        <v>33</v>
      </c>
      <c r="L25" t="s">
        <v>1111</v>
      </c>
      <c r="M25">
        <v>3</v>
      </c>
      <c r="N25">
        <v>59</v>
      </c>
      <c r="O25">
        <v>5009</v>
      </c>
      <c r="P25">
        <v>0.56190476190476191</v>
      </c>
      <c r="Q25">
        <v>59</v>
      </c>
      <c r="R25">
        <v>0.56190476190476191</v>
      </c>
      <c r="S25" t="s">
        <v>1054</v>
      </c>
      <c r="T25">
        <v>2</v>
      </c>
    </row>
    <row r="26" spans="1:20" x14ac:dyDescent="0.4">
      <c r="A26" t="s">
        <v>114</v>
      </c>
      <c r="B26" t="s">
        <v>6</v>
      </c>
      <c r="C26">
        <v>78</v>
      </c>
      <c r="D26" t="s">
        <v>2</v>
      </c>
      <c r="E26" s="23">
        <v>44958</v>
      </c>
      <c r="F26">
        <v>62</v>
      </c>
      <c r="G26">
        <v>3.8824999999999998</v>
      </c>
      <c r="H26" t="s">
        <v>1108</v>
      </c>
      <c r="I26">
        <v>3.1</v>
      </c>
      <c r="J26">
        <v>2023</v>
      </c>
      <c r="K26" t="s">
        <v>33</v>
      </c>
      <c r="L26" t="s">
        <v>1111</v>
      </c>
      <c r="M26">
        <v>3</v>
      </c>
      <c r="N26">
        <v>82</v>
      </c>
      <c r="O26">
        <v>7689</v>
      </c>
      <c r="P26">
        <v>1.3225806451612903</v>
      </c>
      <c r="Q26">
        <v>82</v>
      </c>
      <c r="R26">
        <v>1.3225806451612903</v>
      </c>
      <c r="S26" t="s">
        <v>1054</v>
      </c>
      <c r="T26">
        <v>2</v>
      </c>
    </row>
    <row r="27" spans="1:20" x14ac:dyDescent="0.4">
      <c r="A27" t="s">
        <v>116</v>
      </c>
      <c r="B27" t="s">
        <v>11</v>
      </c>
      <c r="C27">
        <v>99</v>
      </c>
      <c r="D27" t="s">
        <v>2</v>
      </c>
      <c r="E27" s="23">
        <v>44959</v>
      </c>
      <c r="F27">
        <v>112</v>
      </c>
      <c r="G27">
        <v>3.8824999999999998</v>
      </c>
      <c r="H27" t="s">
        <v>1108</v>
      </c>
      <c r="I27">
        <v>4.9000000000000004</v>
      </c>
      <c r="J27">
        <v>2023</v>
      </c>
      <c r="K27" t="s">
        <v>37</v>
      </c>
      <c r="L27" t="s">
        <v>1111</v>
      </c>
      <c r="M27">
        <v>5</v>
      </c>
      <c r="N27">
        <v>60</v>
      </c>
      <c r="O27">
        <v>5404</v>
      </c>
      <c r="P27">
        <v>0.5357142857142857</v>
      </c>
      <c r="Q27">
        <v>60</v>
      </c>
      <c r="R27">
        <v>0.5357142857142857</v>
      </c>
      <c r="S27" t="s">
        <v>1054</v>
      </c>
      <c r="T27">
        <v>2</v>
      </c>
    </row>
    <row r="28" spans="1:20" x14ac:dyDescent="0.4">
      <c r="A28" t="s">
        <v>117</v>
      </c>
      <c r="B28" t="s">
        <v>51</v>
      </c>
      <c r="C28">
        <v>100</v>
      </c>
      <c r="D28" t="s">
        <v>2</v>
      </c>
      <c r="E28" s="23">
        <v>44959</v>
      </c>
      <c r="F28">
        <v>135</v>
      </c>
      <c r="G28">
        <v>3.8824999999999998</v>
      </c>
      <c r="H28" t="s">
        <v>1108</v>
      </c>
      <c r="I28">
        <v>4</v>
      </c>
      <c r="J28">
        <v>2023</v>
      </c>
      <c r="K28" t="s">
        <v>37</v>
      </c>
      <c r="L28" t="s">
        <v>1111</v>
      </c>
      <c r="M28">
        <v>4</v>
      </c>
      <c r="N28">
        <v>59</v>
      </c>
      <c r="O28">
        <v>6518</v>
      </c>
      <c r="P28">
        <v>0.43703703703703706</v>
      </c>
      <c r="Q28">
        <v>59</v>
      </c>
      <c r="R28">
        <v>0.43703703703703706</v>
      </c>
      <c r="S28" t="s">
        <v>1054</v>
      </c>
      <c r="T28">
        <v>2</v>
      </c>
    </row>
    <row r="29" spans="1:20" x14ac:dyDescent="0.4">
      <c r="A29" t="s">
        <v>121</v>
      </c>
      <c r="B29" t="s">
        <v>51</v>
      </c>
      <c r="C29">
        <v>84</v>
      </c>
      <c r="D29" t="s">
        <v>2</v>
      </c>
      <c r="E29" s="23">
        <v>44961</v>
      </c>
      <c r="F29">
        <v>195</v>
      </c>
      <c r="G29">
        <v>3.8824999999999998</v>
      </c>
      <c r="H29" t="s">
        <v>1108</v>
      </c>
      <c r="I29">
        <v>4.0999999999999996</v>
      </c>
      <c r="J29">
        <v>2023</v>
      </c>
      <c r="K29" t="s">
        <v>48</v>
      </c>
      <c r="L29" t="s">
        <v>1111</v>
      </c>
      <c r="M29">
        <v>4</v>
      </c>
      <c r="N29">
        <v>59</v>
      </c>
      <c r="O29">
        <v>6518</v>
      </c>
      <c r="P29">
        <v>0.30256410256410254</v>
      </c>
      <c r="Q29">
        <v>59</v>
      </c>
      <c r="R29">
        <v>0.30256410256410254</v>
      </c>
      <c r="S29" t="s">
        <v>1054</v>
      </c>
      <c r="T29">
        <v>2</v>
      </c>
    </row>
    <row r="30" spans="1:20" x14ac:dyDescent="0.4">
      <c r="A30" t="s">
        <v>126</v>
      </c>
      <c r="B30" t="s">
        <v>44</v>
      </c>
      <c r="C30">
        <v>60</v>
      </c>
      <c r="D30" t="s">
        <v>2</v>
      </c>
      <c r="E30" s="23">
        <v>44965</v>
      </c>
      <c r="F30">
        <v>69</v>
      </c>
      <c r="G30">
        <v>3.8824999999999998</v>
      </c>
      <c r="H30" t="s">
        <v>1108</v>
      </c>
      <c r="I30">
        <v>4.3</v>
      </c>
      <c r="J30">
        <v>2023</v>
      </c>
      <c r="K30" t="s">
        <v>33</v>
      </c>
      <c r="L30" t="s">
        <v>1109</v>
      </c>
      <c r="M30">
        <v>4</v>
      </c>
      <c r="N30">
        <v>62</v>
      </c>
      <c r="O30">
        <v>6176</v>
      </c>
      <c r="P30">
        <v>0.89855072463768115</v>
      </c>
      <c r="Q30">
        <v>62</v>
      </c>
      <c r="R30">
        <v>0.89855072463768115</v>
      </c>
      <c r="S30" t="s">
        <v>1054</v>
      </c>
      <c r="T30">
        <v>2</v>
      </c>
    </row>
    <row r="31" spans="1:20" x14ac:dyDescent="0.4">
      <c r="A31" t="s">
        <v>129</v>
      </c>
      <c r="B31" t="s">
        <v>64</v>
      </c>
      <c r="C31">
        <v>45</v>
      </c>
      <c r="D31" t="s">
        <v>2</v>
      </c>
      <c r="E31" s="23">
        <v>44966</v>
      </c>
      <c r="F31">
        <v>84</v>
      </c>
      <c r="G31">
        <v>3.8824999999999998</v>
      </c>
      <c r="H31" t="s">
        <v>1108</v>
      </c>
      <c r="I31">
        <v>4.5999999999999996</v>
      </c>
      <c r="J31">
        <v>2023</v>
      </c>
      <c r="K31" t="s">
        <v>37</v>
      </c>
      <c r="L31" t="s">
        <v>1109</v>
      </c>
      <c r="M31">
        <v>5</v>
      </c>
      <c r="N31">
        <v>65</v>
      </c>
      <c r="O31">
        <v>6785</v>
      </c>
      <c r="P31">
        <v>0.77380952380952384</v>
      </c>
      <c r="Q31">
        <v>65</v>
      </c>
      <c r="R31">
        <v>0.77380952380952384</v>
      </c>
      <c r="S31" t="s">
        <v>1054</v>
      </c>
      <c r="T31">
        <v>2</v>
      </c>
    </row>
    <row r="32" spans="1:20" x14ac:dyDescent="0.4">
      <c r="A32" t="s">
        <v>131</v>
      </c>
      <c r="B32" t="s">
        <v>30</v>
      </c>
      <c r="C32">
        <v>95</v>
      </c>
      <c r="D32" t="s">
        <v>2</v>
      </c>
      <c r="E32" s="23">
        <v>44967</v>
      </c>
      <c r="F32">
        <v>66</v>
      </c>
      <c r="G32">
        <v>3.8824999999999998</v>
      </c>
      <c r="H32" t="s">
        <v>1108</v>
      </c>
      <c r="I32">
        <v>4.5999999999999996</v>
      </c>
      <c r="J32">
        <v>2023</v>
      </c>
      <c r="K32" t="s">
        <v>45</v>
      </c>
      <c r="L32" t="s">
        <v>1111</v>
      </c>
      <c r="M32">
        <v>5</v>
      </c>
      <c r="N32">
        <v>69</v>
      </c>
      <c r="O32">
        <v>7230</v>
      </c>
      <c r="P32">
        <v>1.0454545454545454</v>
      </c>
      <c r="Q32">
        <v>69</v>
      </c>
      <c r="R32">
        <v>1.0454545454545454</v>
      </c>
      <c r="S32" t="s">
        <v>1054</v>
      </c>
      <c r="T32">
        <v>2</v>
      </c>
    </row>
    <row r="33" spans="1:20" x14ac:dyDescent="0.4">
      <c r="A33" t="s">
        <v>148</v>
      </c>
      <c r="B33" t="s">
        <v>32</v>
      </c>
      <c r="C33">
        <v>116</v>
      </c>
      <c r="D33" t="s">
        <v>2</v>
      </c>
      <c r="E33" s="23">
        <v>44973</v>
      </c>
      <c r="F33">
        <v>140</v>
      </c>
      <c r="G33">
        <v>3.8824999999999998</v>
      </c>
      <c r="H33" t="s">
        <v>1108</v>
      </c>
      <c r="I33">
        <v>3.6</v>
      </c>
      <c r="J33">
        <v>2023</v>
      </c>
      <c r="K33" t="s">
        <v>37</v>
      </c>
      <c r="L33" t="s">
        <v>1111</v>
      </c>
      <c r="M33">
        <v>4</v>
      </c>
      <c r="N33">
        <v>63</v>
      </c>
      <c r="O33">
        <v>5634</v>
      </c>
      <c r="P33">
        <v>0.45</v>
      </c>
      <c r="Q33">
        <v>63</v>
      </c>
      <c r="R33">
        <v>0.45</v>
      </c>
      <c r="S33" t="s">
        <v>1054</v>
      </c>
      <c r="T33">
        <v>2</v>
      </c>
    </row>
    <row r="34" spans="1:20" x14ac:dyDescent="0.4">
      <c r="A34" t="s">
        <v>151</v>
      </c>
      <c r="B34" t="s">
        <v>8</v>
      </c>
      <c r="C34">
        <v>57</v>
      </c>
      <c r="D34" t="s">
        <v>2</v>
      </c>
      <c r="E34" s="23">
        <v>44974</v>
      </c>
      <c r="F34">
        <v>88</v>
      </c>
      <c r="G34">
        <v>3.8824999999999998</v>
      </c>
      <c r="H34" t="s">
        <v>1108</v>
      </c>
      <c r="I34">
        <v>4.3</v>
      </c>
      <c r="J34">
        <v>2023</v>
      </c>
      <c r="K34" t="s">
        <v>45</v>
      </c>
      <c r="L34" t="s">
        <v>1109</v>
      </c>
      <c r="M34">
        <v>4</v>
      </c>
      <c r="N34">
        <v>79</v>
      </c>
      <c r="O34">
        <v>7747</v>
      </c>
      <c r="P34">
        <v>0.89772727272727271</v>
      </c>
      <c r="Q34">
        <v>79</v>
      </c>
      <c r="R34">
        <v>0.89772727272727271</v>
      </c>
      <c r="S34" t="s">
        <v>1054</v>
      </c>
      <c r="T34">
        <v>2</v>
      </c>
    </row>
    <row r="35" spans="1:20" x14ac:dyDescent="0.4">
      <c r="A35" t="s">
        <v>152</v>
      </c>
      <c r="B35" t="s">
        <v>21</v>
      </c>
      <c r="C35">
        <v>155</v>
      </c>
      <c r="D35" t="s">
        <v>2</v>
      </c>
      <c r="E35" s="23">
        <v>44975</v>
      </c>
      <c r="F35">
        <v>180</v>
      </c>
      <c r="G35">
        <v>3.8824999999999998</v>
      </c>
      <c r="H35" t="s">
        <v>1108</v>
      </c>
      <c r="I35">
        <v>2.2000000000000002</v>
      </c>
      <c r="J35">
        <v>2023</v>
      </c>
      <c r="K35" t="s">
        <v>48</v>
      </c>
      <c r="L35" t="s">
        <v>1112</v>
      </c>
      <c r="M35">
        <v>2</v>
      </c>
      <c r="N35">
        <v>67</v>
      </c>
      <c r="O35">
        <v>7216</v>
      </c>
      <c r="P35">
        <v>0.37222222222222223</v>
      </c>
      <c r="Q35">
        <v>67</v>
      </c>
      <c r="R35">
        <v>0.37222222222222223</v>
      </c>
      <c r="S35" t="s">
        <v>1054</v>
      </c>
      <c r="T35">
        <v>2</v>
      </c>
    </row>
    <row r="36" spans="1:20" x14ac:dyDescent="0.4">
      <c r="A36" t="s">
        <v>155</v>
      </c>
      <c r="B36" t="s">
        <v>51</v>
      </c>
      <c r="C36">
        <v>65</v>
      </c>
      <c r="D36" t="s">
        <v>2</v>
      </c>
      <c r="E36" s="23">
        <v>44976</v>
      </c>
      <c r="F36">
        <v>80</v>
      </c>
      <c r="G36">
        <v>3.8824999999999998</v>
      </c>
      <c r="H36" t="s">
        <v>1108</v>
      </c>
      <c r="I36">
        <v>4</v>
      </c>
      <c r="J36">
        <v>2023</v>
      </c>
      <c r="K36" t="s">
        <v>3</v>
      </c>
      <c r="L36" t="s">
        <v>1111</v>
      </c>
      <c r="M36">
        <v>4</v>
      </c>
      <c r="N36">
        <v>59</v>
      </c>
      <c r="O36">
        <v>6518</v>
      </c>
      <c r="P36">
        <v>0.73750000000000004</v>
      </c>
      <c r="Q36">
        <v>59</v>
      </c>
      <c r="R36">
        <v>0.73750000000000004</v>
      </c>
      <c r="S36" t="s">
        <v>1054</v>
      </c>
      <c r="T36">
        <v>2</v>
      </c>
    </row>
    <row r="37" spans="1:20" x14ac:dyDescent="0.4">
      <c r="A37" t="s">
        <v>158</v>
      </c>
      <c r="B37" t="s">
        <v>51</v>
      </c>
      <c r="C37">
        <v>114</v>
      </c>
      <c r="D37" t="s">
        <v>2</v>
      </c>
      <c r="E37" s="23">
        <v>44978</v>
      </c>
      <c r="F37">
        <v>120</v>
      </c>
      <c r="G37">
        <v>3.8824999999999998</v>
      </c>
      <c r="H37" t="s">
        <v>1108</v>
      </c>
      <c r="I37">
        <v>1.8</v>
      </c>
      <c r="J37">
        <v>2023</v>
      </c>
      <c r="K37" t="s">
        <v>18</v>
      </c>
      <c r="L37" t="s">
        <v>1111</v>
      </c>
      <c r="M37">
        <v>2</v>
      </c>
      <c r="N37">
        <v>59</v>
      </c>
      <c r="O37">
        <v>6518</v>
      </c>
      <c r="P37">
        <v>0.49166666666666664</v>
      </c>
      <c r="Q37">
        <v>59</v>
      </c>
      <c r="R37">
        <v>0.49166666666666664</v>
      </c>
      <c r="S37" t="s">
        <v>1054</v>
      </c>
      <c r="T37">
        <v>2</v>
      </c>
    </row>
    <row r="38" spans="1:20" x14ac:dyDescent="0.4">
      <c r="A38" t="s">
        <v>160</v>
      </c>
      <c r="B38" t="s">
        <v>6</v>
      </c>
      <c r="C38">
        <v>89</v>
      </c>
      <c r="D38" t="s">
        <v>2</v>
      </c>
      <c r="E38" s="23">
        <v>44978</v>
      </c>
      <c r="F38">
        <v>90</v>
      </c>
      <c r="G38">
        <v>3.8824999999999998</v>
      </c>
      <c r="H38" t="s">
        <v>1108</v>
      </c>
      <c r="I38">
        <v>4.3</v>
      </c>
      <c r="J38">
        <v>2023</v>
      </c>
      <c r="K38" t="s">
        <v>18</v>
      </c>
      <c r="L38" t="s">
        <v>1111</v>
      </c>
      <c r="M38">
        <v>4</v>
      </c>
      <c r="N38">
        <v>82</v>
      </c>
      <c r="O38">
        <v>7689</v>
      </c>
      <c r="P38">
        <v>0.91111111111111109</v>
      </c>
      <c r="Q38">
        <v>82</v>
      </c>
      <c r="R38">
        <v>0.91111111111111109</v>
      </c>
      <c r="S38" t="s">
        <v>1054</v>
      </c>
      <c r="T38">
        <v>2</v>
      </c>
    </row>
    <row r="39" spans="1:20" x14ac:dyDescent="0.4">
      <c r="A39" t="s">
        <v>165</v>
      </c>
      <c r="B39" t="s">
        <v>11</v>
      </c>
      <c r="C39">
        <v>153</v>
      </c>
      <c r="D39" t="s">
        <v>2</v>
      </c>
      <c r="E39" s="23">
        <v>44981</v>
      </c>
      <c r="F39">
        <v>200</v>
      </c>
      <c r="G39">
        <v>3.8824999999999998</v>
      </c>
      <c r="H39" t="s">
        <v>1108</v>
      </c>
      <c r="I39">
        <v>2</v>
      </c>
      <c r="J39">
        <v>2023</v>
      </c>
      <c r="K39" t="s">
        <v>45</v>
      </c>
      <c r="L39" t="s">
        <v>1112</v>
      </c>
      <c r="M39">
        <v>2</v>
      </c>
      <c r="N39">
        <v>60</v>
      </c>
      <c r="O39">
        <v>5404</v>
      </c>
      <c r="P39">
        <v>0.3</v>
      </c>
      <c r="Q39">
        <v>60</v>
      </c>
      <c r="R39">
        <v>0.3</v>
      </c>
      <c r="S39" t="s">
        <v>1054</v>
      </c>
      <c r="T39">
        <v>2</v>
      </c>
    </row>
    <row r="40" spans="1:20" x14ac:dyDescent="0.4">
      <c r="A40" t="s">
        <v>167</v>
      </c>
      <c r="B40" t="s">
        <v>40</v>
      </c>
      <c r="C40">
        <v>62</v>
      </c>
      <c r="D40" t="s">
        <v>2</v>
      </c>
      <c r="E40" s="23">
        <v>44982</v>
      </c>
      <c r="F40">
        <v>21</v>
      </c>
      <c r="G40">
        <v>3.8824999999999998</v>
      </c>
      <c r="H40" t="s">
        <v>1108</v>
      </c>
      <c r="I40">
        <v>2.6</v>
      </c>
      <c r="J40">
        <v>2023</v>
      </c>
      <c r="K40" t="s">
        <v>48</v>
      </c>
      <c r="L40" t="s">
        <v>1111</v>
      </c>
      <c r="M40">
        <v>3</v>
      </c>
      <c r="N40">
        <v>69</v>
      </c>
      <c r="O40">
        <v>6601</v>
      </c>
      <c r="P40">
        <v>3.2857142857142856</v>
      </c>
      <c r="Q40">
        <v>69</v>
      </c>
      <c r="R40">
        <v>3.2857142857142856</v>
      </c>
      <c r="S40" t="s">
        <v>1054</v>
      </c>
      <c r="T40">
        <v>2</v>
      </c>
    </row>
    <row r="41" spans="1:20" x14ac:dyDescent="0.4">
      <c r="A41" t="s">
        <v>170</v>
      </c>
      <c r="B41" t="s">
        <v>44</v>
      </c>
      <c r="C41">
        <v>64</v>
      </c>
      <c r="D41" t="s">
        <v>2</v>
      </c>
      <c r="E41" s="23">
        <v>44983</v>
      </c>
      <c r="F41">
        <v>84</v>
      </c>
      <c r="G41">
        <v>3.8824999999999998</v>
      </c>
      <c r="H41" t="s">
        <v>1108</v>
      </c>
      <c r="I41">
        <v>4.0999999999999996</v>
      </c>
      <c r="J41">
        <v>2023</v>
      </c>
      <c r="K41" t="s">
        <v>3</v>
      </c>
      <c r="L41" t="s">
        <v>1111</v>
      </c>
      <c r="M41">
        <v>4</v>
      </c>
      <c r="N41">
        <v>62</v>
      </c>
      <c r="O41">
        <v>6176</v>
      </c>
      <c r="P41">
        <v>0.73809523809523814</v>
      </c>
      <c r="Q41">
        <v>62</v>
      </c>
      <c r="R41">
        <v>0.73809523809523814</v>
      </c>
      <c r="S41" t="s">
        <v>1054</v>
      </c>
      <c r="T41">
        <v>2</v>
      </c>
    </row>
    <row r="42" spans="1:20" x14ac:dyDescent="0.4">
      <c r="A42" t="s">
        <v>173</v>
      </c>
      <c r="B42" t="s">
        <v>44</v>
      </c>
      <c r="C42">
        <v>129</v>
      </c>
      <c r="D42" t="s">
        <v>2</v>
      </c>
      <c r="E42" s="23">
        <v>44984</v>
      </c>
      <c r="F42">
        <v>180</v>
      </c>
      <c r="G42">
        <v>3.8824999999999998</v>
      </c>
      <c r="H42" t="s">
        <v>1108</v>
      </c>
      <c r="I42">
        <v>4.8</v>
      </c>
      <c r="J42">
        <v>2023</v>
      </c>
      <c r="K42" t="s">
        <v>15</v>
      </c>
      <c r="L42" t="s">
        <v>1112</v>
      </c>
      <c r="M42">
        <v>5</v>
      </c>
      <c r="N42">
        <v>62</v>
      </c>
      <c r="O42">
        <v>6176</v>
      </c>
      <c r="P42">
        <v>0.34444444444444444</v>
      </c>
      <c r="Q42">
        <v>62</v>
      </c>
      <c r="R42">
        <v>0.34444444444444444</v>
      </c>
      <c r="S42" t="s">
        <v>1054</v>
      </c>
      <c r="T42">
        <v>2</v>
      </c>
    </row>
    <row r="43" spans="1:20" x14ac:dyDescent="0.4">
      <c r="A43" t="s">
        <v>190</v>
      </c>
      <c r="B43" t="s">
        <v>40</v>
      </c>
      <c r="C43">
        <v>86</v>
      </c>
      <c r="D43" t="s">
        <v>2</v>
      </c>
      <c r="E43" s="23">
        <v>44988</v>
      </c>
      <c r="F43">
        <v>70</v>
      </c>
      <c r="G43">
        <v>3.8824999999999998</v>
      </c>
      <c r="H43" t="s">
        <v>1108</v>
      </c>
      <c r="I43">
        <v>4.9000000000000004</v>
      </c>
      <c r="J43">
        <v>2023</v>
      </c>
      <c r="K43" t="s">
        <v>45</v>
      </c>
      <c r="L43" t="s">
        <v>1111</v>
      </c>
      <c r="M43">
        <v>5</v>
      </c>
      <c r="N43">
        <v>69</v>
      </c>
      <c r="O43">
        <v>6601</v>
      </c>
      <c r="P43">
        <v>0.98571428571428577</v>
      </c>
      <c r="Q43">
        <v>69</v>
      </c>
      <c r="R43">
        <v>0.98571428571428577</v>
      </c>
      <c r="S43" t="s">
        <v>1055</v>
      </c>
      <c r="T43">
        <v>3</v>
      </c>
    </row>
    <row r="44" spans="1:20" x14ac:dyDescent="0.4">
      <c r="A44" t="s">
        <v>191</v>
      </c>
      <c r="B44" t="s">
        <v>8</v>
      </c>
      <c r="C44">
        <v>64</v>
      </c>
      <c r="D44" t="s">
        <v>2</v>
      </c>
      <c r="E44" s="23">
        <v>44988</v>
      </c>
      <c r="F44">
        <v>172</v>
      </c>
      <c r="G44">
        <v>3.8824999999999998</v>
      </c>
      <c r="H44" t="s">
        <v>1108</v>
      </c>
      <c r="I44">
        <v>4.0999999999999996</v>
      </c>
      <c r="J44">
        <v>2023</v>
      </c>
      <c r="K44" t="s">
        <v>45</v>
      </c>
      <c r="L44" t="s">
        <v>1111</v>
      </c>
      <c r="M44">
        <v>4</v>
      </c>
      <c r="N44">
        <v>79</v>
      </c>
      <c r="O44">
        <v>7747</v>
      </c>
      <c r="P44">
        <v>0.45930232558139533</v>
      </c>
      <c r="Q44">
        <v>79</v>
      </c>
      <c r="R44">
        <v>0.45930232558139533</v>
      </c>
      <c r="S44" t="s">
        <v>1055</v>
      </c>
      <c r="T44">
        <v>3</v>
      </c>
    </row>
    <row r="45" spans="1:20" x14ac:dyDescent="0.4">
      <c r="A45" t="s">
        <v>194</v>
      </c>
      <c r="B45" t="s">
        <v>54</v>
      </c>
      <c r="C45">
        <v>107</v>
      </c>
      <c r="D45" t="s">
        <v>2</v>
      </c>
      <c r="E45" s="23">
        <v>44988</v>
      </c>
      <c r="F45">
        <v>66</v>
      </c>
      <c r="G45">
        <v>3.8824999999999998</v>
      </c>
      <c r="H45" t="s">
        <v>1108</v>
      </c>
      <c r="I45">
        <v>4</v>
      </c>
      <c r="J45">
        <v>2023</v>
      </c>
      <c r="K45" t="s">
        <v>45</v>
      </c>
      <c r="L45" t="s">
        <v>1111</v>
      </c>
      <c r="M45">
        <v>4</v>
      </c>
      <c r="N45">
        <v>70</v>
      </c>
      <c r="O45">
        <v>6819</v>
      </c>
      <c r="P45">
        <v>1.0606060606060606</v>
      </c>
      <c r="Q45">
        <v>70</v>
      </c>
      <c r="R45">
        <v>1.0606060606060606</v>
      </c>
      <c r="S45" t="s">
        <v>1055</v>
      </c>
      <c r="T45">
        <v>3</v>
      </c>
    </row>
    <row r="46" spans="1:20" x14ac:dyDescent="0.4">
      <c r="A46" t="s">
        <v>205</v>
      </c>
      <c r="B46" t="s">
        <v>21</v>
      </c>
      <c r="C46">
        <v>131</v>
      </c>
      <c r="D46" t="s">
        <v>2</v>
      </c>
      <c r="E46" s="23">
        <v>44990</v>
      </c>
      <c r="F46">
        <v>140</v>
      </c>
      <c r="G46">
        <v>3.8824999999999998</v>
      </c>
      <c r="H46" t="s">
        <v>1108</v>
      </c>
      <c r="I46">
        <v>4.0999999999999996</v>
      </c>
      <c r="J46">
        <v>2023</v>
      </c>
      <c r="K46" t="s">
        <v>3</v>
      </c>
      <c r="L46" t="s">
        <v>1112</v>
      </c>
      <c r="M46">
        <v>4</v>
      </c>
      <c r="N46">
        <v>67</v>
      </c>
      <c r="O46">
        <v>7216</v>
      </c>
      <c r="P46">
        <v>0.47857142857142859</v>
      </c>
      <c r="Q46">
        <v>67</v>
      </c>
      <c r="R46">
        <v>0.47857142857142859</v>
      </c>
      <c r="S46" t="s">
        <v>1055</v>
      </c>
      <c r="T46">
        <v>3</v>
      </c>
    </row>
    <row r="47" spans="1:20" x14ac:dyDescent="0.4">
      <c r="A47" t="s">
        <v>208</v>
      </c>
      <c r="B47" t="s">
        <v>21</v>
      </c>
      <c r="C47">
        <v>113</v>
      </c>
      <c r="D47" t="s">
        <v>2</v>
      </c>
      <c r="E47" s="23">
        <v>44990</v>
      </c>
      <c r="F47">
        <v>42</v>
      </c>
      <c r="G47">
        <v>3.8824999999999998</v>
      </c>
      <c r="H47" t="s">
        <v>1108</v>
      </c>
      <c r="I47">
        <v>4.2</v>
      </c>
      <c r="J47">
        <v>2023</v>
      </c>
      <c r="K47" t="s">
        <v>3</v>
      </c>
      <c r="L47" t="s">
        <v>1111</v>
      </c>
      <c r="M47">
        <v>4</v>
      </c>
      <c r="N47">
        <v>67</v>
      </c>
      <c r="O47">
        <v>7216</v>
      </c>
      <c r="P47">
        <v>1.5952380952380953</v>
      </c>
      <c r="Q47">
        <v>67</v>
      </c>
      <c r="R47">
        <v>1.5952380952380953</v>
      </c>
      <c r="S47" t="s">
        <v>1055</v>
      </c>
      <c r="T47">
        <v>3</v>
      </c>
    </row>
    <row r="48" spans="1:20" x14ac:dyDescent="0.4">
      <c r="A48" t="s">
        <v>215</v>
      </c>
      <c r="B48" t="s">
        <v>32</v>
      </c>
      <c r="C48">
        <v>103</v>
      </c>
      <c r="D48" t="s">
        <v>2</v>
      </c>
      <c r="E48" s="23">
        <v>44992</v>
      </c>
      <c r="F48">
        <v>172</v>
      </c>
      <c r="G48">
        <v>3.8824999999999998</v>
      </c>
      <c r="H48" t="s">
        <v>1108</v>
      </c>
      <c r="I48">
        <v>4.3</v>
      </c>
      <c r="J48">
        <v>2023</v>
      </c>
      <c r="K48" t="s">
        <v>18</v>
      </c>
      <c r="L48" t="s">
        <v>1111</v>
      </c>
      <c r="M48">
        <v>4</v>
      </c>
      <c r="N48">
        <v>63</v>
      </c>
      <c r="O48">
        <v>5634</v>
      </c>
      <c r="P48">
        <v>0.36627906976744184</v>
      </c>
      <c r="Q48">
        <v>63</v>
      </c>
      <c r="R48">
        <v>0.36627906976744184</v>
      </c>
      <c r="S48" t="s">
        <v>1055</v>
      </c>
      <c r="T48">
        <v>3</v>
      </c>
    </row>
    <row r="49" spans="1:20" x14ac:dyDescent="0.4">
      <c r="A49" t="s">
        <v>216</v>
      </c>
      <c r="B49" t="s">
        <v>32</v>
      </c>
      <c r="C49">
        <v>75</v>
      </c>
      <c r="D49" t="s">
        <v>2</v>
      </c>
      <c r="E49" s="23">
        <v>44992</v>
      </c>
      <c r="F49">
        <v>111</v>
      </c>
      <c r="G49">
        <v>3.8824999999999998</v>
      </c>
      <c r="H49" t="s">
        <v>1108</v>
      </c>
      <c r="I49">
        <v>3.4</v>
      </c>
      <c r="J49">
        <v>2023</v>
      </c>
      <c r="K49" t="s">
        <v>18</v>
      </c>
      <c r="L49" t="s">
        <v>1111</v>
      </c>
      <c r="M49">
        <v>3</v>
      </c>
      <c r="N49">
        <v>63</v>
      </c>
      <c r="O49">
        <v>5634</v>
      </c>
      <c r="P49">
        <v>0.56756756756756754</v>
      </c>
      <c r="Q49">
        <v>63</v>
      </c>
      <c r="R49">
        <v>0.56756756756756754</v>
      </c>
      <c r="S49" t="s">
        <v>1055</v>
      </c>
      <c r="T49">
        <v>3</v>
      </c>
    </row>
    <row r="50" spans="1:20" x14ac:dyDescent="0.4">
      <c r="A50" t="s">
        <v>217</v>
      </c>
      <c r="B50" t="s">
        <v>30</v>
      </c>
      <c r="C50">
        <v>92</v>
      </c>
      <c r="D50" t="s">
        <v>2</v>
      </c>
      <c r="E50" s="23">
        <v>44992</v>
      </c>
      <c r="F50">
        <v>58</v>
      </c>
      <c r="G50">
        <v>3.8824999999999998</v>
      </c>
      <c r="H50" t="s">
        <v>1108</v>
      </c>
      <c r="I50">
        <v>3.6</v>
      </c>
      <c r="J50">
        <v>2023</v>
      </c>
      <c r="K50" t="s">
        <v>18</v>
      </c>
      <c r="L50" t="s">
        <v>1111</v>
      </c>
      <c r="M50">
        <v>4</v>
      </c>
      <c r="N50">
        <v>69</v>
      </c>
      <c r="O50">
        <v>7230</v>
      </c>
      <c r="P50">
        <v>1.1896551724137931</v>
      </c>
      <c r="Q50">
        <v>69</v>
      </c>
      <c r="R50">
        <v>1.1896551724137931</v>
      </c>
      <c r="S50" t="s">
        <v>1055</v>
      </c>
      <c r="T50">
        <v>3</v>
      </c>
    </row>
    <row r="51" spans="1:20" x14ac:dyDescent="0.4">
      <c r="A51" t="s">
        <v>222</v>
      </c>
      <c r="B51" t="s">
        <v>44</v>
      </c>
      <c r="C51">
        <v>20</v>
      </c>
      <c r="D51" t="s">
        <v>2</v>
      </c>
      <c r="E51" s="23">
        <v>44994</v>
      </c>
      <c r="F51">
        <v>22</v>
      </c>
      <c r="G51">
        <v>3.8824999999999998</v>
      </c>
      <c r="H51" t="s">
        <v>1108</v>
      </c>
      <c r="I51">
        <v>1.6</v>
      </c>
      <c r="J51">
        <v>2023</v>
      </c>
      <c r="K51" t="s">
        <v>37</v>
      </c>
      <c r="L51" t="s">
        <v>1110</v>
      </c>
      <c r="M51">
        <v>2</v>
      </c>
      <c r="N51">
        <v>62</v>
      </c>
      <c r="O51">
        <v>6176</v>
      </c>
      <c r="P51">
        <v>2.8181818181818183</v>
      </c>
      <c r="Q51">
        <v>62</v>
      </c>
      <c r="R51">
        <v>2.8181818181818183</v>
      </c>
      <c r="S51" t="s">
        <v>1055</v>
      </c>
      <c r="T51">
        <v>3</v>
      </c>
    </row>
    <row r="52" spans="1:20" x14ac:dyDescent="0.4">
      <c r="A52" t="s">
        <v>226</v>
      </c>
      <c r="B52" t="s">
        <v>6</v>
      </c>
      <c r="C52">
        <v>155</v>
      </c>
      <c r="D52" t="s">
        <v>2</v>
      </c>
      <c r="E52" s="23">
        <v>44995</v>
      </c>
      <c r="F52">
        <v>164</v>
      </c>
      <c r="G52">
        <v>3.8824999999999998</v>
      </c>
      <c r="H52" t="s">
        <v>1108</v>
      </c>
      <c r="I52">
        <v>3.4</v>
      </c>
      <c r="J52">
        <v>2023</v>
      </c>
      <c r="K52" t="s">
        <v>45</v>
      </c>
      <c r="L52" t="s">
        <v>1112</v>
      </c>
      <c r="M52">
        <v>3</v>
      </c>
      <c r="N52">
        <v>82</v>
      </c>
      <c r="O52">
        <v>7689</v>
      </c>
      <c r="P52">
        <v>0.5</v>
      </c>
      <c r="Q52">
        <v>82</v>
      </c>
      <c r="R52">
        <v>0.5</v>
      </c>
      <c r="S52" t="s">
        <v>1055</v>
      </c>
      <c r="T52">
        <v>3</v>
      </c>
    </row>
    <row r="53" spans="1:20" x14ac:dyDescent="0.4">
      <c r="A53" t="s">
        <v>232</v>
      </c>
      <c r="B53" t="s">
        <v>8</v>
      </c>
      <c r="C53">
        <v>84</v>
      </c>
      <c r="D53" t="s">
        <v>2</v>
      </c>
      <c r="E53" s="23">
        <v>44996</v>
      </c>
      <c r="F53">
        <v>54</v>
      </c>
      <c r="G53">
        <v>3.8824999999999998</v>
      </c>
      <c r="H53" t="s">
        <v>1108</v>
      </c>
      <c r="I53">
        <v>4.2</v>
      </c>
      <c r="J53">
        <v>2023</v>
      </c>
      <c r="K53" t="s">
        <v>48</v>
      </c>
      <c r="L53" t="s">
        <v>1111</v>
      </c>
      <c r="M53">
        <v>4</v>
      </c>
      <c r="N53">
        <v>79</v>
      </c>
      <c r="O53">
        <v>7747</v>
      </c>
      <c r="P53">
        <v>1.462962962962963</v>
      </c>
      <c r="Q53">
        <v>79</v>
      </c>
      <c r="R53">
        <v>1.462962962962963</v>
      </c>
      <c r="S53" t="s">
        <v>1055</v>
      </c>
      <c r="T53">
        <v>3</v>
      </c>
    </row>
    <row r="54" spans="1:20" x14ac:dyDescent="0.4">
      <c r="A54" t="s">
        <v>236</v>
      </c>
      <c r="B54" t="s">
        <v>30</v>
      </c>
      <c r="C54">
        <v>134</v>
      </c>
      <c r="D54" t="s">
        <v>2</v>
      </c>
      <c r="E54" s="23">
        <v>44996</v>
      </c>
      <c r="F54">
        <v>180</v>
      </c>
      <c r="G54">
        <v>3.8824999999999998</v>
      </c>
      <c r="H54" t="s">
        <v>1108</v>
      </c>
      <c r="I54">
        <v>3.1</v>
      </c>
      <c r="J54">
        <v>2023</v>
      </c>
      <c r="K54" t="s">
        <v>48</v>
      </c>
      <c r="L54" t="s">
        <v>1112</v>
      </c>
      <c r="M54">
        <v>3</v>
      </c>
      <c r="N54">
        <v>69</v>
      </c>
      <c r="O54">
        <v>7230</v>
      </c>
      <c r="P54">
        <v>0.38333333333333336</v>
      </c>
      <c r="Q54">
        <v>69</v>
      </c>
      <c r="R54">
        <v>0.38333333333333336</v>
      </c>
      <c r="S54" t="s">
        <v>1055</v>
      </c>
      <c r="T54">
        <v>3</v>
      </c>
    </row>
    <row r="55" spans="1:20" x14ac:dyDescent="0.4">
      <c r="A55" t="s">
        <v>242</v>
      </c>
      <c r="B55" t="s">
        <v>30</v>
      </c>
      <c r="C55">
        <v>144</v>
      </c>
      <c r="D55" t="s">
        <v>2</v>
      </c>
      <c r="E55" s="23">
        <v>44998</v>
      </c>
      <c r="F55">
        <v>140</v>
      </c>
      <c r="G55">
        <v>3.8824999999999998</v>
      </c>
      <c r="H55" t="s">
        <v>1108</v>
      </c>
      <c r="I55">
        <v>3.5</v>
      </c>
      <c r="J55">
        <v>2023</v>
      </c>
      <c r="K55" t="s">
        <v>15</v>
      </c>
      <c r="L55" t="s">
        <v>1112</v>
      </c>
      <c r="M55">
        <v>4</v>
      </c>
      <c r="N55">
        <v>69</v>
      </c>
      <c r="O55">
        <v>7230</v>
      </c>
      <c r="P55">
        <v>0.49285714285714288</v>
      </c>
      <c r="Q55">
        <v>69</v>
      </c>
      <c r="R55">
        <v>0.49285714285714288</v>
      </c>
      <c r="S55" t="s">
        <v>1055</v>
      </c>
      <c r="T55">
        <v>3</v>
      </c>
    </row>
    <row r="56" spans="1:20" x14ac:dyDescent="0.4">
      <c r="A56" t="s">
        <v>243</v>
      </c>
      <c r="B56" t="s">
        <v>54</v>
      </c>
      <c r="C56">
        <v>145</v>
      </c>
      <c r="D56" t="s">
        <v>2</v>
      </c>
      <c r="E56" s="23">
        <v>44998</v>
      </c>
      <c r="F56">
        <v>136</v>
      </c>
      <c r="G56">
        <v>3.8824999999999998</v>
      </c>
      <c r="H56" t="s">
        <v>1108</v>
      </c>
      <c r="I56">
        <v>4.4000000000000004</v>
      </c>
      <c r="J56">
        <v>2023</v>
      </c>
      <c r="K56" t="s">
        <v>15</v>
      </c>
      <c r="L56" t="s">
        <v>1112</v>
      </c>
      <c r="M56">
        <v>4</v>
      </c>
      <c r="N56">
        <v>70</v>
      </c>
      <c r="O56">
        <v>6819</v>
      </c>
      <c r="P56">
        <v>0.51470588235294112</v>
      </c>
      <c r="Q56">
        <v>70</v>
      </c>
      <c r="R56">
        <v>0.51470588235294112</v>
      </c>
      <c r="S56" t="s">
        <v>1055</v>
      </c>
      <c r="T56">
        <v>3</v>
      </c>
    </row>
    <row r="57" spans="1:20" x14ac:dyDescent="0.4">
      <c r="A57" t="s">
        <v>252</v>
      </c>
      <c r="B57" t="s">
        <v>40</v>
      </c>
      <c r="C57">
        <v>63</v>
      </c>
      <c r="D57" t="s">
        <v>2</v>
      </c>
      <c r="E57" s="23">
        <v>44999</v>
      </c>
      <c r="F57">
        <v>105</v>
      </c>
      <c r="G57">
        <v>3.8824999999999998</v>
      </c>
      <c r="H57" t="s">
        <v>1108</v>
      </c>
      <c r="I57">
        <v>3.3</v>
      </c>
      <c r="J57">
        <v>2023</v>
      </c>
      <c r="K57" t="s">
        <v>18</v>
      </c>
      <c r="L57" t="s">
        <v>1111</v>
      </c>
      <c r="M57">
        <v>3</v>
      </c>
      <c r="N57">
        <v>69</v>
      </c>
      <c r="O57">
        <v>6601</v>
      </c>
      <c r="P57">
        <v>0.65714285714285714</v>
      </c>
      <c r="Q57">
        <v>69</v>
      </c>
      <c r="R57">
        <v>0.65714285714285714</v>
      </c>
      <c r="S57" t="s">
        <v>1055</v>
      </c>
      <c r="T57">
        <v>3</v>
      </c>
    </row>
    <row r="58" spans="1:20" x14ac:dyDescent="0.4">
      <c r="A58" t="s">
        <v>255</v>
      </c>
      <c r="B58" t="s">
        <v>44</v>
      </c>
      <c r="C58">
        <v>138</v>
      </c>
      <c r="D58" t="s">
        <v>2</v>
      </c>
      <c r="E58" s="23">
        <v>45000</v>
      </c>
      <c r="F58">
        <v>44</v>
      </c>
      <c r="G58">
        <v>3.8824999999999998</v>
      </c>
      <c r="H58" t="s">
        <v>1108</v>
      </c>
      <c r="I58">
        <v>3.8</v>
      </c>
      <c r="J58">
        <v>2023</v>
      </c>
      <c r="K58" t="s">
        <v>33</v>
      </c>
      <c r="L58" t="s">
        <v>1112</v>
      </c>
      <c r="M58">
        <v>4</v>
      </c>
      <c r="N58">
        <v>62</v>
      </c>
      <c r="O58">
        <v>6176</v>
      </c>
      <c r="P58">
        <v>1.4090909090909092</v>
      </c>
      <c r="Q58">
        <v>62</v>
      </c>
      <c r="R58">
        <v>1.4090909090909092</v>
      </c>
      <c r="S58" t="s">
        <v>1055</v>
      </c>
      <c r="T58">
        <v>3</v>
      </c>
    </row>
    <row r="59" spans="1:20" x14ac:dyDescent="0.4">
      <c r="A59" t="s">
        <v>261</v>
      </c>
      <c r="B59" t="s">
        <v>64</v>
      </c>
      <c r="C59">
        <v>127</v>
      </c>
      <c r="D59" t="s">
        <v>2</v>
      </c>
      <c r="E59" s="23">
        <v>45001</v>
      </c>
      <c r="F59">
        <v>150</v>
      </c>
      <c r="G59">
        <v>3.8824999999999998</v>
      </c>
      <c r="H59" t="s">
        <v>1108</v>
      </c>
      <c r="I59">
        <v>4.4000000000000004</v>
      </c>
      <c r="J59">
        <v>2023</v>
      </c>
      <c r="K59" t="s">
        <v>37</v>
      </c>
      <c r="L59" t="s">
        <v>1112</v>
      </c>
      <c r="M59">
        <v>4</v>
      </c>
      <c r="N59">
        <v>65</v>
      </c>
      <c r="O59">
        <v>6785</v>
      </c>
      <c r="P59">
        <v>0.43333333333333335</v>
      </c>
      <c r="Q59">
        <v>65</v>
      </c>
      <c r="R59">
        <v>0.43333333333333335</v>
      </c>
      <c r="S59" t="s">
        <v>1055</v>
      </c>
      <c r="T59">
        <v>3</v>
      </c>
    </row>
    <row r="60" spans="1:20" x14ac:dyDescent="0.4">
      <c r="A60" t="s">
        <v>263</v>
      </c>
      <c r="B60" t="s">
        <v>6</v>
      </c>
      <c r="C60">
        <v>94</v>
      </c>
      <c r="D60" t="s">
        <v>2</v>
      </c>
      <c r="E60" s="23">
        <v>45001</v>
      </c>
      <c r="F60">
        <v>99</v>
      </c>
      <c r="G60">
        <v>3.8824999999999998</v>
      </c>
      <c r="H60" t="s">
        <v>1108</v>
      </c>
      <c r="I60">
        <v>4.9000000000000004</v>
      </c>
      <c r="J60">
        <v>2023</v>
      </c>
      <c r="K60" t="s">
        <v>37</v>
      </c>
      <c r="L60" t="s">
        <v>1111</v>
      </c>
      <c r="M60">
        <v>5</v>
      </c>
      <c r="N60">
        <v>82</v>
      </c>
      <c r="O60">
        <v>7689</v>
      </c>
      <c r="P60">
        <v>0.82828282828282829</v>
      </c>
      <c r="Q60">
        <v>82</v>
      </c>
      <c r="R60">
        <v>0.82828282828282829</v>
      </c>
      <c r="S60" t="s">
        <v>1055</v>
      </c>
      <c r="T60">
        <v>3</v>
      </c>
    </row>
    <row r="61" spans="1:20" x14ac:dyDescent="0.4">
      <c r="A61" t="s">
        <v>269</v>
      </c>
      <c r="B61" t="s">
        <v>26</v>
      </c>
      <c r="C61">
        <v>64</v>
      </c>
      <c r="D61" t="s">
        <v>2</v>
      </c>
      <c r="E61" s="23">
        <v>45002</v>
      </c>
      <c r="F61">
        <v>22</v>
      </c>
      <c r="G61">
        <v>3.8824999999999998</v>
      </c>
      <c r="H61" t="s">
        <v>1108</v>
      </c>
      <c r="I61">
        <v>4.0999999999999996</v>
      </c>
      <c r="J61">
        <v>2023</v>
      </c>
      <c r="K61" t="s">
        <v>45</v>
      </c>
      <c r="L61" t="s">
        <v>1111</v>
      </c>
      <c r="M61">
        <v>4</v>
      </c>
      <c r="N61">
        <v>72</v>
      </c>
      <c r="O61">
        <v>6242</v>
      </c>
      <c r="P61">
        <v>3.2727272727272729</v>
      </c>
      <c r="Q61">
        <v>72</v>
      </c>
      <c r="R61">
        <v>3.2727272727272729</v>
      </c>
      <c r="S61" t="s">
        <v>1055</v>
      </c>
      <c r="T61">
        <v>3</v>
      </c>
    </row>
    <row r="62" spans="1:20" x14ac:dyDescent="0.4">
      <c r="A62" t="s">
        <v>280</v>
      </c>
      <c r="B62" t="s">
        <v>8</v>
      </c>
      <c r="C62">
        <v>56</v>
      </c>
      <c r="D62" t="s">
        <v>2</v>
      </c>
      <c r="E62" s="23">
        <v>45005</v>
      </c>
      <c r="F62">
        <v>31</v>
      </c>
      <c r="G62">
        <v>3.8824999999999998</v>
      </c>
      <c r="H62" t="s">
        <v>1108</v>
      </c>
      <c r="I62">
        <v>4.4000000000000004</v>
      </c>
      <c r="J62">
        <v>2023</v>
      </c>
      <c r="K62" t="s">
        <v>15</v>
      </c>
      <c r="L62" t="s">
        <v>1109</v>
      </c>
      <c r="M62">
        <v>4</v>
      </c>
      <c r="N62">
        <v>79</v>
      </c>
      <c r="O62">
        <v>7747</v>
      </c>
      <c r="P62">
        <v>2.5483870967741935</v>
      </c>
      <c r="Q62">
        <v>79</v>
      </c>
      <c r="R62">
        <v>2.5483870967741935</v>
      </c>
      <c r="S62" t="s">
        <v>1055</v>
      </c>
      <c r="T62">
        <v>3</v>
      </c>
    </row>
    <row r="63" spans="1:20" x14ac:dyDescent="0.4">
      <c r="A63" t="s">
        <v>282</v>
      </c>
      <c r="B63" t="s">
        <v>6</v>
      </c>
      <c r="C63">
        <v>55</v>
      </c>
      <c r="D63" t="s">
        <v>2</v>
      </c>
      <c r="E63" s="23">
        <v>45005</v>
      </c>
      <c r="F63">
        <v>99</v>
      </c>
      <c r="G63">
        <v>3.8824999999999998</v>
      </c>
      <c r="H63" t="s">
        <v>1108</v>
      </c>
      <c r="I63">
        <v>2.7</v>
      </c>
      <c r="J63">
        <v>2023</v>
      </c>
      <c r="K63" t="s">
        <v>15</v>
      </c>
      <c r="L63" t="s">
        <v>1109</v>
      </c>
      <c r="M63">
        <v>3</v>
      </c>
      <c r="N63">
        <v>82</v>
      </c>
      <c r="O63">
        <v>7689</v>
      </c>
      <c r="P63">
        <v>0.82828282828282829</v>
      </c>
      <c r="Q63">
        <v>82</v>
      </c>
      <c r="R63">
        <v>0.82828282828282829</v>
      </c>
      <c r="S63" t="s">
        <v>1055</v>
      </c>
      <c r="T63">
        <v>3</v>
      </c>
    </row>
    <row r="64" spans="1:20" x14ac:dyDescent="0.4">
      <c r="A64" t="s">
        <v>290</v>
      </c>
      <c r="B64" t="s">
        <v>54</v>
      </c>
      <c r="C64">
        <v>154</v>
      </c>
      <c r="D64" t="s">
        <v>2</v>
      </c>
      <c r="E64" s="23">
        <v>45006</v>
      </c>
      <c r="F64">
        <v>90</v>
      </c>
      <c r="G64">
        <v>3.8824999999999998</v>
      </c>
      <c r="H64" t="s">
        <v>1108</v>
      </c>
      <c r="I64">
        <v>4.5</v>
      </c>
      <c r="J64">
        <v>2023</v>
      </c>
      <c r="K64" t="s">
        <v>18</v>
      </c>
      <c r="L64" t="s">
        <v>1112</v>
      </c>
      <c r="M64">
        <v>5</v>
      </c>
      <c r="N64">
        <v>70</v>
      </c>
      <c r="O64">
        <v>6819</v>
      </c>
      <c r="P64">
        <v>0.77777777777777779</v>
      </c>
      <c r="Q64">
        <v>70</v>
      </c>
      <c r="R64">
        <v>0.77777777777777779</v>
      </c>
      <c r="S64" t="s">
        <v>1055</v>
      </c>
      <c r="T64">
        <v>3</v>
      </c>
    </row>
    <row r="65" spans="1:20" x14ac:dyDescent="0.4">
      <c r="A65" t="s">
        <v>301</v>
      </c>
      <c r="B65" t="s">
        <v>54</v>
      </c>
      <c r="C65">
        <v>125</v>
      </c>
      <c r="D65" t="s">
        <v>2</v>
      </c>
      <c r="E65" s="23">
        <v>45010</v>
      </c>
      <c r="F65">
        <v>27</v>
      </c>
      <c r="G65">
        <v>3.8824999999999998</v>
      </c>
      <c r="H65" t="s">
        <v>1108</v>
      </c>
      <c r="I65">
        <v>3</v>
      </c>
      <c r="J65">
        <v>2023</v>
      </c>
      <c r="K65" t="s">
        <v>48</v>
      </c>
      <c r="L65" t="s">
        <v>1112</v>
      </c>
      <c r="M65">
        <v>3</v>
      </c>
      <c r="N65">
        <v>70</v>
      </c>
      <c r="O65">
        <v>6819</v>
      </c>
      <c r="P65">
        <v>2.5925925925925926</v>
      </c>
      <c r="Q65">
        <v>70</v>
      </c>
      <c r="R65">
        <v>2.5925925925925926</v>
      </c>
      <c r="S65" t="s">
        <v>1055</v>
      </c>
      <c r="T65">
        <v>3</v>
      </c>
    </row>
    <row r="66" spans="1:20" x14ac:dyDescent="0.4">
      <c r="A66" t="s">
        <v>304</v>
      </c>
      <c r="B66" t="s">
        <v>40</v>
      </c>
      <c r="C66">
        <v>149</v>
      </c>
      <c r="D66" t="s">
        <v>2</v>
      </c>
      <c r="E66" s="23">
        <v>45010</v>
      </c>
      <c r="F66">
        <v>60</v>
      </c>
      <c r="G66">
        <v>3.8824999999999998</v>
      </c>
      <c r="H66" t="s">
        <v>1108</v>
      </c>
      <c r="I66">
        <v>3.9</v>
      </c>
      <c r="J66">
        <v>2023</v>
      </c>
      <c r="K66" t="s">
        <v>48</v>
      </c>
      <c r="L66" t="s">
        <v>1112</v>
      </c>
      <c r="M66">
        <v>4</v>
      </c>
      <c r="N66">
        <v>69</v>
      </c>
      <c r="O66">
        <v>6601</v>
      </c>
      <c r="P66">
        <v>1.1499999999999999</v>
      </c>
      <c r="Q66">
        <v>69</v>
      </c>
      <c r="R66">
        <v>1.1499999999999999</v>
      </c>
      <c r="S66" t="s">
        <v>1055</v>
      </c>
      <c r="T66">
        <v>3</v>
      </c>
    </row>
    <row r="67" spans="1:20" x14ac:dyDescent="0.4">
      <c r="A67" t="s">
        <v>307</v>
      </c>
      <c r="B67" t="s">
        <v>1</v>
      </c>
      <c r="C67">
        <v>160</v>
      </c>
      <c r="D67" t="s">
        <v>2</v>
      </c>
      <c r="E67" s="23">
        <v>45010</v>
      </c>
      <c r="F67">
        <v>116</v>
      </c>
      <c r="G67">
        <v>3.8824999999999998</v>
      </c>
      <c r="H67" t="s">
        <v>1108</v>
      </c>
      <c r="I67">
        <v>3.4</v>
      </c>
      <c r="J67">
        <v>2023</v>
      </c>
      <c r="K67" t="s">
        <v>48</v>
      </c>
      <c r="L67" t="s">
        <v>1112</v>
      </c>
      <c r="M67">
        <v>3</v>
      </c>
      <c r="N67">
        <v>50</v>
      </c>
      <c r="O67">
        <v>4804</v>
      </c>
      <c r="P67">
        <v>0.43103448275862066</v>
      </c>
      <c r="Q67">
        <v>50</v>
      </c>
      <c r="R67">
        <v>0.43103448275862066</v>
      </c>
      <c r="S67" t="s">
        <v>1055</v>
      </c>
      <c r="T67">
        <v>3</v>
      </c>
    </row>
    <row r="68" spans="1:20" x14ac:dyDescent="0.4">
      <c r="A68" t="s">
        <v>309</v>
      </c>
      <c r="B68" t="s">
        <v>44</v>
      </c>
      <c r="C68">
        <v>77</v>
      </c>
      <c r="D68" t="s">
        <v>2</v>
      </c>
      <c r="E68" s="23">
        <v>45011</v>
      </c>
      <c r="F68">
        <v>130</v>
      </c>
      <c r="G68">
        <v>3.8824999999999998</v>
      </c>
      <c r="H68" t="s">
        <v>1108</v>
      </c>
      <c r="I68">
        <v>4.2</v>
      </c>
      <c r="J68">
        <v>2023</v>
      </c>
      <c r="K68" t="s">
        <v>3</v>
      </c>
      <c r="L68" t="s">
        <v>1111</v>
      </c>
      <c r="M68">
        <v>4</v>
      </c>
      <c r="N68">
        <v>62</v>
      </c>
      <c r="O68">
        <v>6176</v>
      </c>
      <c r="P68">
        <v>0.47692307692307695</v>
      </c>
      <c r="Q68">
        <v>62</v>
      </c>
      <c r="R68">
        <v>0.47692307692307695</v>
      </c>
      <c r="S68" t="s">
        <v>1055</v>
      </c>
      <c r="T68">
        <v>3</v>
      </c>
    </row>
    <row r="69" spans="1:20" x14ac:dyDescent="0.4">
      <c r="A69" t="s">
        <v>312</v>
      </c>
      <c r="B69" t="s">
        <v>6</v>
      </c>
      <c r="C69">
        <v>103</v>
      </c>
      <c r="D69" t="s">
        <v>2</v>
      </c>
      <c r="E69" s="23">
        <v>45011</v>
      </c>
      <c r="F69">
        <v>42</v>
      </c>
      <c r="G69">
        <v>3.8824999999999998</v>
      </c>
      <c r="H69" t="s">
        <v>1108</v>
      </c>
      <c r="I69">
        <v>2.8</v>
      </c>
      <c r="J69">
        <v>2023</v>
      </c>
      <c r="K69" t="s">
        <v>3</v>
      </c>
      <c r="L69" t="s">
        <v>1111</v>
      </c>
      <c r="M69">
        <v>3</v>
      </c>
      <c r="N69">
        <v>82</v>
      </c>
      <c r="O69">
        <v>7689</v>
      </c>
      <c r="P69">
        <v>1.9523809523809523</v>
      </c>
      <c r="Q69">
        <v>82</v>
      </c>
      <c r="R69">
        <v>1.9523809523809523</v>
      </c>
      <c r="S69" t="s">
        <v>1055</v>
      </c>
      <c r="T69">
        <v>3</v>
      </c>
    </row>
    <row r="70" spans="1:20" x14ac:dyDescent="0.4">
      <c r="A70" t="s">
        <v>325</v>
      </c>
      <c r="B70" t="s">
        <v>30</v>
      </c>
      <c r="C70">
        <v>63</v>
      </c>
      <c r="D70" t="s">
        <v>2</v>
      </c>
      <c r="E70" s="23">
        <v>45014</v>
      </c>
      <c r="F70">
        <v>82</v>
      </c>
      <c r="G70">
        <v>3.8824999999999998</v>
      </c>
      <c r="H70" t="s">
        <v>1108</v>
      </c>
      <c r="I70">
        <v>4.5</v>
      </c>
      <c r="J70">
        <v>2023</v>
      </c>
      <c r="K70" t="s">
        <v>33</v>
      </c>
      <c r="L70" t="s">
        <v>1111</v>
      </c>
      <c r="M70">
        <v>5</v>
      </c>
      <c r="N70">
        <v>69</v>
      </c>
      <c r="O70">
        <v>7230</v>
      </c>
      <c r="P70">
        <v>0.84146341463414631</v>
      </c>
      <c r="Q70">
        <v>69</v>
      </c>
      <c r="R70">
        <v>0.84146341463414631</v>
      </c>
      <c r="S70" t="s">
        <v>1055</v>
      </c>
      <c r="T70">
        <v>3</v>
      </c>
    </row>
    <row r="71" spans="1:20" x14ac:dyDescent="0.4">
      <c r="A71" t="s">
        <v>327</v>
      </c>
      <c r="B71" t="s">
        <v>84</v>
      </c>
      <c r="C71">
        <v>95</v>
      </c>
      <c r="D71" t="s">
        <v>2</v>
      </c>
      <c r="E71" s="23">
        <v>45014</v>
      </c>
      <c r="F71">
        <v>111</v>
      </c>
      <c r="G71">
        <v>3.8824999999999998</v>
      </c>
      <c r="H71" t="s">
        <v>1108</v>
      </c>
      <c r="I71">
        <v>3.3</v>
      </c>
      <c r="J71">
        <v>2023</v>
      </c>
      <c r="K71" t="s">
        <v>33</v>
      </c>
      <c r="L71" t="s">
        <v>1111</v>
      </c>
      <c r="M71">
        <v>3</v>
      </c>
      <c r="N71">
        <v>59</v>
      </c>
      <c r="O71">
        <v>5009</v>
      </c>
      <c r="P71">
        <v>0.53153153153153154</v>
      </c>
      <c r="Q71">
        <v>59</v>
      </c>
      <c r="R71">
        <v>0.53153153153153154</v>
      </c>
      <c r="S71" t="s">
        <v>1055</v>
      </c>
      <c r="T71">
        <v>3</v>
      </c>
    </row>
    <row r="72" spans="1:20" x14ac:dyDescent="0.4">
      <c r="A72" t="s">
        <v>329</v>
      </c>
      <c r="B72" t="s">
        <v>13</v>
      </c>
      <c r="C72">
        <v>49</v>
      </c>
      <c r="D72" t="s">
        <v>2</v>
      </c>
      <c r="E72" s="23">
        <v>45014</v>
      </c>
      <c r="F72">
        <v>80</v>
      </c>
      <c r="G72">
        <v>3.8824999999999998</v>
      </c>
      <c r="H72" t="s">
        <v>1108</v>
      </c>
      <c r="I72">
        <v>3</v>
      </c>
      <c r="J72">
        <v>2023</v>
      </c>
      <c r="K72" t="s">
        <v>33</v>
      </c>
      <c r="L72" t="s">
        <v>1109</v>
      </c>
      <c r="M72">
        <v>3</v>
      </c>
      <c r="N72">
        <v>74</v>
      </c>
      <c r="O72">
        <v>6749</v>
      </c>
      <c r="P72">
        <v>0.92500000000000004</v>
      </c>
      <c r="Q72">
        <v>74</v>
      </c>
      <c r="R72">
        <v>0.92500000000000004</v>
      </c>
      <c r="S72" t="s">
        <v>1055</v>
      </c>
      <c r="T72">
        <v>3</v>
      </c>
    </row>
    <row r="73" spans="1:20" x14ac:dyDescent="0.4">
      <c r="A73" t="s">
        <v>331</v>
      </c>
      <c r="B73" t="s">
        <v>40</v>
      </c>
      <c r="C73">
        <v>87</v>
      </c>
      <c r="D73" t="s">
        <v>2</v>
      </c>
      <c r="E73" s="23">
        <v>45016</v>
      </c>
      <c r="F73">
        <v>225</v>
      </c>
      <c r="G73">
        <v>3.8824999999999998</v>
      </c>
      <c r="H73" t="s">
        <v>1108</v>
      </c>
      <c r="I73">
        <v>2.9</v>
      </c>
      <c r="J73">
        <v>2023</v>
      </c>
      <c r="K73" t="s">
        <v>45</v>
      </c>
      <c r="L73" t="s">
        <v>1111</v>
      </c>
      <c r="M73">
        <v>3</v>
      </c>
      <c r="N73">
        <v>69</v>
      </c>
      <c r="O73">
        <v>6601</v>
      </c>
      <c r="P73">
        <v>0.30666666666666664</v>
      </c>
      <c r="Q73">
        <v>69</v>
      </c>
      <c r="R73">
        <v>0.30666666666666664</v>
      </c>
      <c r="S73" t="s">
        <v>1055</v>
      </c>
      <c r="T73">
        <v>3</v>
      </c>
    </row>
    <row r="74" spans="1:20" x14ac:dyDescent="0.4">
      <c r="A74" t="s">
        <v>337</v>
      </c>
      <c r="B74" t="s">
        <v>54</v>
      </c>
      <c r="C74">
        <v>71</v>
      </c>
      <c r="D74" t="s">
        <v>2</v>
      </c>
      <c r="E74" s="23">
        <v>45018</v>
      </c>
      <c r="F74">
        <v>110</v>
      </c>
      <c r="G74">
        <v>3.8824999999999998</v>
      </c>
      <c r="H74" t="s">
        <v>1108</v>
      </c>
      <c r="I74">
        <v>4.8</v>
      </c>
      <c r="J74">
        <v>2023</v>
      </c>
      <c r="K74" t="s">
        <v>3</v>
      </c>
      <c r="L74" t="s">
        <v>1111</v>
      </c>
      <c r="M74">
        <v>5</v>
      </c>
      <c r="N74">
        <v>70</v>
      </c>
      <c r="O74">
        <v>6819</v>
      </c>
      <c r="P74">
        <v>0.63636363636363635</v>
      </c>
      <c r="Q74">
        <v>70</v>
      </c>
      <c r="R74">
        <v>0.63636363636363635</v>
      </c>
      <c r="S74" t="s">
        <v>1056</v>
      </c>
      <c r="T74">
        <v>4</v>
      </c>
    </row>
    <row r="75" spans="1:20" x14ac:dyDescent="0.4">
      <c r="A75" t="s">
        <v>350</v>
      </c>
      <c r="B75" t="s">
        <v>44</v>
      </c>
      <c r="C75">
        <v>60</v>
      </c>
      <c r="D75" t="s">
        <v>2</v>
      </c>
      <c r="E75" s="23">
        <v>45022</v>
      </c>
      <c r="F75">
        <v>116</v>
      </c>
      <c r="G75">
        <v>3.8824999999999998</v>
      </c>
      <c r="H75" t="s">
        <v>1108</v>
      </c>
      <c r="I75">
        <v>3.9</v>
      </c>
      <c r="J75">
        <v>2023</v>
      </c>
      <c r="K75" t="s">
        <v>37</v>
      </c>
      <c r="L75" t="s">
        <v>1109</v>
      </c>
      <c r="M75">
        <v>4</v>
      </c>
      <c r="N75">
        <v>62</v>
      </c>
      <c r="O75">
        <v>6176</v>
      </c>
      <c r="P75">
        <v>0.53448275862068961</v>
      </c>
      <c r="Q75">
        <v>62</v>
      </c>
      <c r="R75">
        <v>0.53448275862068961</v>
      </c>
      <c r="S75" t="s">
        <v>1056</v>
      </c>
      <c r="T75">
        <v>4</v>
      </c>
    </row>
    <row r="76" spans="1:20" x14ac:dyDescent="0.4">
      <c r="A76" t="s">
        <v>354</v>
      </c>
      <c r="B76" t="s">
        <v>64</v>
      </c>
      <c r="C76">
        <v>150</v>
      </c>
      <c r="D76" t="s">
        <v>2</v>
      </c>
      <c r="E76" s="23">
        <v>45023</v>
      </c>
      <c r="F76">
        <v>24</v>
      </c>
      <c r="G76">
        <v>3.8824999999999998</v>
      </c>
      <c r="H76" t="s">
        <v>1108</v>
      </c>
      <c r="I76">
        <v>3.8</v>
      </c>
      <c r="J76">
        <v>2023</v>
      </c>
      <c r="K76" t="s">
        <v>45</v>
      </c>
      <c r="L76" t="s">
        <v>1112</v>
      </c>
      <c r="M76">
        <v>4</v>
      </c>
      <c r="N76">
        <v>65</v>
      </c>
      <c r="O76">
        <v>6785</v>
      </c>
      <c r="P76">
        <v>2.7083333333333335</v>
      </c>
      <c r="Q76">
        <v>65</v>
      </c>
      <c r="R76">
        <v>2.7083333333333335</v>
      </c>
      <c r="S76" t="s">
        <v>1056</v>
      </c>
      <c r="T76">
        <v>4</v>
      </c>
    </row>
    <row r="77" spans="1:20" x14ac:dyDescent="0.4">
      <c r="A77" t="s">
        <v>362</v>
      </c>
      <c r="B77" t="s">
        <v>13</v>
      </c>
      <c r="C77">
        <v>49</v>
      </c>
      <c r="D77" t="s">
        <v>2</v>
      </c>
      <c r="E77" s="23">
        <v>45024</v>
      </c>
      <c r="F77">
        <v>172</v>
      </c>
      <c r="G77">
        <v>3.8824999999999998</v>
      </c>
      <c r="H77" t="s">
        <v>1108</v>
      </c>
      <c r="I77">
        <v>2.9</v>
      </c>
      <c r="J77">
        <v>2023</v>
      </c>
      <c r="K77" t="s">
        <v>48</v>
      </c>
      <c r="L77" t="s">
        <v>1109</v>
      </c>
      <c r="M77">
        <v>3</v>
      </c>
      <c r="N77">
        <v>74</v>
      </c>
      <c r="O77">
        <v>6749</v>
      </c>
      <c r="P77">
        <v>0.43023255813953487</v>
      </c>
      <c r="Q77">
        <v>74</v>
      </c>
      <c r="R77">
        <v>0.43023255813953487</v>
      </c>
      <c r="S77" t="s">
        <v>1056</v>
      </c>
      <c r="T77">
        <v>4</v>
      </c>
    </row>
    <row r="78" spans="1:20" x14ac:dyDescent="0.4">
      <c r="A78" t="s">
        <v>364</v>
      </c>
      <c r="B78" t="s">
        <v>64</v>
      </c>
      <c r="C78">
        <v>157</v>
      </c>
      <c r="D78" t="s">
        <v>2</v>
      </c>
      <c r="E78" s="23">
        <v>45024</v>
      </c>
      <c r="F78">
        <v>72</v>
      </c>
      <c r="G78">
        <v>3.8824999999999998</v>
      </c>
      <c r="H78" t="s">
        <v>1108</v>
      </c>
      <c r="I78">
        <v>3.7</v>
      </c>
      <c r="J78">
        <v>2023</v>
      </c>
      <c r="K78" t="s">
        <v>48</v>
      </c>
      <c r="L78" t="s">
        <v>1112</v>
      </c>
      <c r="M78">
        <v>4</v>
      </c>
      <c r="N78">
        <v>65</v>
      </c>
      <c r="O78">
        <v>6785</v>
      </c>
      <c r="P78">
        <v>0.90277777777777779</v>
      </c>
      <c r="Q78">
        <v>65</v>
      </c>
      <c r="R78">
        <v>0.90277777777777779</v>
      </c>
      <c r="S78" t="s">
        <v>1056</v>
      </c>
      <c r="T78">
        <v>4</v>
      </c>
    </row>
    <row r="79" spans="1:20" x14ac:dyDescent="0.4">
      <c r="A79" t="s">
        <v>371</v>
      </c>
      <c r="B79" t="s">
        <v>32</v>
      </c>
      <c r="C79">
        <v>47</v>
      </c>
      <c r="D79" t="s">
        <v>2</v>
      </c>
      <c r="E79" s="23">
        <v>45025</v>
      </c>
      <c r="F79">
        <v>132</v>
      </c>
      <c r="G79">
        <v>3.8824999999999998</v>
      </c>
      <c r="H79" t="s">
        <v>1108</v>
      </c>
      <c r="I79">
        <v>3.7</v>
      </c>
      <c r="J79">
        <v>2023</v>
      </c>
      <c r="K79" t="s">
        <v>3</v>
      </c>
      <c r="L79" t="s">
        <v>1109</v>
      </c>
      <c r="M79">
        <v>4</v>
      </c>
      <c r="N79">
        <v>63</v>
      </c>
      <c r="O79">
        <v>5634</v>
      </c>
      <c r="P79">
        <v>0.47727272727272729</v>
      </c>
      <c r="Q79">
        <v>63</v>
      </c>
      <c r="R79">
        <v>0.47727272727272729</v>
      </c>
      <c r="S79" t="s">
        <v>1056</v>
      </c>
      <c r="T79">
        <v>4</v>
      </c>
    </row>
    <row r="80" spans="1:20" x14ac:dyDescent="0.4">
      <c r="A80" t="s">
        <v>378</v>
      </c>
      <c r="B80" t="s">
        <v>21</v>
      </c>
      <c r="C80">
        <v>25</v>
      </c>
      <c r="D80" t="s">
        <v>2</v>
      </c>
      <c r="E80" s="23">
        <v>45027</v>
      </c>
      <c r="F80">
        <v>75</v>
      </c>
      <c r="G80">
        <v>3.8824999999999998</v>
      </c>
      <c r="H80" t="s">
        <v>1108</v>
      </c>
      <c r="I80">
        <v>3.9</v>
      </c>
      <c r="J80">
        <v>2023</v>
      </c>
      <c r="K80" t="s">
        <v>18</v>
      </c>
      <c r="L80" t="s">
        <v>1110</v>
      </c>
      <c r="M80">
        <v>4</v>
      </c>
      <c r="N80">
        <v>67</v>
      </c>
      <c r="O80">
        <v>7216</v>
      </c>
      <c r="P80">
        <v>0.89333333333333331</v>
      </c>
      <c r="Q80">
        <v>67</v>
      </c>
      <c r="R80">
        <v>0.89333333333333331</v>
      </c>
      <c r="S80" t="s">
        <v>1056</v>
      </c>
      <c r="T80">
        <v>4</v>
      </c>
    </row>
    <row r="81" spans="1:20" x14ac:dyDescent="0.4">
      <c r="A81" t="s">
        <v>380</v>
      </c>
      <c r="B81" t="s">
        <v>54</v>
      </c>
      <c r="C81">
        <v>89</v>
      </c>
      <c r="D81" t="s">
        <v>2</v>
      </c>
      <c r="E81" s="23">
        <v>45028</v>
      </c>
      <c r="F81">
        <v>200</v>
      </c>
      <c r="G81">
        <v>3.8824999999999998</v>
      </c>
      <c r="H81" t="s">
        <v>1108</v>
      </c>
      <c r="I81">
        <v>4.8</v>
      </c>
      <c r="J81">
        <v>2023</v>
      </c>
      <c r="K81" t="s">
        <v>33</v>
      </c>
      <c r="L81" t="s">
        <v>1111</v>
      </c>
      <c r="M81">
        <v>5</v>
      </c>
      <c r="N81">
        <v>70</v>
      </c>
      <c r="O81">
        <v>6819</v>
      </c>
      <c r="P81">
        <v>0.35</v>
      </c>
      <c r="Q81">
        <v>70</v>
      </c>
      <c r="R81">
        <v>0.35</v>
      </c>
      <c r="S81" t="s">
        <v>1056</v>
      </c>
      <c r="T81">
        <v>4</v>
      </c>
    </row>
    <row r="82" spans="1:20" x14ac:dyDescent="0.4">
      <c r="A82" t="s">
        <v>388</v>
      </c>
      <c r="B82" t="s">
        <v>30</v>
      </c>
      <c r="C82">
        <v>139</v>
      </c>
      <c r="D82" t="s">
        <v>2</v>
      </c>
      <c r="E82" s="23">
        <v>45031</v>
      </c>
      <c r="F82">
        <v>114</v>
      </c>
      <c r="G82">
        <v>3.8824999999999998</v>
      </c>
      <c r="H82" t="s">
        <v>1108</v>
      </c>
      <c r="I82">
        <v>4</v>
      </c>
      <c r="J82">
        <v>2023</v>
      </c>
      <c r="K82" t="s">
        <v>48</v>
      </c>
      <c r="L82" t="s">
        <v>1112</v>
      </c>
      <c r="M82">
        <v>4</v>
      </c>
      <c r="N82">
        <v>69</v>
      </c>
      <c r="O82">
        <v>7230</v>
      </c>
      <c r="P82">
        <v>0.60526315789473684</v>
      </c>
      <c r="Q82">
        <v>69</v>
      </c>
      <c r="R82">
        <v>0.60526315789473684</v>
      </c>
      <c r="S82" t="s">
        <v>1056</v>
      </c>
      <c r="T82">
        <v>4</v>
      </c>
    </row>
    <row r="83" spans="1:20" x14ac:dyDescent="0.4">
      <c r="A83" t="s">
        <v>389</v>
      </c>
      <c r="B83" t="s">
        <v>84</v>
      </c>
      <c r="C83">
        <v>102</v>
      </c>
      <c r="D83" t="s">
        <v>2</v>
      </c>
      <c r="E83" s="23">
        <v>45031</v>
      </c>
      <c r="F83">
        <v>60</v>
      </c>
      <c r="G83">
        <v>3.8824999999999998</v>
      </c>
      <c r="H83" t="s">
        <v>1108</v>
      </c>
      <c r="I83">
        <v>3.8</v>
      </c>
      <c r="J83">
        <v>2023</v>
      </c>
      <c r="K83" t="s">
        <v>48</v>
      </c>
      <c r="L83" t="s">
        <v>1111</v>
      </c>
      <c r="M83">
        <v>4</v>
      </c>
      <c r="N83">
        <v>59</v>
      </c>
      <c r="O83">
        <v>5009</v>
      </c>
      <c r="P83">
        <v>0.98333333333333328</v>
      </c>
      <c r="Q83">
        <v>59</v>
      </c>
      <c r="R83">
        <v>0.98333333333333328</v>
      </c>
      <c r="S83" t="s">
        <v>1056</v>
      </c>
      <c r="T83">
        <v>4</v>
      </c>
    </row>
    <row r="84" spans="1:20" x14ac:dyDescent="0.4">
      <c r="A84" t="s">
        <v>392</v>
      </c>
      <c r="B84" t="s">
        <v>40</v>
      </c>
      <c r="C84">
        <v>85</v>
      </c>
      <c r="D84" t="s">
        <v>2</v>
      </c>
      <c r="E84" s="23">
        <v>45031</v>
      </c>
      <c r="F84">
        <v>129</v>
      </c>
      <c r="G84">
        <v>3.8824999999999998</v>
      </c>
      <c r="H84" t="s">
        <v>1108</v>
      </c>
      <c r="I84">
        <v>4.2</v>
      </c>
      <c r="J84">
        <v>2023</v>
      </c>
      <c r="K84" t="s">
        <v>48</v>
      </c>
      <c r="L84" t="s">
        <v>1111</v>
      </c>
      <c r="M84">
        <v>4</v>
      </c>
      <c r="N84">
        <v>69</v>
      </c>
      <c r="O84">
        <v>6601</v>
      </c>
      <c r="P84">
        <v>0.53488372093023251</v>
      </c>
      <c r="Q84">
        <v>69</v>
      </c>
      <c r="R84">
        <v>0.53488372093023251</v>
      </c>
      <c r="S84" t="s">
        <v>1056</v>
      </c>
      <c r="T84">
        <v>4</v>
      </c>
    </row>
    <row r="85" spans="1:20" x14ac:dyDescent="0.4">
      <c r="A85" t="s">
        <v>404</v>
      </c>
      <c r="B85" t="s">
        <v>84</v>
      </c>
      <c r="C85">
        <v>64</v>
      </c>
      <c r="D85" t="s">
        <v>2</v>
      </c>
      <c r="E85" s="23">
        <v>45033</v>
      </c>
      <c r="F85">
        <v>88</v>
      </c>
      <c r="G85">
        <v>3.8824999999999998</v>
      </c>
      <c r="H85" t="s">
        <v>1108</v>
      </c>
      <c r="I85">
        <v>4.3</v>
      </c>
      <c r="J85">
        <v>2023</v>
      </c>
      <c r="K85" t="s">
        <v>15</v>
      </c>
      <c r="L85" t="s">
        <v>1111</v>
      </c>
      <c r="M85">
        <v>4</v>
      </c>
      <c r="N85">
        <v>59</v>
      </c>
      <c r="O85">
        <v>5009</v>
      </c>
      <c r="P85">
        <v>0.67045454545454541</v>
      </c>
      <c r="Q85">
        <v>59</v>
      </c>
      <c r="R85">
        <v>0.67045454545454541</v>
      </c>
      <c r="S85" t="s">
        <v>1056</v>
      </c>
      <c r="T85">
        <v>4</v>
      </c>
    </row>
    <row r="86" spans="1:20" x14ac:dyDescent="0.4">
      <c r="A86" t="s">
        <v>408</v>
      </c>
      <c r="B86" t="s">
        <v>8</v>
      </c>
      <c r="C86">
        <v>88</v>
      </c>
      <c r="D86" t="s">
        <v>2</v>
      </c>
      <c r="E86" s="23">
        <v>45034</v>
      </c>
      <c r="F86">
        <v>81</v>
      </c>
      <c r="G86">
        <v>3.8824999999999998</v>
      </c>
      <c r="H86" t="s">
        <v>1108</v>
      </c>
      <c r="I86">
        <v>4.2</v>
      </c>
      <c r="J86">
        <v>2023</v>
      </c>
      <c r="K86" t="s">
        <v>18</v>
      </c>
      <c r="L86" t="s">
        <v>1111</v>
      </c>
      <c r="M86">
        <v>4</v>
      </c>
      <c r="N86">
        <v>79</v>
      </c>
      <c r="O86">
        <v>7747</v>
      </c>
      <c r="P86">
        <v>0.97530864197530864</v>
      </c>
      <c r="Q86">
        <v>79</v>
      </c>
      <c r="R86">
        <v>0.97530864197530864</v>
      </c>
      <c r="S86" t="s">
        <v>1056</v>
      </c>
      <c r="T86">
        <v>4</v>
      </c>
    </row>
    <row r="87" spans="1:20" x14ac:dyDescent="0.4">
      <c r="A87" t="s">
        <v>409</v>
      </c>
      <c r="B87" t="s">
        <v>30</v>
      </c>
      <c r="C87">
        <v>6</v>
      </c>
      <c r="D87" t="s">
        <v>2</v>
      </c>
      <c r="E87" s="23">
        <v>45034</v>
      </c>
      <c r="F87">
        <v>75</v>
      </c>
      <c r="G87">
        <v>3.8824999999999998</v>
      </c>
      <c r="H87" t="s">
        <v>1108</v>
      </c>
      <c r="I87">
        <v>3.9</v>
      </c>
      <c r="J87">
        <v>2023</v>
      </c>
      <c r="K87" t="s">
        <v>18</v>
      </c>
      <c r="L87" t="s">
        <v>1113</v>
      </c>
      <c r="M87">
        <v>4</v>
      </c>
      <c r="N87">
        <v>69</v>
      </c>
      <c r="O87">
        <v>7230</v>
      </c>
      <c r="P87">
        <v>0.92</v>
      </c>
      <c r="Q87">
        <v>69</v>
      </c>
      <c r="R87">
        <v>0.92</v>
      </c>
      <c r="S87" t="s">
        <v>1056</v>
      </c>
      <c r="T87">
        <v>4</v>
      </c>
    </row>
    <row r="88" spans="1:20" x14ac:dyDescent="0.4">
      <c r="A88" t="s">
        <v>420</v>
      </c>
      <c r="B88" t="s">
        <v>6</v>
      </c>
      <c r="C88">
        <v>82</v>
      </c>
      <c r="D88" t="s">
        <v>2</v>
      </c>
      <c r="E88" s="23">
        <v>45037</v>
      </c>
      <c r="F88">
        <v>144</v>
      </c>
      <c r="G88">
        <v>3.8824999999999998</v>
      </c>
      <c r="H88" t="s">
        <v>1108</v>
      </c>
      <c r="I88">
        <v>3.3</v>
      </c>
      <c r="J88">
        <v>2023</v>
      </c>
      <c r="K88" t="s">
        <v>45</v>
      </c>
      <c r="L88" t="s">
        <v>1111</v>
      </c>
      <c r="M88">
        <v>3</v>
      </c>
      <c r="N88">
        <v>82</v>
      </c>
      <c r="O88">
        <v>7689</v>
      </c>
      <c r="P88">
        <v>0.56944444444444442</v>
      </c>
      <c r="Q88">
        <v>82</v>
      </c>
      <c r="R88">
        <v>0.56944444444444442</v>
      </c>
      <c r="S88" t="s">
        <v>1056</v>
      </c>
      <c r="T88">
        <v>4</v>
      </c>
    </row>
    <row r="89" spans="1:20" x14ac:dyDescent="0.4">
      <c r="A89" t="s">
        <v>422</v>
      </c>
      <c r="B89" t="s">
        <v>84</v>
      </c>
      <c r="C89">
        <v>55</v>
      </c>
      <c r="D89" t="s">
        <v>2</v>
      </c>
      <c r="E89" s="23">
        <v>45037</v>
      </c>
      <c r="F89">
        <v>200</v>
      </c>
      <c r="G89">
        <v>3.8824999999999998</v>
      </c>
      <c r="H89" t="s">
        <v>1108</v>
      </c>
      <c r="I89">
        <v>2.2999999999999998</v>
      </c>
      <c r="J89">
        <v>2023</v>
      </c>
      <c r="K89" t="s">
        <v>45</v>
      </c>
      <c r="L89" t="s">
        <v>1109</v>
      </c>
      <c r="M89">
        <v>2</v>
      </c>
      <c r="N89">
        <v>59</v>
      </c>
      <c r="O89">
        <v>5009</v>
      </c>
      <c r="P89">
        <v>0.29499999999999998</v>
      </c>
      <c r="Q89">
        <v>59</v>
      </c>
      <c r="R89">
        <v>0.29499999999999998</v>
      </c>
      <c r="S89" t="s">
        <v>1056</v>
      </c>
      <c r="T89">
        <v>4</v>
      </c>
    </row>
    <row r="90" spans="1:20" x14ac:dyDescent="0.4">
      <c r="A90" t="s">
        <v>432</v>
      </c>
      <c r="B90" t="s">
        <v>26</v>
      </c>
      <c r="C90">
        <v>84</v>
      </c>
      <c r="D90" t="s">
        <v>2</v>
      </c>
      <c r="E90" s="23">
        <v>45038</v>
      </c>
      <c r="F90">
        <v>156</v>
      </c>
      <c r="G90">
        <v>3.8824999999999998</v>
      </c>
      <c r="H90" t="s">
        <v>1108</v>
      </c>
      <c r="I90">
        <v>3.2</v>
      </c>
      <c r="J90">
        <v>2023</v>
      </c>
      <c r="K90" t="s">
        <v>48</v>
      </c>
      <c r="L90" t="s">
        <v>1111</v>
      </c>
      <c r="M90">
        <v>3</v>
      </c>
      <c r="N90">
        <v>72</v>
      </c>
      <c r="O90">
        <v>6242</v>
      </c>
      <c r="P90">
        <v>0.46153846153846156</v>
      </c>
      <c r="Q90">
        <v>72</v>
      </c>
      <c r="R90">
        <v>0.46153846153846156</v>
      </c>
      <c r="S90" t="s">
        <v>1056</v>
      </c>
      <c r="T90">
        <v>4</v>
      </c>
    </row>
    <row r="91" spans="1:20" x14ac:dyDescent="0.4">
      <c r="A91" t="s">
        <v>452</v>
      </c>
      <c r="B91" t="s">
        <v>54</v>
      </c>
      <c r="C91">
        <v>26</v>
      </c>
      <c r="D91" t="s">
        <v>2</v>
      </c>
      <c r="E91" s="23">
        <v>45042</v>
      </c>
      <c r="F91">
        <v>87</v>
      </c>
      <c r="G91">
        <v>3.8824999999999998</v>
      </c>
      <c r="H91" t="s">
        <v>1108</v>
      </c>
      <c r="I91">
        <v>4.7</v>
      </c>
      <c r="J91">
        <v>2023</v>
      </c>
      <c r="K91" t="s">
        <v>33</v>
      </c>
      <c r="L91" t="s">
        <v>1110</v>
      </c>
      <c r="M91">
        <v>5</v>
      </c>
      <c r="N91">
        <v>70</v>
      </c>
      <c r="O91">
        <v>6819</v>
      </c>
      <c r="P91">
        <v>0.8045977011494253</v>
      </c>
      <c r="Q91">
        <v>70</v>
      </c>
      <c r="R91">
        <v>0.8045977011494253</v>
      </c>
      <c r="S91" t="s">
        <v>1056</v>
      </c>
      <c r="T91">
        <v>4</v>
      </c>
    </row>
    <row r="92" spans="1:20" x14ac:dyDescent="0.4">
      <c r="A92" t="s">
        <v>457</v>
      </c>
      <c r="B92" t="s">
        <v>21</v>
      </c>
      <c r="C92">
        <v>101</v>
      </c>
      <c r="D92" t="s">
        <v>2</v>
      </c>
      <c r="E92" s="23">
        <v>45043</v>
      </c>
      <c r="F92">
        <v>225</v>
      </c>
      <c r="G92">
        <v>3.8824999999999998</v>
      </c>
      <c r="H92" t="s">
        <v>1108</v>
      </c>
      <c r="I92">
        <v>1.9</v>
      </c>
      <c r="J92">
        <v>2023</v>
      </c>
      <c r="K92" t="s">
        <v>37</v>
      </c>
      <c r="L92" t="s">
        <v>1111</v>
      </c>
      <c r="M92">
        <v>2</v>
      </c>
      <c r="N92">
        <v>67</v>
      </c>
      <c r="O92">
        <v>7216</v>
      </c>
      <c r="P92">
        <v>0.29777777777777775</v>
      </c>
      <c r="Q92">
        <v>67</v>
      </c>
      <c r="R92">
        <v>0.29777777777777775</v>
      </c>
      <c r="S92" t="s">
        <v>1056</v>
      </c>
      <c r="T92">
        <v>4</v>
      </c>
    </row>
    <row r="93" spans="1:20" x14ac:dyDescent="0.4">
      <c r="A93" t="s">
        <v>458</v>
      </c>
      <c r="B93" t="s">
        <v>11</v>
      </c>
      <c r="C93">
        <v>156</v>
      </c>
      <c r="D93" t="s">
        <v>2</v>
      </c>
      <c r="E93" s="23">
        <v>45043</v>
      </c>
      <c r="F93">
        <v>42</v>
      </c>
      <c r="G93">
        <v>3.8824999999999998</v>
      </c>
      <c r="H93" t="s">
        <v>1108</v>
      </c>
      <c r="I93">
        <v>3.3</v>
      </c>
      <c r="J93">
        <v>2023</v>
      </c>
      <c r="K93" t="s">
        <v>37</v>
      </c>
      <c r="L93" t="s">
        <v>1112</v>
      </c>
      <c r="M93">
        <v>3</v>
      </c>
      <c r="N93">
        <v>60</v>
      </c>
      <c r="O93">
        <v>5404</v>
      </c>
      <c r="P93">
        <v>1.4285714285714286</v>
      </c>
      <c r="Q93">
        <v>60</v>
      </c>
      <c r="R93">
        <v>1.4285714285714286</v>
      </c>
      <c r="S93" t="s">
        <v>1056</v>
      </c>
      <c r="T93">
        <v>4</v>
      </c>
    </row>
    <row r="94" spans="1:20" x14ac:dyDescent="0.4">
      <c r="A94" t="s">
        <v>471</v>
      </c>
      <c r="B94" t="s">
        <v>32</v>
      </c>
      <c r="C94">
        <v>76</v>
      </c>
      <c r="D94" t="s">
        <v>2</v>
      </c>
      <c r="E94" s="23">
        <v>45047</v>
      </c>
      <c r="F94">
        <v>140</v>
      </c>
      <c r="G94">
        <v>3.8824999999999998</v>
      </c>
      <c r="H94" t="s">
        <v>1108</v>
      </c>
      <c r="I94">
        <v>3.7</v>
      </c>
      <c r="J94">
        <v>2023</v>
      </c>
      <c r="K94" t="s">
        <v>15</v>
      </c>
      <c r="L94" t="s">
        <v>1111</v>
      </c>
      <c r="M94">
        <v>4</v>
      </c>
      <c r="N94">
        <v>63</v>
      </c>
      <c r="O94">
        <v>5634</v>
      </c>
      <c r="P94">
        <v>0.45</v>
      </c>
      <c r="Q94">
        <v>63</v>
      </c>
      <c r="R94">
        <v>0.45</v>
      </c>
      <c r="S94" t="s">
        <v>1057</v>
      </c>
      <c r="T94">
        <v>5</v>
      </c>
    </row>
    <row r="95" spans="1:20" x14ac:dyDescent="0.4">
      <c r="A95" t="s">
        <v>490</v>
      </c>
      <c r="B95" t="s">
        <v>51</v>
      </c>
      <c r="C95">
        <v>73</v>
      </c>
      <c r="D95" t="s">
        <v>2</v>
      </c>
      <c r="E95" s="23">
        <v>45054</v>
      </c>
      <c r="F95">
        <v>87</v>
      </c>
      <c r="G95">
        <v>3.8824999999999998</v>
      </c>
      <c r="H95" t="s">
        <v>1108</v>
      </c>
      <c r="I95">
        <v>3.6</v>
      </c>
      <c r="J95">
        <v>2023</v>
      </c>
      <c r="K95" t="s">
        <v>15</v>
      </c>
      <c r="L95" t="s">
        <v>1111</v>
      </c>
      <c r="M95">
        <v>4</v>
      </c>
      <c r="N95">
        <v>59</v>
      </c>
      <c r="O95">
        <v>6518</v>
      </c>
      <c r="P95">
        <v>0.67816091954022983</v>
      </c>
      <c r="Q95">
        <v>59</v>
      </c>
      <c r="R95">
        <v>0.67816091954022983</v>
      </c>
      <c r="S95" t="s">
        <v>1057</v>
      </c>
      <c r="T95">
        <v>5</v>
      </c>
    </row>
    <row r="96" spans="1:20" x14ac:dyDescent="0.4">
      <c r="A96" t="s">
        <v>523</v>
      </c>
      <c r="B96" t="s">
        <v>26</v>
      </c>
      <c r="C96">
        <v>59</v>
      </c>
      <c r="D96" t="s">
        <v>2</v>
      </c>
      <c r="E96" s="23">
        <v>45070</v>
      </c>
      <c r="F96">
        <v>123</v>
      </c>
      <c r="G96">
        <v>3.8824999999999998</v>
      </c>
      <c r="H96" t="s">
        <v>1108</v>
      </c>
      <c r="I96">
        <v>3.6</v>
      </c>
      <c r="J96">
        <v>2023</v>
      </c>
      <c r="K96" t="s">
        <v>33</v>
      </c>
      <c r="L96" t="s">
        <v>1109</v>
      </c>
      <c r="M96">
        <v>4</v>
      </c>
      <c r="N96">
        <v>72</v>
      </c>
      <c r="O96">
        <v>6242</v>
      </c>
      <c r="P96">
        <v>0.58536585365853655</v>
      </c>
      <c r="Q96">
        <v>72</v>
      </c>
      <c r="R96">
        <v>0.58536585365853655</v>
      </c>
      <c r="S96" t="s">
        <v>1057</v>
      </c>
      <c r="T96">
        <v>5</v>
      </c>
    </row>
    <row r="97" spans="1:20" x14ac:dyDescent="0.4">
      <c r="A97" t="s">
        <v>533</v>
      </c>
      <c r="B97" t="s">
        <v>32</v>
      </c>
      <c r="C97">
        <v>103</v>
      </c>
      <c r="D97" t="s">
        <v>2</v>
      </c>
      <c r="E97" s="23">
        <v>45072</v>
      </c>
      <c r="F97">
        <v>62</v>
      </c>
      <c r="G97">
        <v>3.8824999999999998</v>
      </c>
      <c r="H97" t="s">
        <v>1108</v>
      </c>
      <c r="I97">
        <v>3.4</v>
      </c>
      <c r="J97">
        <v>2023</v>
      </c>
      <c r="K97" t="s">
        <v>45</v>
      </c>
      <c r="L97" t="s">
        <v>1111</v>
      </c>
      <c r="M97">
        <v>3</v>
      </c>
      <c r="N97">
        <v>63</v>
      </c>
      <c r="O97">
        <v>5634</v>
      </c>
      <c r="P97">
        <v>1.0161290322580645</v>
      </c>
      <c r="Q97">
        <v>63</v>
      </c>
      <c r="R97">
        <v>1.0161290322580645</v>
      </c>
      <c r="S97" t="s">
        <v>1057</v>
      </c>
      <c r="T97">
        <v>5</v>
      </c>
    </row>
    <row r="98" spans="1:20" x14ac:dyDescent="0.4">
      <c r="A98" t="s">
        <v>534</v>
      </c>
      <c r="B98" t="s">
        <v>11</v>
      </c>
      <c r="C98">
        <v>45</v>
      </c>
      <c r="D98" t="s">
        <v>2</v>
      </c>
      <c r="E98" s="23">
        <v>45072</v>
      </c>
      <c r="F98">
        <v>135</v>
      </c>
      <c r="G98">
        <v>3.8824999999999998</v>
      </c>
      <c r="H98" t="s">
        <v>1108</v>
      </c>
      <c r="I98">
        <v>3.9</v>
      </c>
      <c r="J98">
        <v>2023</v>
      </c>
      <c r="K98" t="s">
        <v>45</v>
      </c>
      <c r="L98" t="s">
        <v>1109</v>
      </c>
      <c r="M98">
        <v>4</v>
      </c>
      <c r="N98">
        <v>60</v>
      </c>
      <c r="O98">
        <v>5404</v>
      </c>
      <c r="P98">
        <v>0.44444444444444442</v>
      </c>
      <c r="Q98">
        <v>60</v>
      </c>
      <c r="R98">
        <v>0.44444444444444442</v>
      </c>
      <c r="S98" t="s">
        <v>1057</v>
      </c>
      <c r="T98">
        <v>5</v>
      </c>
    </row>
    <row r="99" spans="1:20" x14ac:dyDescent="0.4">
      <c r="A99" t="s">
        <v>540</v>
      </c>
      <c r="B99" t="s">
        <v>30</v>
      </c>
      <c r="C99">
        <v>40</v>
      </c>
      <c r="D99" t="s">
        <v>2</v>
      </c>
      <c r="E99" s="23">
        <v>45074</v>
      </c>
      <c r="F99">
        <v>116</v>
      </c>
      <c r="G99">
        <v>3.8824999999999998</v>
      </c>
      <c r="H99" t="s">
        <v>1108</v>
      </c>
      <c r="I99">
        <v>2.6</v>
      </c>
      <c r="J99">
        <v>2023</v>
      </c>
      <c r="K99" t="s">
        <v>3</v>
      </c>
      <c r="L99" t="s">
        <v>1109</v>
      </c>
      <c r="M99">
        <v>3</v>
      </c>
      <c r="N99">
        <v>69</v>
      </c>
      <c r="O99">
        <v>7230</v>
      </c>
      <c r="P99">
        <v>0.59482758620689657</v>
      </c>
      <c r="Q99">
        <v>69</v>
      </c>
      <c r="R99">
        <v>0.59482758620689657</v>
      </c>
      <c r="S99" t="s">
        <v>1057</v>
      </c>
      <c r="T99">
        <v>5</v>
      </c>
    </row>
    <row r="100" spans="1:20" x14ac:dyDescent="0.4">
      <c r="A100" t="s">
        <v>543</v>
      </c>
      <c r="B100" t="s">
        <v>40</v>
      </c>
      <c r="C100">
        <v>110</v>
      </c>
      <c r="D100" t="s">
        <v>2</v>
      </c>
      <c r="E100" s="23">
        <v>45075</v>
      </c>
      <c r="F100">
        <v>100</v>
      </c>
      <c r="G100">
        <v>3.8824999999999998</v>
      </c>
      <c r="H100" t="s">
        <v>1108</v>
      </c>
      <c r="I100">
        <v>4.4000000000000004</v>
      </c>
      <c r="J100">
        <v>2023</v>
      </c>
      <c r="K100" t="s">
        <v>15</v>
      </c>
      <c r="L100" t="s">
        <v>1111</v>
      </c>
      <c r="M100">
        <v>4</v>
      </c>
      <c r="N100">
        <v>69</v>
      </c>
      <c r="O100">
        <v>6601</v>
      </c>
      <c r="P100">
        <v>0.69</v>
      </c>
      <c r="Q100">
        <v>69</v>
      </c>
      <c r="R100">
        <v>0.69</v>
      </c>
      <c r="S100" t="s">
        <v>1057</v>
      </c>
      <c r="T100">
        <v>5</v>
      </c>
    </row>
    <row r="101" spans="1:20" x14ac:dyDescent="0.4">
      <c r="A101" t="s">
        <v>547</v>
      </c>
      <c r="B101" t="s">
        <v>21</v>
      </c>
      <c r="C101">
        <v>63</v>
      </c>
      <c r="D101" t="s">
        <v>2</v>
      </c>
      <c r="E101" s="23">
        <v>45076</v>
      </c>
      <c r="F101">
        <v>44</v>
      </c>
      <c r="G101">
        <v>3.8824999999999998</v>
      </c>
      <c r="H101" t="s">
        <v>1108</v>
      </c>
      <c r="I101">
        <v>3</v>
      </c>
      <c r="J101">
        <v>2023</v>
      </c>
      <c r="K101" t="s">
        <v>18</v>
      </c>
      <c r="L101" t="s">
        <v>1111</v>
      </c>
      <c r="M101">
        <v>3</v>
      </c>
      <c r="N101">
        <v>67</v>
      </c>
      <c r="O101">
        <v>7216</v>
      </c>
      <c r="P101">
        <v>1.5227272727272727</v>
      </c>
      <c r="Q101">
        <v>67</v>
      </c>
      <c r="R101">
        <v>1.5227272727272727</v>
      </c>
      <c r="S101" t="s">
        <v>1057</v>
      </c>
      <c r="T101">
        <v>5</v>
      </c>
    </row>
    <row r="102" spans="1:20" x14ac:dyDescent="0.4">
      <c r="A102" t="s">
        <v>565</v>
      </c>
      <c r="B102" t="s">
        <v>30</v>
      </c>
      <c r="C102">
        <v>125</v>
      </c>
      <c r="D102" t="s">
        <v>2</v>
      </c>
      <c r="E102" s="23">
        <v>45086</v>
      </c>
      <c r="F102">
        <v>87</v>
      </c>
      <c r="G102">
        <v>3.8824999999999998</v>
      </c>
      <c r="H102" t="s">
        <v>1108</v>
      </c>
      <c r="I102">
        <v>4.0999999999999996</v>
      </c>
      <c r="J102">
        <v>2023</v>
      </c>
      <c r="K102" t="s">
        <v>45</v>
      </c>
      <c r="L102" t="s">
        <v>1112</v>
      </c>
      <c r="M102">
        <v>4</v>
      </c>
      <c r="N102">
        <v>69</v>
      </c>
      <c r="O102">
        <v>7230</v>
      </c>
      <c r="P102">
        <v>0.7931034482758621</v>
      </c>
      <c r="Q102">
        <v>69</v>
      </c>
      <c r="R102">
        <v>0.7931034482758621</v>
      </c>
      <c r="S102" t="s">
        <v>1058</v>
      </c>
      <c r="T102">
        <v>6</v>
      </c>
    </row>
    <row r="103" spans="1:20" x14ac:dyDescent="0.4">
      <c r="A103" t="s">
        <v>570</v>
      </c>
      <c r="B103" t="s">
        <v>13</v>
      </c>
      <c r="C103">
        <v>147</v>
      </c>
      <c r="D103" t="s">
        <v>2</v>
      </c>
      <c r="E103" s="23">
        <v>45088</v>
      </c>
      <c r="F103">
        <v>82</v>
      </c>
      <c r="G103">
        <v>3.8824999999999998</v>
      </c>
      <c r="H103" t="s">
        <v>1108</v>
      </c>
      <c r="I103">
        <v>4.4000000000000004</v>
      </c>
      <c r="J103">
        <v>2023</v>
      </c>
      <c r="K103" t="s">
        <v>3</v>
      </c>
      <c r="L103" t="s">
        <v>1112</v>
      </c>
      <c r="M103">
        <v>4</v>
      </c>
      <c r="N103">
        <v>74</v>
      </c>
      <c r="O103">
        <v>6749</v>
      </c>
      <c r="P103">
        <v>0.90243902439024393</v>
      </c>
      <c r="Q103">
        <v>74</v>
      </c>
      <c r="R103">
        <v>0.90243902439024393</v>
      </c>
      <c r="S103" t="s">
        <v>1058</v>
      </c>
      <c r="T103">
        <v>6</v>
      </c>
    </row>
    <row r="104" spans="1:20" x14ac:dyDescent="0.4">
      <c r="A104" t="s">
        <v>573</v>
      </c>
      <c r="B104" t="s">
        <v>32</v>
      </c>
      <c r="C104">
        <v>121</v>
      </c>
      <c r="D104" t="s">
        <v>2</v>
      </c>
      <c r="E104" s="23">
        <v>45090</v>
      </c>
      <c r="F104">
        <v>84</v>
      </c>
      <c r="G104">
        <v>3.8824999999999998</v>
      </c>
      <c r="H104" t="s">
        <v>1108</v>
      </c>
      <c r="I104">
        <v>4.5999999999999996</v>
      </c>
      <c r="J104">
        <v>2023</v>
      </c>
      <c r="K104" t="s">
        <v>18</v>
      </c>
      <c r="L104" t="s">
        <v>1112</v>
      </c>
      <c r="M104">
        <v>5</v>
      </c>
      <c r="N104">
        <v>63</v>
      </c>
      <c r="O104">
        <v>5634</v>
      </c>
      <c r="P104">
        <v>0.75</v>
      </c>
      <c r="Q104">
        <v>63</v>
      </c>
      <c r="R104">
        <v>0.75</v>
      </c>
      <c r="S104" t="s">
        <v>1058</v>
      </c>
      <c r="T104">
        <v>6</v>
      </c>
    </row>
    <row r="105" spans="1:20" x14ac:dyDescent="0.4">
      <c r="A105" t="s">
        <v>574</v>
      </c>
      <c r="B105" t="s">
        <v>32</v>
      </c>
      <c r="C105">
        <v>60</v>
      </c>
      <c r="D105" t="s">
        <v>2</v>
      </c>
      <c r="E105" s="23">
        <v>45090</v>
      </c>
      <c r="F105">
        <v>37</v>
      </c>
      <c r="G105">
        <v>3.8824999999999998</v>
      </c>
      <c r="H105" t="s">
        <v>1108</v>
      </c>
      <c r="I105">
        <v>3.9</v>
      </c>
      <c r="J105">
        <v>2023</v>
      </c>
      <c r="K105" t="s">
        <v>18</v>
      </c>
      <c r="L105" t="s">
        <v>1109</v>
      </c>
      <c r="M105">
        <v>4</v>
      </c>
      <c r="N105">
        <v>63</v>
      </c>
      <c r="O105">
        <v>5634</v>
      </c>
      <c r="P105">
        <v>1.7027027027027026</v>
      </c>
      <c r="Q105">
        <v>63</v>
      </c>
      <c r="R105">
        <v>1.7027027027027026</v>
      </c>
      <c r="S105" t="s">
        <v>1058</v>
      </c>
      <c r="T105">
        <v>6</v>
      </c>
    </row>
    <row r="106" spans="1:20" x14ac:dyDescent="0.4">
      <c r="A106" t="s">
        <v>581</v>
      </c>
      <c r="B106" t="s">
        <v>8</v>
      </c>
      <c r="C106">
        <v>44</v>
      </c>
      <c r="D106" t="s">
        <v>2</v>
      </c>
      <c r="E106" s="23">
        <v>45092</v>
      </c>
      <c r="F106">
        <v>170</v>
      </c>
      <c r="G106">
        <v>3.8824999999999998</v>
      </c>
      <c r="H106" t="s">
        <v>1108</v>
      </c>
      <c r="I106">
        <v>3.8</v>
      </c>
      <c r="J106">
        <v>2023</v>
      </c>
      <c r="K106" t="s">
        <v>37</v>
      </c>
      <c r="L106" t="s">
        <v>1109</v>
      </c>
      <c r="M106">
        <v>4</v>
      </c>
      <c r="N106">
        <v>79</v>
      </c>
      <c r="O106">
        <v>7747</v>
      </c>
      <c r="P106">
        <v>0.46470588235294119</v>
      </c>
      <c r="Q106">
        <v>79</v>
      </c>
      <c r="R106">
        <v>0.46470588235294119</v>
      </c>
      <c r="S106" t="s">
        <v>1058</v>
      </c>
      <c r="T106">
        <v>6</v>
      </c>
    </row>
    <row r="107" spans="1:20" x14ac:dyDescent="0.4">
      <c r="A107" t="s">
        <v>594</v>
      </c>
      <c r="B107" t="s">
        <v>64</v>
      </c>
      <c r="C107">
        <v>102</v>
      </c>
      <c r="D107" t="s">
        <v>2</v>
      </c>
      <c r="E107" s="23">
        <v>45098</v>
      </c>
      <c r="F107">
        <v>76</v>
      </c>
      <c r="G107">
        <v>3.8824999999999998</v>
      </c>
      <c r="H107" t="s">
        <v>1108</v>
      </c>
      <c r="I107">
        <v>4.2</v>
      </c>
      <c r="J107">
        <v>2023</v>
      </c>
      <c r="K107" t="s">
        <v>33</v>
      </c>
      <c r="L107" t="s">
        <v>1111</v>
      </c>
      <c r="M107">
        <v>4</v>
      </c>
      <c r="N107">
        <v>65</v>
      </c>
      <c r="O107">
        <v>6785</v>
      </c>
      <c r="P107">
        <v>0.85526315789473684</v>
      </c>
      <c r="Q107">
        <v>65</v>
      </c>
      <c r="R107">
        <v>0.85526315789473684</v>
      </c>
      <c r="S107" t="s">
        <v>1058</v>
      </c>
      <c r="T107">
        <v>6</v>
      </c>
    </row>
    <row r="108" spans="1:20" x14ac:dyDescent="0.4">
      <c r="A108" t="s">
        <v>595</v>
      </c>
      <c r="B108" t="s">
        <v>51</v>
      </c>
      <c r="C108">
        <v>74</v>
      </c>
      <c r="D108" t="s">
        <v>2</v>
      </c>
      <c r="E108" s="23">
        <v>45098</v>
      </c>
      <c r="F108">
        <v>117</v>
      </c>
      <c r="G108">
        <v>3.8824999999999998</v>
      </c>
      <c r="H108" t="s">
        <v>1108</v>
      </c>
      <c r="I108">
        <v>4.8</v>
      </c>
      <c r="J108">
        <v>2023</v>
      </c>
      <c r="K108" t="s">
        <v>33</v>
      </c>
      <c r="L108" t="s">
        <v>1111</v>
      </c>
      <c r="M108">
        <v>5</v>
      </c>
      <c r="N108">
        <v>59</v>
      </c>
      <c r="O108">
        <v>6518</v>
      </c>
      <c r="P108">
        <v>0.50427350427350426</v>
      </c>
      <c r="Q108">
        <v>59</v>
      </c>
      <c r="R108">
        <v>0.50427350427350426</v>
      </c>
      <c r="S108" t="s">
        <v>1058</v>
      </c>
      <c r="T108">
        <v>6</v>
      </c>
    </row>
    <row r="109" spans="1:20" x14ac:dyDescent="0.4">
      <c r="A109" t="s">
        <v>598</v>
      </c>
      <c r="B109" t="s">
        <v>8</v>
      </c>
      <c r="C109">
        <v>96</v>
      </c>
      <c r="D109" t="s">
        <v>2</v>
      </c>
      <c r="E109" s="23">
        <v>45100</v>
      </c>
      <c r="F109">
        <v>46</v>
      </c>
      <c r="G109">
        <v>3.8824999999999998</v>
      </c>
      <c r="H109" t="s">
        <v>1108</v>
      </c>
      <c r="I109">
        <v>2.9</v>
      </c>
      <c r="J109">
        <v>2023</v>
      </c>
      <c r="K109" t="s">
        <v>45</v>
      </c>
      <c r="L109" t="s">
        <v>1111</v>
      </c>
      <c r="M109">
        <v>3</v>
      </c>
      <c r="N109">
        <v>79</v>
      </c>
      <c r="O109">
        <v>7747</v>
      </c>
      <c r="P109">
        <v>1.7173913043478262</v>
      </c>
      <c r="Q109">
        <v>79</v>
      </c>
      <c r="R109">
        <v>1.7173913043478262</v>
      </c>
      <c r="S109" t="s">
        <v>1058</v>
      </c>
      <c r="T109">
        <v>6</v>
      </c>
    </row>
    <row r="110" spans="1:20" x14ac:dyDescent="0.4">
      <c r="A110" t="s">
        <v>600</v>
      </c>
      <c r="B110" t="s">
        <v>8</v>
      </c>
      <c r="C110">
        <v>123</v>
      </c>
      <c r="D110" t="s">
        <v>2</v>
      </c>
      <c r="E110" s="23">
        <v>45101</v>
      </c>
      <c r="F110">
        <v>44</v>
      </c>
      <c r="G110">
        <v>3.8824999999999998</v>
      </c>
      <c r="H110" t="s">
        <v>1108</v>
      </c>
      <c r="I110">
        <v>4.5999999999999996</v>
      </c>
      <c r="J110">
        <v>2023</v>
      </c>
      <c r="K110" t="s">
        <v>48</v>
      </c>
      <c r="L110" t="s">
        <v>1112</v>
      </c>
      <c r="M110">
        <v>5</v>
      </c>
      <c r="N110">
        <v>79</v>
      </c>
      <c r="O110">
        <v>7747</v>
      </c>
      <c r="P110">
        <v>1.7954545454545454</v>
      </c>
      <c r="Q110">
        <v>79</v>
      </c>
      <c r="R110">
        <v>1.7954545454545454</v>
      </c>
      <c r="S110" t="s">
        <v>1058</v>
      </c>
      <c r="T110">
        <v>6</v>
      </c>
    </row>
    <row r="111" spans="1:20" x14ac:dyDescent="0.4">
      <c r="A111" t="s">
        <v>606</v>
      </c>
      <c r="B111" t="s">
        <v>21</v>
      </c>
      <c r="C111">
        <v>39</v>
      </c>
      <c r="D111" t="s">
        <v>2</v>
      </c>
      <c r="E111" s="23">
        <v>45103</v>
      </c>
      <c r="F111">
        <v>176</v>
      </c>
      <c r="G111">
        <v>3.8824999999999998</v>
      </c>
      <c r="H111" t="s">
        <v>1108</v>
      </c>
      <c r="I111">
        <v>4.3</v>
      </c>
      <c r="J111">
        <v>2023</v>
      </c>
      <c r="K111" t="s">
        <v>15</v>
      </c>
      <c r="L111" t="s">
        <v>1109</v>
      </c>
      <c r="M111">
        <v>4</v>
      </c>
      <c r="N111">
        <v>67</v>
      </c>
      <c r="O111">
        <v>7216</v>
      </c>
      <c r="P111">
        <v>0.38068181818181818</v>
      </c>
      <c r="Q111">
        <v>67</v>
      </c>
      <c r="R111">
        <v>0.38068181818181818</v>
      </c>
      <c r="S111" t="s">
        <v>1058</v>
      </c>
      <c r="T111">
        <v>6</v>
      </c>
    </row>
    <row r="112" spans="1:20" x14ac:dyDescent="0.4">
      <c r="A112" t="s">
        <v>613</v>
      </c>
      <c r="B112" t="s">
        <v>32</v>
      </c>
      <c r="C112">
        <v>80</v>
      </c>
      <c r="D112" t="s">
        <v>2</v>
      </c>
      <c r="E112" s="23">
        <v>45105</v>
      </c>
      <c r="F112">
        <v>68</v>
      </c>
      <c r="G112">
        <v>3.8824999999999998</v>
      </c>
      <c r="H112" t="s">
        <v>1108</v>
      </c>
      <c r="I112">
        <v>3.1</v>
      </c>
      <c r="J112">
        <v>2023</v>
      </c>
      <c r="K112" t="s">
        <v>33</v>
      </c>
      <c r="L112" t="s">
        <v>1111</v>
      </c>
      <c r="M112">
        <v>3</v>
      </c>
      <c r="N112">
        <v>63</v>
      </c>
      <c r="O112">
        <v>5634</v>
      </c>
      <c r="P112">
        <v>0.92647058823529416</v>
      </c>
      <c r="Q112">
        <v>63</v>
      </c>
      <c r="R112">
        <v>0.92647058823529416</v>
      </c>
      <c r="S112" t="s">
        <v>1058</v>
      </c>
      <c r="T112">
        <v>6</v>
      </c>
    </row>
    <row r="113" spans="1:20" x14ac:dyDescent="0.4">
      <c r="A113" t="s">
        <v>614</v>
      </c>
      <c r="B113" t="s">
        <v>64</v>
      </c>
      <c r="C113">
        <v>28</v>
      </c>
      <c r="D113" t="s">
        <v>2</v>
      </c>
      <c r="E113" s="23">
        <v>45105</v>
      </c>
      <c r="F113">
        <v>44</v>
      </c>
      <c r="G113">
        <v>3.8824999999999998</v>
      </c>
      <c r="H113" t="s">
        <v>1108</v>
      </c>
      <c r="I113">
        <v>2.9</v>
      </c>
      <c r="J113">
        <v>2023</v>
      </c>
      <c r="K113" t="s">
        <v>33</v>
      </c>
      <c r="L113" t="s">
        <v>1110</v>
      </c>
      <c r="M113">
        <v>3</v>
      </c>
      <c r="N113">
        <v>65</v>
      </c>
      <c r="O113">
        <v>6785</v>
      </c>
      <c r="P113">
        <v>1.4772727272727273</v>
      </c>
      <c r="Q113">
        <v>65</v>
      </c>
      <c r="R113">
        <v>1.4772727272727273</v>
      </c>
      <c r="S113" t="s">
        <v>1058</v>
      </c>
      <c r="T113">
        <v>6</v>
      </c>
    </row>
    <row r="114" spans="1:20" x14ac:dyDescent="0.4">
      <c r="A114" t="s">
        <v>618</v>
      </c>
      <c r="B114" t="s">
        <v>32</v>
      </c>
      <c r="C114">
        <v>90</v>
      </c>
      <c r="D114" t="s">
        <v>2</v>
      </c>
      <c r="E114" s="23">
        <v>45108</v>
      </c>
      <c r="F114">
        <v>129</v>
      </c>
      <c r="G114">
        <v>3.8824999999999998</v>
      </c>
      <c r="H114" t="s">
        <v>1108</v>
      </c>
      <c r="I114">
        <v>3.9</v>
      </c>
      <c r="J114">
        <v>2024</v>
      </c>
      <c r="K114" t="s">
        <v>48</v>
      </c>
      <c r="L114" t="s">
        <v>1111</v>
      </c>
      <c r="M114">
        <v>4</v>
      </c>
      <c r="N114">
        <v>63</v>
      </c>
      <c r="O114">
        <v>5634</v>
      </c>
      <c r="P114">
        <v>0.48837209302325579</v>
      </c>
      <c r="Q114">
        <v>63</v>
      </c>
      <c r="R114">
        <v>0.48837209302325579</v>
      </c>
      <c r="S114" t="s">
        <v>1059</v>
      </c>
      <c r="T114">
        <v>7</v>
      </c>
    </row>
    <row r="115" spans="1:20" x14ac:dyDescent="0.4">
      <c r="A115" t="s">
        <v>621</v>
      </c>
      <c r="B115" t="s">
        <v>64</v>
      </c>
      <c r="C115">
        <v>142</v>
      </c>
      <c r="D115" t="s">
        <v>2</v>
      </c>
      <c r="E115" s="23">
        <v>45108</v>
      </c>
      <c r="F115">
        <v>116</v>
      </c>
      <c r="G115">
        <v>3.8824999999999998</v>
      </c>
      <c r="H115" t="s">
        <v>1108</v>
      </c>
      <c r="I115">
        <v>4.2</v>
      </c>
      <c r="J115">
        <v>2024</v>
      </c>
      <c r="K115" t="s">
        <v>48</v>
      </c>
      <c r="L115" t="s">
        <v>1112</v>
      </c>
      <c r="M115">
        <v>4</v>
      </c>
      <c r="N115">
        <v>65</v>
      </c>
      <c r="O115">
        <v>6785</v>
      </c>
      <c r="P115">
        <v>0.56034482758620685</v>
      </c>
      <c r="Q115">
        <v>65</v>
      </c>
      <c r="R115">
        <v>0.56034482758620685</v>
      </c>
      <c r="S115" t="s">
        <v>1059</v>
      </c>
      <c r="T115">
        <v>7</v>
      </c>
    </row>
    <row r="116" spans="1:20" x14ac:dyDescent="0.4">
      <c r="A116" t="s">
        <v>627</v>
      </c>
      <c r="B116" t="s">
        <v>6</v>
      </c>
      <c r="C116">
        <v>57</v>
      </c>
      <c r="D116" t="s">
        <v>2</v>
      </c>
      <c r="E116" s="23">
        <v>45112</v>
      </c>
      <c r="F116">
        <v>120</v>
      </c>
      <c r="G116">
        <v>3.8824999999999998</v>
      </c>
      <c r="H116" t="s">
        <v>1108</v>
      </c>
      <c r="I116">
        <v>3.5</v>
      </c>
      <c r="J116">
        <v>2024</v>
      </c>
      <c r="K116" t="s">
        <v>33</v>
      </c>
      <c r="L116" t="s">
        <v>1109</v>
      </c>
      <c r="M116">
        <v>4</v>
      </c>
      <c r="N116">
        <v>82</v>
      </c>
      <c r="O116">
        <v>7689</v>
      </c>
      <c r="P116">
        <v>0.68333333333333335</v>
      </c>
      <c r="Q116">
        <v>82</v>
      </c>
      <c r="R116">
        <v>0.68333333333333335</v>
      </c>
      <c r="S116" t="s">
        <v>1059</v>
      </c>
      <c r="T116">
        <v>7</v>
      </c>
    </row>
    <row r="117" spans="1:20" x14ac:dyDescent="0.4">
      <c r="A117" t="s">
        <v>630</v>
      </c>
      <c r="B117" t="s">
        <v>1</v>
      </c>
      <c r="C117">
        <v>102</v>
      </c>
      <c r="D117" t="s">
        <v>2</v>
      </c>
      <c r="E117" s="23">
        <v>45113</v>
      </c>
      <c r="F117">
        <v>70</v>
      </c>
      <c r="G117">
        <v>3.8824999999999998</v>
      </c>
      <c r="H117" t="s">
        <v>1108</v>
      </c>
      <c r="I117">
        <v>2.8</v>
      </c>
      <c r="J117">
        <v>2024</v>
      </c>
      <c r="K117" t="s">
        <v>37</v>
      </c>
      <c r="L117" t="s">
        <v>1111</v>
      </c>
      <c r="M117">
        <v>3</v>
      </c>
      <c r="N117">
        <v>50</v>
      </c>
      <c r="O117">
        <v>4804</v>
      </c>
      <c r="P117">
        <v>0.7142857142857143</v>
      </c>
      <c r="Q117">
        <v>50</v>
      </c>
      <c r="R117">
        <v>0.7142857142857143</v>
      </c>
      <c r="S117" t="s">
        <v>1059</v>
      </c>
      <c r="T117">
        <v>7</v>
      </c>
    </row>
    <row r="118" spans="1:20" x14ac:dyDescent="0.4">
      <c r="A118" t="s">
        <v>636</v>
      </c>
      <c r="B118" t="s">
        <v>32</v>
      </c>
      <c r="C118">
        <v>72</v>
      </c>
      <c r="D118" t="s">
        <v>2</v>
      </c>
      <c r="E118" s="23">
        <v>45115</v>
      </c>
      <c r="F118">
        <v>76</v>
      </c>
      <c r="G118">
        <v>3.8824999999999998</v>
      </c>
      <c r="H118" t="s">
        <v>1108</v>
      </c>
      <c r="I118">
        <v>4.5</v>
      </c>
      <c r="J118">
        <v>2024</v>
      </c>
      <c r="K118" t="s">
        <v>48</v>
      </c>
      <c r="L118" t="s">
        <v>1111</v>
      </c>
      <c r="M118">
        <v>5</v>
      </c>
      <c r="N118">
        <v>63</v>
      </c>
      <c r="O118">
        <v>5634</v>
      </c>
      <c r="P118">
        <v>0.82894736842105265</v>
      </c>
      <c r="Q118">
        <v>63</v>
      </c>
      <c r="R118">
        <v>0.82894736842105265</v>
      </c>
      <c r="S118" t="s">
        <v>1059</v>
      </c>
      <c r="T118">
        <v>7</v>
      </c>
    </row>
    <row r="119" spans="1:20" x14ac:dyDescent="0.4">
      <c r="A119" t="s">
        <v>637</v>
      </c>
      <c r="B119" t="s">
        <v>6</v>
      </c>
      <c r="C119">
        <v>50</v>
      </c>
      <c r="D119" t="s">
        <v>2</v>
      </c>
      <c r="E119" s="23">
        <v>45115</v>
      </c>
      <c r="F119">
        <v>40</v>
      </c>
      <c r="G119">
        <v>3.8824999999999998</v>
      </c>
      <c r="H119" t="s">
        <v>1108</v>
      </c>
      <c r="I119">
        <v>5</v>
      </c>
      <c r="J119">
        <v>2024</v>
      </c>
      <c r="K119" t="s">
        <v>48</v>
      </c>
      <c r="L119" t="s">
        <v>1109</v>
      </c>
      <c r="M119">
        <v>5</v>
      </c>
      <c r="N119">
        <v>82</v>
      </c>
      <c r="O119">
        <v>7689</v>
      </c>
      <c r="P119">
        <v>2.0499999999999998</v>
      </c>
      <c r="Q119">
        <v>82</v>
      </c>
      <c r="R119">
        <v>2.0499999999999998</v>
      </c>
      <c r="S119" t="s">
        <v>1059</v>
      </c>
      <c r="T119">
        <v>7</v>
      </c>
    </row>
    <row r="120" spans="1:20" x14ac:dyDescent="0.4">
      <c r="A120" t="s">
        <v>649</v>
      </c>
      <c r="B120" t="s">
        <v>6</v>
      </c>
      <c r="C120">
        <v>31</v>
      </c>
      <c r="D120" t="s">
        <v>2</v>
      </c>
      <c r="E120" s="23">
        <v>45121</v>
      </c>
      <c r="F120">
        <v>84</v>
      </c>
      <c r="G120">
        <v>3.8824999999999998</v>
      </c>
      <c r="H120" t="s">
        <v>1108</v>
      </c>
      <c r="I120">
        <v>4.8</v>
      </c>
      <c r="J120">
        <v>2024</v>
      </c>
      <c r="K120" t="s">
        <v>45</v>
      </c>
      <c r="L120" t="s">
        <v>1109</v>
      </c>
      <c r="M120">
        <v>5</v>
      </c>
      <c r="N120">
        <v>82</v>
      </c>
      <c r="O120">
        <v>7689</v>
      </c>
      <c r="P120">
        <v>0.97619047619047616</v>
      </c>
      <c r="Q120">
        <v>82</v>
      </c>
      <c r="R120">
        <v>0.97619047619047616</v>
      </c>
      <c r="S120" t="s">
        <v>1059</v>
      </c>
      <c r="T120">
        <v>7</v>
      </c>
    </row>
    <row r="121" spans="1:20" x14ac:dyDescent="0.4">
      <c r="A121" t="s">
        <v>659</v>
      </c>
      <c r="B121" t="s">
        <v>84</v>
      </c>
      <c r="C121">
        <v>109</v>
      </c>
      <c r="D121" t="s">
        <v>2</v>
      </c>
      <c r="E121" s="23">
        <v>45126</v>
      </c>
      <c r="F121">
        <v>132</v>
      </c>
      <c r="G121">
        <v>3.8824999999999998</v>
      </c>
      <c r="H121" t="s">
        <v>1108</v>
      </c>
      <c r="I121">
        <v>3.1</v>
      </c>
      <c r="J121">
        <v>2024</v>
      </c>
      <c r="K121" t="s">
        <v>33</v>
      </c>
      <c r="L121" t="s">
        <v>1111</v>
      </c>
      <c r="M121">
        <v>3</v>
      </c>
      <c r="N121">
        <v>59</v>
      </c>
      <c r="O121">
        <v>5009</v>
      </c>
      <c r="P121">
        <v>0.44696969696969696</v>
      </c>
      <c r="Q121">
        <v>59</v>
      </c>
      <c r="R121">
        <v>0.44696969696969696</v>
      </c>
      <c r="S121" t="s">
        <v>1059</v>
      </c>
      <c r="T121">
        <v>7</v>
      </c>
    </row>
    <row r="122" spans="1:20" x14ac:dyDescent="0.4">
      <c r="A122" t="s">
        <v>667</v>
      </c>
      <c r="B122" t="s">
        <v>40</v>
      </c>
      <c r="C122">
        <v>162</v>
      </c>
      <c r="D122" t="s">
        <v>2</v>
      </c>
      <c r="E122" s="23">
        <v>45129</v>
      </c>
      <c r="F122">
        <v>82</v>
      </c>
      <c r="G122">
        <v>3.8824999999999998</v>
      </c>
      <c r="H122" t="s">
        <v>1108</v>
      </c>
      <c r="I122">
        <v>4.5999999999999996</v>
      </c>
      <c r="J122">
        <v>2024</v>
      </c>
      <c r="K122" t="s">
        <v>48</v>
      </c>
      <c r="L122" t="s">
        <v>1112</v>
      </c>
      <c r="M122">
        <v>5</v>
      </c>
      <c r="N122">
        <v>69</v>
      </c>
      <c r="O122">
        <v>6601</v>
      </c>
      <c r="P122">
        <v>0.84146341463414631</v>
      </c>
      <c r="Q122">
        <v>69</v>
      </c>
      <c r="R122">
        <v>0.84146341463414631</v>
      </c>
      <c r="S122" t="s">
        <v>1059</v>
      </c>
      <c r="T122">
        <v>7</v>
      </c>
    </row>
    <row r="123" spans="1:20" x14ac:dyDescent="0.4">
      <c r="A123" t="s">
        <v>672</v>
      </c>
      <c r="B123" t="s">
        <v>54</v>
      </c>
      <c r="C123">
        <v>75</v>
      </c>
      <c r="D123" t="s">
        <v>2</v>
      </c>
      <c r="E123" s="23">
        <v>45134</v>
      </c>
      <c r="F123">
        <v>78</v>
      </c>
      <c r="G123">
        <v>3.8824999999999998</v>
      </c>
      <c r="H123" t="s">
        <v>1108</v>
      </c>
      <c r="I123">
        <v>3.3</v>
      </c>
      <c r="J123">
        <v>2024</v>
      </c>
      <c r="K123" t="s">
        <v>37</v>
      </c>
      <c r="L123" t="s">
        <v>1111</v>
      </c>
      <c r="M123">
        <v>3</v>
      </c>
      <c r="N123">
        <v>70</v>
      </c>
      <c r="O123">
        <v>6819</v>
      </c>
      <c r="P123">
        <v>0.89743589743589747</v>
      </c>
      <c r="Q123">
        <v>70</v>
      </c>
      <c r="R123">
        <v>0.89743589743589747</v>
      </c>
      <c r="S123" t="s">
        <v>1059</v>
      </c>
      <c r="T123">
        <v>7</v>
      </c>
    </row>
    <row r="124" spans="1:20" x14ac:dyDescent="0.4">
      <c r="A124" t="s">
        <v>673</v>
      </c>
      <c r="B124" t="s">
        <v>1</v>
      </c>
      <c r="C124">
        <v>65</v>
      </c>
      <c r="D124" t="s">
        <v>2</v>
      </c>
      <c r="E124" s="23">
        <v>45135</v>
      </c>
      <c r="F124">
        <v>70</v>
      </c>
      <c r="G124">
        <v>3.8824999999999998</v>
      </c>
      <c r="H124" t="s">
        <v>1108</v>
      </c>
      <c r="I124">
        <v>4.4000000000000004</v>
      </c>
      <c r="J124">
        <v>2024</v>
      </c>
      <c r="K124" t="s">
        <v>45</v>
      </c>
      <c r="L124" t="s">
        <v>1111</v>
      </c>
      <c r="M124">
        <v>4</v>
      </c>
      <c r="N124">
        <v>50</v>
      </c>
      <c r="O124">
        <v>4804</v>
      </c>
      <c r="P124">
        <v>0.7142857142857143</v>
      </c>
      <c r="Q124">
        <v>50</v>
      </c>
      <c r="R124">
        <v>0.7142857142857143</v>
      </c>
      <c r="S124" t="s">
        <v>1059</v>
      </c>
      <c r="T124">
        <v>7</v>
      </c>
    </row>
    <row r="125" spans="1:20" x14ac:dyDescent="0.4">
      <c r="A125" t="s">
        <v>680</v>
      </c>
      <c r="B125" t="s">
        <v>84</v>
      </c>
      <c r="C125">
        <v>164</v>
      </c>
      <c r="D125" t="s">
        <v>2</v>
      </c>
      <c r="E125" s="23">
        <v>45138</v>
      </c>
      <c r="F125">
        <v>36</v>
      </c>
      <c r="G125">
        <v>3.8824999999999998</v>
      </c>
      <c r="H125" t="s">
        <v>1108</v>
      </c>
      <c r="I125">
        <v>4.7</v>
      </c>
      <c r="J125">
        <v>2024</v>
      </c>
      <c r="K125" t="s">
        <v>15</v>
      </c>
      <c r="L125" t="s">
        <v>1112</v>
      </c>
      <c r="M125">
        <v>5</v>
      </c>
      <c r="N125">
        <v>59</v>
      </c>
      <c r="O125">
        <v>5009</v>
      </c>
      <c r="P125">
        <v>1.6388888888888888</v>
      </c>
      <c r="Q125">
        <v>59</v>
      </c>
      <c r="R125">
        <v>1.6388888888888888</v>
      </c>
      <c r="S125" t="s">
        <v>1059</v>
      </c>
      <c r="T125">
        <v>7</v>
      </c>
    </row>
    <row r="126" spans="1:20" x14ac:dyDescent="0.4">
      <c r="A126" t="s">
        <v>682</v>
      </c>
      <c r="B126" t="s">
        <v>21</v>
      </c>
      <c r="C126">
        <v>71</v>
      </c>
      <c r="D126" t="s">
        <v>2</v>
      </c>
      <c r="E126" s="23">
        <v>45140</v>
      </c>
      <c r="F126">
        <v>170</v>
      </c>
      <c r="G126">
        <v>3.8824999999999998</v>
      </c>
      <c r="H126" t="s">
        <v>1108</v>
      </c>
      <c r="I126">
        <v>3.5</v>
      </c>
      <c r="J126">
        <v>2024</v>
      </c>
      <c r="K126" t="s">
        <v>33</v>
      </c>
      <c r="L126" t="s">
        <v>1111</v>
      </c>
      <c r="M126">
        <v>4</v>
      </c>
      <c r="N126">
        <v>67</v>
      </c>
      <c r="O126">
        <v>7216</v>
      </c>
      <c r="P126">
        <v>0.39411764705882352</v>
      </c>
      <c r="Q126">
        <v>67</v>
      </c>
      <c r="R126">
        <v>0.39411764705882352</v>
      </c>
      <c r="S126" t="s">
        <v>1060</v>
      </c>
      <c r="T126">
        <v>8</v>
      </c>
    </row>
    <row r="127" spans="1:20" x14ac:dyDescent="0.4">
      <c r="A127" t="s">
        <v>695</v>
      </c>
      <c r="B127" t="s">
        <v>51</v>
      </c>
      <c r="C127">
        <v>120</v>
      </c>
      <c r="D127" t="s">
        <v>2</v>
      </c>
      <c r="E127" s="23">
        <v>45148</v>
      </c>
      <c r="F127">
        <v>58</v>
      </c>
      <c r="G127">
        <v>3.8824999999999998</v>
      </c>
      <c r="H127" t="s">
        <v>1108</v>
      </c>
      <c r="I127">
        <v>4.5999999999999996</v>
      </c>
      <c r="J127">
        <v>2024</v>
      </c>
      <c r="K127" t="s">
        <v>37</v>
      </c>
      <c r="L127" t="s">
        <v>1111</v>
      </c>
      <c r="M127">
        <v>5</v>
      </c>
      <c r="N127">
        <v>59</v>
      </c>
      <c r="O127">
        <v>6518</v>
      </c>
      <c r="P127">
        <v>1.0172413793103448</v>
      </c>
      <c r="Q127">
        <v>59</v>
      </c>
      <c r="R127">
        <v>1.0172413793103448</v>
      </c>
      <c r="S127" t="s">
        <v>1060</v>
      </c>
      <c r="T127">
        <v>8</v>
      </c>
    </row>
    <row r="128" spans="1:20" x14ac:dyDescent="0.4">
      <c r="A128" t="s">
        <v>701</v>
      </c>
      <c r="B128" t="s">
        <v>54</v>
      </c>
      <c r="C128">
        <v>155</v>
      </c>
      <c r="D128" t="s">
        <v>2</v>
      </c>
      <c r="E128" s="23">
        <v>45154</v>
      </c>
      <c r="F128">
        <v>135</v>
      </c>
      <c r="G128">
        <v>3.8824999999999998</v>
      </c>
      <c r="H128" t="s">
        <v>1108</v>
      </c>
      <c r="I128">
        <v>4.9000000000000004</v>
      </c>
      <c r="J128">
        <v>2024</v>
      </c>
      <c r="K128" t="s">
        <v>33</v>
      </c>
      <c r="L128" t="s">
        <v>1112</v>
      </c>
      <c r="M128">
        <v>5</v>
      </c>
      <c r="N128">
        <v>70</v>
      </c>
      <c r="O128">
        <v>6819</v>
      </c>
      <c r="P128">
        <v>0.51851851851851849</v>
      </c>
      <c r="Q128">
        <v>70</v>
      </c>
      <c r="R128">
        <v>0.51851851851851849</v>
      </c>
      <c r="S128" t="s">
        <v>1060</v>
      </c>
      <c r="T128">
        <v>8</v>
      </c>
    </row>
    <row r="129" spans="1:20" x14ac:dyDescent="0.4">
      <c r="A129" t="s">
        <v>704</v>
      </c>
      <c r="B129" t="s">
        <v>13</v>
      </c>
      <c r="C129">
        <v>81</v>
      </c>
      <c r="D129" t="s">
        <v>2</v>
      </c>
      <c r="E129" s="23">
        <v>45156</v>
      </c>
      <c r="F129">
        <v>21</v>
      </c>
      <c r="G129">
        <v>3.8824999999999998</v>
      </c>
      <c r="H129" t="s">
        <v>1108</v>
      </c>
      <c r="I129">
        <v>4.9000000000000004</v>
      </c>
      <c r="J129">
        <v>2024</v>
      </c>
      <c r="K129" t="s">
        <v>45</v>
      </c>
      <c r="L129" t="s">
        <v>1111</v>
      </c>
      <c r="M129">
        <v>5</v>
      </c>
      <c r="N129">
        <v>74</v>
      </c>
      <c r="O129">
        <v>6749</v>
      </c>
      <c r="P129">
        <v>3.5238095238095237</v>
      </c>
      <c r="Q129">
        <v>74</v>
      </c>
      <c r="R129">
        <v>3.5238095238095237</v>
      </c>
      <c r="S129" t="s">
        <v>1060</v>
      </c>
      <c r="T129">
        <v>8</v>
      </c>
    </row>
    <row r="130" spans="1:20" x14ac:dyDescent="0.4">
      <c r="A130" t="s">
        <v>708</v>
      </c>
      <c r="B130" t="s">
        <v>54</v>
      </c>
      <c r="C130">
        <v>30</v>
      </c>
      <c r="D130" t="s">
        <v>2</v>
      </c>
      <c r="E130" s="23">
        <v>45157</v>
      </c>
      <c r="F130">
        <v>210</v>
      </c>
      <c r="G130">
        <v>3.8824999999999998</v>
      </c>
      <c r="H130" t="s">
        <v>1108</v>
      </c>
      <c r="I130">
        <v>4.2</v>
      </c>
      <c r="J130">
        <v>2024</v>
      </c>
      <c r="K130" t="s">
        <v>48</v>
      </c>
      <c r="L130" t="s">
        <v>1110</v>
      </c>
      <c r="M130">
        <v>4</v>
      </c>
      <c r="N130">
        <v>70</v>
      </c>
      <c r="O130">
        <v>6819</v>
      </c>
      <c r="P130">
        <v>0.33333333333333331</v>
      </c>
      <c r="Q130">
        <v>70</v>
      </c>
      <c r="R130">
        <v>0.33333333333333331</v>
      </c>
      <c r="S130" t="s">
        <v>1060</v>
      </c>
      <c r="T130">
        <v>8</v>
      </c>
    </row>
    <row r="131" spans="1:20" x14ac:dyDescent="0.4">
      <c r="A131" t="s">
        <v>727</v>
      </c>
      <c r="B131" t="s">
        <v>8</v>
      </c>
      <c r="C131">
        <v>38</v>
      </c>
      <c r="D131" t="s">
        <v>2</v>
      </c>
      <c r="E131" s="23">
        <v>45165</v>
      </c>
      <c r="F131">
        <v>110</v>
      </c>
      <c r="G131">
        <v>3.8824999999999998</v>
      </c>
      <c r="H131" t="s">
        <v>1108</v>
      </c>
      <c r="I131">
        <v>3.5</v>
      </c>
      <c r="J131">
        <v>2024</v>
      </c>
      <c r="K131" t="s">
        <v>3</v>
      </c>
      <c r="L131" t="s">
        <v>1109</v>
      </c>
      <c r="M131">
        <v>4</v>
      </c>
      <c r="N131">
        <v>79</v>
      </c>
      <c r="O131">
        <v>7747</v>
      </c>
      <c r="P131">
        <v>0.71818181818181814</v>
      </c>
      <c r="Q131">
        <v>79</v>
      </c>
      <c r="R131">
        <v>0.71818181818181814</v>
      </c>
      <c r="S131" t="s">
        <v>1060</v>
      </c>
      <c r="T131">
        <v>8</v>
      </c>
    </row>
    <row r="132" spans="1:20" x14ac:dyDescent="0.4">
      <c r="A132" t="s">
        <v>730</v>
      </c>
      <c r="B132" t="s">
        <v>6</v>
      </c>
      <c r="C132">
        <v>51</v>
      </c>
      <c r="D132" t="s">
        <v>2</v>
      </c>
      <c r="E132" s="23">
        <v>45168</v>
      </c>
      <c r="F132">
        <v>111</v>
      </c>
      <c r="G132">
        <v>3.8824999999999998</v>
      </c>
      <c r="H132" t="s">
        <v>1108</v>
      </c>
      <c r="I132">
        <v>4.3</v>
      </c>
      <c r="J132">
        <v>2024</v>
      </c>
      <c r="K132" t="s">
        <v>33</v>
      </c>
      <c r="L132" t="s">
        <v>1109</v>
      </c>
      <c r="M132">
        <v>4</v>
      </c>
      <c r="N132">
        <v>82</v>
      </c>
      <c r="O132">
        <v>7689</v>
      </c>
      <c r="P132">
        <v>0.73873873873873874</v>
      </c>
      <c r="Q132">
        <v>82</v>
      </c>
      <c r="R132">
        <v>0.73873873873873874</v>
      </c>
      <c r="S132" t="s">
        <v>1060</v>
      </c>
      <c r="T132">
        <v>8</v>
      </c>
    </row>
    <row r="133" spans="1:20" x14ac:dyDescent="0.4">
      <c r="A133" t="s">
        <v>732</v>
      </c>
      <c r="B133" t="s">
        <v>30</v>
      </c>
      <c r="C133">
        <v>124</v>
      </c>
      <c r="D133" t="s">
        <v>2</v>
      </c>
      <c r="E133" s="23">
        <v>45170</v>
      </c>
      <c r="F133">
        <v>132</v>
      </c>
      <c r="G133">
        <v>3.8824999999999998</v>
      </c>
      <c r="H133" t="s">
        <v>1108</v>
      </c>
      <c r="I133">
        <v>4</v>
      </c>
      <c r="J133">
        <v>2024</v>
      </c>
      <c r="K133" t="s">
        <v>45</v>
      </c>
      <c r="L133" t="s">
        <v>1112</v>
      </c>
      <c r="M133">
        <v>4</v>
      </c>
      <c r="N133">
        <v>69</v>
      </c>
      <c r="O133">
        <v>7230</v>
      </c>
      <c r="P133">
        <v>0.52272727272727271</v>
      </c>
      <c r="Q133">
        <v>69</v>
      </c>
      <c r="R133">
        <v>0.52272727272727271</v>
      </c>
      <c r="S133" t="s">
        <v>1061</v>
      </c>
      <c r="T133">
        <v>9</v>
      </c>
    </row>
    <row r="134" spans="1:20" x14ac:dyDescent="0.4">
      <c r="A134" t="s">
        <v>737</v>
      </c>
      <c r="B134" t="s">
        <v>40</v>
      </c>
      <c r="C134">
        <v>103</v>
      </c>
      <c r="D134" t="s">
        <v>2</v>
      </c>
      <c r="E134" s="23">
        <v>45173</v>
      </c>
      <c r="F134">
        <v>44</v>
      </c>
      <c r="G134">
        <v>3.8824999999999998</v>
      </c>
      <c r="H134" t="s">
        <v>1108</v>
      </c>
      <c r="I134">
        <v>4.5</v>
      </c>
      <c r="J134">
        <v>2024</v>
      </c>
      <c r="K134" t="s">
        <v>15</v>
      </c>
      <c r="L134" t="s">
        <v>1111</v>
      </c>
      <c r="M134">
        <v>5</v>
      </c>
      <c r="N134">
        <v>69</v>
      </c>
      <c r="O134">
        <v>6601</v>
      </c>
      <c r="P134">
        <v>1.5681818181818181</v>
      </c>
      <c r="Q134">
        <v>69</v>
      </c>
      <c r="R134">
        <v>1.5681818181818181</v>
      </c>
      <c r="S134" t="s">
        <v>1061</v>
      </c>
      <c r="T134">
        <v>9</v>
      </c>
    </row>
    <row r="135" spans="1:20" x14ac:dyDescent="0.4">
      <c r="A135" t="s">
        <v>741</v>
      </c>
      <c r="B135" t="s">
        <v>32</v>
      </c>
      <c r="C135">
        <v>131</v>
      </c>
      <c r="D135" t="s">
        <v>2</v>
      </c>
      <c r="E135" s="23">
        <v>45174</v>
      </c>
      <c r="F135">
        <v>75</v>
      </c>
      <c r="G135">
        <v>3.8824999999999998</v>
      </c>
      <c r="H135" t="s">
        <v>1108</v>
      </c>
      <c r="I135">
        <v>4.4000000000000004</v>
      </c>
      <c r="J135">
        <v>2024</v>
      </c>
      <c r="K135" t="s">
        <v>18</v>
      </c>
      <c r="L135" t="s">
        <v>1112</v>
      </c>
      <c r="M135">
        <v>4</v>
      </c>
      <c r="N135">
        <v>63</v>
      </c>
      <c r="O135">
        <v>5634</v>
      </c>
      <c r="P135">
        <v>0.84</v>
      </c>
      <c r="Q135">
        <v>63</v>
      </c>
      <c r="R135">
        <v>0.84</v>
      </c>
      <c r="S135" t="s">
        <v>1061</v>
      </c>
      <c r="T135">
        <v>9</v>
      </c>
    </row>
    <row r="136" spans="1:20" x14ac:dyDescent="0.4">
      <c r="A136" t="s">
        <v>743</v>
      </c>
      <c r="B136" t="s">
        <v>6</v>
      </c>
      <c r="C136">
        <v>100</v>
      </c>
      <c r="D136" t="s">
        <v>2</v>
      </c>
      <c r="E136" s="23">
        <v>45175</v>
      </c>
      <c r="F136">
        <v>24</v>
      </c>
      <c r="G136">
        <v>3.8824999999999998</v>
      </c>
      <c r="H136" t="s">
        <v>1108</v>
      </c>
      <c r="I136">
        <v>4.7</v>
      </c>
      <c r="J136">
        <v>2024</v>
      </c>
      <c r="K136" t="s">
        <v>33</v>
      </c>
      <c r="L136" t="s">
        <v>1111</v>
      </c>
      <c r="M136">
        <v>5</v>
      </c>
      <c r="N136">
        <v>82</v>
      </c>
      <c r="O136">
        <v>7689</v>
      </c>
      <c r="P136">
        <v>3.4166666666666665</v>
      </c>
      <c r="Q136">
        <v>82</v>
      </c>
      <c r="R136">
        <v>3.4166666666666665</v>
      </c>
      <c r="S136" t="s">
        <v>1061</v>
      </c>
      <c r="T136">
        <v>9</v>
      </c>
    </row>
    <row r="137" spans="1:20" x14ac:dyDescent="0.4">
      <c r="A137" t="s">
        <v>749</v>
      </c>
      <c r="B137" t="s">
        <v>1</v>
      </c>
      <c r="C137">
        <v>106</v>
      </c>
      <c r="D137" t="s">
        <v>2</v>
      </c>
      <c r="E137" s="23">
        <v>45177</v>
      </c>
      <c r="F137">
        <v>58</v>
      </c>
      <c r="G137">
        <v>3.8824999999999998</v>
      </c>
      <c r="H137" t="s">
        <v>1108</v>
      </c>
      <c r="I137">
        <v>4.7</v>
      </c>
      <c r="J137">
        <v>2024</v>
      </c>
      <c r="K137" t="s">
        <v>45</v>
      </c>
      <c r="L137" t="s">
        <v>1111</v>
      </c>
      <c r="M137">
        <v>5</v>
      </c>
      <c r="N137">
        <v>50</v>
      </c>
      <c r="O137">
        <v>4804</v>
      </c>
      <c r="P137">
        <v>0.86206896551724133</v>
      </c>
      <c r="Q137">
        <v>50</v>
      </c>
      <c r="R137">
        <v>0.86206896551724133</v>
      </c>
      <c r="S137" t="s">
        <v>1061</v>
      </c>
      <c r="T137">
        <v>9</v>
      </c>
    </row>
    <row r="138" spans="1:20" x14ac:dyDescent="0.4">
      <c r="A138" t="s">
        <v>754</v>
      </c>
      <c r="B138" t="s">
        <v>51</v>
      </c>
      <c r="C138">
        <v>124</v>
      </c>
      <c r="D138" t="s">
        <v>2</v>
      </c>
      <c r="E138" s="23">
        <v>45179</v>
      </c>
      <c r="F138">
        <v>46</v>
      </c>
      <c r="G138">
        <v>3.8824999999999998</v>
      </c>
      <c r="H138" t="s">
        <v>1108</v>
      </c>
      <c r="I138">
        <v>3.1</v>
      </c>
      <c r="J138">
        <v>2024</v>
      </c>
      <c r="K138" t="s">
        <v>3</v>
      </c>
      <c r="L138" t="s">
        <v>1112</v>
      </c>
      <c r="M138">
        <v>3</v>
      </c>
      <c r="N138">
        <v>59</v>
      </c>
      <c r="O138">
        <v>6518</v>
      </c>
      <c r="P138">
        <v>1.2826086956521738</v>
      </c>
      <c r="Q138">
        <v>59</v>
      </c>
      <c r="R138">
        <v>1.2826086956521738</v>
      </c>
      <c r="S138" t="s">
        <v>1061</v>
      </c>
      <c r="T138">
        <v>9</v>
      </c>
    </row>
    <row r="139" spans="1:20" x14ac:dyDescent="0.4">
      <c r="A139" t="s">
        <v>765</v>
      </c>
      <c r="B139" t="s">
        <v>54</v>
      </c>
      <c r="C139">
        <v>59</v>
      </c>
      <c r="D139" t="s">
        <v>2</v>
      </c>
      <c r="E139" s="23">
        <v>45184</v>
      </c>
      <c r="F139">
        <v>24</v>
      </c>
      <c r="G139">
        <v>3.8824999999999998</v>
      </c>
      <c r="H139" t="s">
        <v>1108</v>
      </c>
      <c r="I139">
        <v>4.8</v>
      </c>
      <c r="J139">
        <v>2024</v>
      </c>
      <c r="K139" t="s">
        <v>45</v>
      </c>
      <c r="L139" t="s">
        <v>1109</v>
      </c>
      <c r="M139">
        <v>5</v>
      </c>
      <c r="N139">
        <v>70</v>
      </c>
      <c r="O139">
        <v>6819</v>
      </c>
      <c r="P139">
        <v>2.9166666666666665</v>
      </c>
      <c r="Q139">
        <v>70</v>
      </c>
      <c r="R139">
        <v>2.9166666666666665</v>
      </c>
      <c r="S139" t="s">
        <v>1061</v>
      </c>
      <c r="T139">
        <v>9</v>
      </c>
    </row>
    <row r="140" spans="1:20" x14ac:dyDescent="0.4">
      <c r="A140" t="s">
        <v>767</v>
      </c>
      <c r="B140" t="s">
        <v>8</v>
      </c>
      <c r="C140">
        <v>43</v>
      </c>
      <c r="D140" t="s">
        <v>2</v>
      </c>
      <c r="E140" s="23">
        <v>45186</v>
      </c>
      <c r="F140">
        <v>168</v>
      </c>
      <c r="G140">
        <v>3.8824999999999998</v>
      </c>
      <c r="H140" t="s">
        <v>1108</v>
      </c>
      <c r="I140">
        <v>4</v>
      </c>
      <c r="J140">
        <v>2024</v>
      </c>
      <c r="K140" t="s">
        <v>3</v>
      </c>
      <c r="L140" t="s">
        <v>1109</v>
      </c>
      <c r="M140">
        <v>4</v>
      </c>
      <c r="N140">
        <v>79</v>
      </c>
      <c r="O140">
        <v>7747</v>
      </c>
      <c r="P140">
        <v>0.47023809523809523</v>
      </c>
      <c r="Q140">
        <v>79</v>
      </c>
      <c r="R140">
        <v>0.47023809523809523</v>
      </c>
      <c r="S140" t="s">
        <v>1061</v>
      </c>
      <c r="T140">
        <v>9</v>
      </c>
    </row>
    <row r="141" spans="1:20" x14ac:dyDescent="0.4">
      <c r="A141" t="s">
        <v>769</v>
      </c>
      <c r="B141" t="s">
        <v>1</v>
      </c>
      <c r="C141">
        <v>71</v>
      </c>
      <c r="D141" t="s">
        <v>2</v>
      </c>
      <c r="E141" s="23">
        <v>45189</v>
      </c>
      <c r="F141">
        <v>50</v>
      </c>
      <c r="G141">
        <v>3.8824999999999998</v>
      </c>
      <c r="H141" t="s">
        <v>1108</v>
      </c>
      <c r="I141">
        <v>4.2</v>
      </c>
      <c r="J141">
        <v>2024</v>
      </c>
      <c r="K141" t="s">
        <v>33</v>
      </c>
      <c r="L141" t="s">
        <v>1111</v>
      </c>
      <c r="M141">
        <v>4</v>
      </c>
      <c r="N141">
        <v>50</v>
      </c>
      <c r="O141">
        <v>4804</v>
      </c>
      <c r="P141">
        <v>1</v>
      </c>
      <c r="Q141">
        <v>50</v>
      </c>
      <c r="R141">
        <v>1</v>
      </c>
      <c r="S141" t="s">
        <v>1061</v>
      </c>
      <c r="T141">
        <v>9</v>
      </c>
    </row>
    <row r="142" spans="1:20" x14ac:dyDescent="0.4">
      <c r="A142" t="s">
        <v>771</v>
      </c>
      <c r="B142" t="s">
        <v>26</v>
      </c>
      <c r="C142">
        <v>108</v>
      </c>
      <c r="D142" t="s">
        <v>2</v>
      </c>
      <c r="E142" s="23">
        <v>45190</v>
      </c>
      <c r="F142">
        <v>180</v>
      </c>
      <c r="G142">
        <v>3.8824999999999998</v>
      </c>
      <c r="H142" t="s">
        <v>1108</v>
      </c>
      <c r="I142">
        <v>4</v>
      </c>
      <c r="J142">
        <v>2024</v>
      </c>
      <c r="K142" t="s">
        <v>37</v>
      </c>
      <c r="L142" t="s">
        <v>1111</v>
      </c>
      <c r="M142">
        <v>4</v>
      </c>
      <c r="N142">
        <v>72</v>
      </c>
      <c r="O142">
        <v>6242</v>
      </c>
      <c r="P142">
        <v>0.4</v>
      </c>
      <c r="Q142">
        <v>72</v>
      </c>
      <c r="R142">
        <v>0.4</v>
      </c>
      <c r="S142" t="s">
        <v>1061</v>
      </c>
      <c r="T142">
        <v>9</v>
      </c>
    </row>
    <row r="143" spans="1:20" x14ac:dyDescent="0.4">
      <c r="A143" t="s">
        <v>773</v>
      </c>
      <c r="B143" t="s">
        <v>54</v>
      </c>
      <c r="C143">
        <v>136</v>
      </c>
      <c r="D143" t="s">
        <v>2</v>
      </c>
      <c r="E143" s="23">
        <v>45190</v>
      </c>
      <c r="F143">
        <v>36</v>
      </c>
      <c r="G143">
        <v>3.8824999999999998</v>
      </c>
      <c r="H143" t="s">
        <v>1108</v>
      </c>
      <c r="I143">
        <v>2.8</v>
      </c>
      <c r="J143">
        <v>2024</v>
      </c>
      <c r="K143" t="s">
        <v>37</v>
      </c>
      <c r="L143" t="s">
        <v>1112</v>
      </c>
      <c r="M143">
        <v>3</v>
      </c>
      <c r="N143">
        <v>70</v>
      </c>
      <c r="O143">
        <v>6819</v>
      </c>
      <c r="P143">
        <v>1.9444444444444444</v>
      </c>
      <c r="Q143">
        <v>70</v>
      </c>
      <c r="R143">
        <v>1.9444444444444444</v>
      </c>
      <c r="S143" t="s">
        <v>1061</v>
      </c>
      <c r="T143">
        <v>9</v>
      </c>
    </row>
    <row r="144" spans="1:20" x14ac:dyDescent="0.4">
      <c r="A144" t="s">
        <v>775</v>
      </c>
      <c r="B144" t="s">
        <v>26</v>
      </c>
      <c r="C144">
        <v>120</v>
      </c>
      <c r="D144" t="s">
        <v>2</v>
      </c>
      <c r="E144" s="23">
        <v>45191</v>
      </c>
      <c r="F144">
        <v>38</v>
      </c>
      <c r="G144">
        <v>3.8824999999999998</v>
      </c>
      <c r="H144" t="s">
        <v>1108</v>
      </c>
      <c r="I144">
        <v>4.2</v>
      </c>
      <c r="J144">
        <v>2024</v>
      </c>
      <c r="K144" t="s">
        <v>45</v>
      </c>
      <c r="L144" t="s">
        <v>1111</v>
      </c>
      <c r="M144">
        <v>4</v>
      </c>
      <c r="N144">
        <v>72</v>
      </c>
      <c r="O144">
        <v>6242</v>
      </c>
      <c r="P144">
        <v>1.8947368421052631</v>
      </c>
      <c r="Q144">
        <v>72</v>
      </c>
      <c r="R144">
        <v>1.8947368421052631</v>
      </c>
      <c r="S144" t="s">
        <v>1061</v>
      </c>
      <c r="T144">
        <v>9</v>
      </c>
    </row>
    <row r="145" spans="1:20" x14ac:dyDescent="0.4">
      <c r="A145" t="s">
        <v>777</v>
      </c>
      <c r="B145" t="s">
        <v>21</v>
      </c>
      <c r="C145">
        <v>79</v>
      </c>
      <c r="D145" t="s">
        <v>2</v>
      </c>
      <c r="E145" s="23">
        <v>45192</v>
      </c>
      <c r="F145">
        <v>215</v>
      </c>
      <c r="G145">
        <v>3.8824999999999998</v>
      </c>
      <c r="H145" t="s">
        <v>1108</v>
      </c>
      <c r="I145">
        <v>4.5999999999999996</v>
      </c>
      <c r="J145">
        <v>2024</v>
      </c>
      <c r="K145" t="s">
        <v>48</v>
      </c>
      <c r="L145" t="s">
        <v>1111</v>
      </c>
      <c r="M145">
        <v>5</v>
      </c>
      <c r="N145">
        <v>67</v>
      </c>
      <c r="O145">
        <v>7216</v>
      </c>
      <c r="P145">
        <v>0.3116279069767442</v>
      </c>
      <c r="Q145">
        <v>67</v>
      </c>
      <c r="R145">
        <v>0.3116279069767442</v>
      </c>
      <c r="S145" t="s">
        <v>1061</v>
      </c>
      <c r="T145">
        <v>9</v>
      </c>
    </row>
    <row r="146" spans="1:20" x14ac:dyDescent="0.4">
      <c r="A146" t="s">
        <v>779</v>
      </c>
      <c r="B146" t="s">
        <v>13</v>
      </c>
      <c r="C146">
        <v>96</v>
      </c>
      <c r="D146" t="s">
        <v>2</v>
      </c>
      <c r="E146" s="23">
        <v>45192</v>
      </c>
      <c r="F146">
        <v>80</v>
      </c>
      <c r="G146">
        <v>3.8824999999999998</v>
      </c>
      <c r="H146" t="s">
        <v>1108</v>
      </c>
      <c r="I146">
        <v>3.6</v>
      </c>
      <c r="J146">
        <v>2024</v>
      </c>
      <c r="K146" t="s">
        <v>48</v>
      </c>
      <c r="L146" t="s">
        <v>1111</v>
      </c>
      <c r="M146">
        <v>4</v>
      </c>
      <c r="N146">
        <v>74</v>
      </c>
      <c r="O146">
        <v>6749</v>
      </c>
      <c r="P146">
        <v>0.92500000000000004</v>
      </c>
      <c r="Q146">
        <v>74</v>
      </c>
      <c r="R146">
        <v>0.92500000000000004</v>
      </c>
      <c r="S146" t="s">
        <v>1061</v>
      </c>
      <c r="T146">
        <v>9</v>
      </c>
    </row>
    <row r="147" spans="1:20" x14ac:dyDescent="0.4">
      <c r="A147" t="s">
        <v>780</v>
      </c>
      <c r="B147" t="s">
        <v>13</v>
      </c>
      <c r="C147">
        <v>81</v>
      </c>
      <c r="D147" t="s">
        <v>2</v>
      </c>
      <c r="E147" s="23">
        <v>45193</v>
      </c>
      <c r="F147">
        <v>123</v>
      </c>
      <c r="G147">
        <v>3.8824999999999998</v>
      </c>
      <c r="H147" t="s">
        <v>1108</v>
      </c>
      <c r="I147">
        <v>4.9000000000000004</v>
      </c>
      <c r="J147">
        <v>2024</v>
      </c>
      <c r="K147" t="s">
        <v>3</v>
      </c>
      <c r="L147" t="s">
        <v>1111</v>
      </c>
      <c r="M147">
        <v>5</v>
      </c>
      <c r="N147">
        <v>74</v>
      </c>
      <c r="O147">
        <v>6749</v>
      </c>
      <c r="P147">
        <v>0.60162601626016265</v>
      </c>
      <c r="Q147">
        <v>74</v>
      </c>
      <c r="R147">
        <v>0.60162601626016265</v>
      </c>
      <c r="S147" t="s">
        <v>1061</v>
      </c>
      <c r="T147">
        <v>9</v>
      </c>
    </row>
    <row r="148" spans="1:20" x14ac:dyDescent="0.4">
      <c r="A148" t="s">
        <v>786</v>
      </c>
      <c r="B148" t="s">
        <v>32</v>
      </c>
      <c r="C148">
        <v>96</v>
      </c>
      <c r="D148" t="s">
        <v>2</v>
      </c>
      <c r="E148" s="23">
        <v>45195</v>
      </c>
      <c r="F148">
        <v>42</v>
      </c>
      <c r="G148">
        <v>3.8824999999999998</v>
      </c>
      <c r="H148" t="s">
        <v>1108</v>
      </c>
      <c r="I148">
        <v>4.5</v>
      </c>
      <c r="J148">
        <v>2024</v>
      </c>
      <c r="K148" t="s">
        <v>18</v>
      </c>
      <c r="L148" t="s">
        <v>1111</v>
      </c>
      <c r="M148">
        <v>5</v>
      </c>
      <c r="N148">
        <v>63</v>
      </c>
      <c r="O148">
        <v>5634</v>
      </c>
      <c r="P148">
        <v>1.5</v>
      </c>
      <c r="Q148">
        <v>63</v>
      </c>
      <c r="R148">
        <v>1.5</v>
      </c>
      <c r="S148" t="s">
        <v>1061</v>
      </c>
      <c r="T148">
        <v>9</v>
      </c>
    </row>
    <row r="149" spans="1:20" x14ac:dyDescent="0.4">
      <c r="A149" t="s">
        <v>794</v>
      </c>
      <c r="B149" t="s">
        <v>44</v>
      </c>
      <c r="C149">
        <v>110</v>
      </c>
      <c r="D149" t="s">
        <v>2</v>
      </c>
      <c r="E149" s="23">
        <v>45198</v>
      </c>
      <c r="F149">
        <v>90</v>
      </c>
      <c r="G149">
        <v>3.8824999999999998</v>
      </c>
      <c r="H149" t="s">
        <v>1108</v>
      </c>
      <c r="I149">
        <v>3.1</v>
      </c>
      <c r="J149">
        <v>2024</v>
      </c>
      <c r="K149" t="s">
        <v>45</v>
      </c>
      <c r="L149" t="s">
        <v>1111</v>
      </c>
      <c r="M149">
        <v>3</v>
      </c>
      <c r="N149">
        <v>62</v>
      </c>
      <c r="O149">
        <v>6176</v>
      </c>
      <c r="P149">
        <v>0.68888888888888888</v>
      </c>
      <c r="Q149">
        <v>62</v>
      </c>
      <c r="R149">
        <v>0.68888888888888888</v>
      </c>
      <c r="S149" t="s">
        <v>1061</v>
      </c>
      <c r="T149">
        <v>9</v>
      </c>
    </row>
    <row r="150" spans="1:20" x14ac:dyDescent="0.4">
      <c r="A150" t="s">
        <v>802</v>
      </c>
      <c r="B150" t="s">
        <v>13</v>
      </c>
      <c r="C150">
        <v>96</v>
      </c>
      <c r="D150" t="s">
        <v>2</v>
      </c>
      <c r="E150" s="23">
        <v>45199</v>
      </c>
      <c r="F150">
        <v>195</v>
      </c>
      <c r="G150">
        <v>3.8824999999999998</v>
      </c>
      <c r="H150" t="s">
        <v>1108</v>
      </c>
      <c r="I150">
        <v>2.7</v>
      </c>
      <c r="J150">
        <v>2024</v>
      </c>
      <c r="K150" t="s">
        <v>48</v>
      </c>
      <c r="L150" t="s">
        <v>1111</v>
      </c>
      <c r="M150">
        <v>3</v>
      </c>
      <c r="N150">
        <v>74</v>
      </c>
      <c r="O150">
        <v>6749</v>
      </c>
      <c r="P150">
        <v>0.37948717948717947</v>
      </c>
      <c r="Q150">
        <v>74</v>
      </c>
      <c r="R150">
        <v>0.37948717948717947</v>
      </c>
      <c r="S150" t="s">
        <v>1061</v>
      </c>
      <c r="T150">
        <v>9</v>
      </c>
    </row>
    <row r="151" spans="1:20" x14ac:dyDescent="0.4">
      <c r="A151" t="s">
        <v>803</v>
      </c>
      <c r="B151" t="s">
        <v>11</v>
      </c>
      <c r="C151">
        <v>67</v>
      </c>
      <c r="D151" t="s">
        <v>2</v>
      </c>
      <c r="E151" s="23">
        <v>45199</v>
      </c>
      <c r="F151">
        <v>96</v>
      </c>
      <c r="G151">
        <v>3.8824999999999998</v>
      </c>
      <c r="H151" t="s">
        <v>1108</v>
      </c>
      <c r="I151">
        <v>3.7</v>
      </c>
      <c r="J151">
        <v>2024</v>
      </c>
      <c r="K151" t="s">
        <v>48</v>
      </c>
      <c r="L151" t="s">
        <v>1111</v>
      </c>
      <c r="M151">
        <v>4</v>
      </c>
      <c r="N151">
        <v>60</v>
      </c>
      <c r="O151">
        <v>5404</v>
      </c>
      <c r="P151">
        <v>0.625</v>
      </c>
      <c r="Q151">
        <v>60</v>
      </c>
      <c r="R151">
        <v>0.625</v>
      </c>
      <c r="S151" t="s">
        <v>1061</v>
      </c>
      <c r="T151">
        <v>9</v>
      </c>
    </row>
    <row r="152" spans="1:20" x14ac:dyDescent="0.4">
      <c r="A152" t="s">
        <v>804</v>
      </c>
      <c r="B152" t="s">
        <v>51</v>
      </c>
      <c r="C152">
        <v>119</v>
      </c>
      <c r="D152" t="s">
        <v>2</v>
      </c>
      <c r="E152" s="23">
        <v>45199</v>
      </c>
      <c r="F152">
        <v>96</v>
      </c>
      <c r="G152">
        <v>3.8824999999999998</v>
      </c>
      <c r="H152" t="s">
        <v>1108</v>
      </c>
      <c r="I152">
        <v>3.1</v>
      </c>
      <c r="J152">
        <v>2024</v>
      </c>
      <c r="K152" t="s">
        <v>48</v>
      </c>
      <c r="L152" t="s">
        <v>1111</v>
      </c>
      <c r="M152">
        <v>3</v>
      </c>
      <c r="N152">
        <v>59</v>
      </c>
      <c r="O152">
        <v>6518</v>
      </c>
      <c r="P152">
        <v>0.61458333333333337</v>
      </c>
      <c r="Q152">
        <v>59</v>
      </c>
      <c r="R152">
        <v>0.61458333333333337</v>
      </c>
      <c r="S152" t="s">
        <v>1061</v>
      </c>
      <c r="T152">
        <v>9</v>
      </c>
    </row>
    <row r="153" spans="1:20" x14ac:dyDescent="0.4">
      <c r="A153" t="s">
        <v>808</v>
      </c>
      <c r="B153" t="s">
        <v>44</v>
      </c>
      <c r="C153">
        <v>113</v>
      </c>
      <c r="D153" t="s">
        <v>2</v>
      </c>
      <c r="E153" s="23">
        <v>45200</v>
      </c>
      <c r="F153">
        <v>40</v>
      </c>
      <c r="G153">
        <v>3.8824999999999998</v>
      </c>
      <c r="H153" t="s">
        <v>1108</v>
      </c>
      <c r="I153">
        <v>3</v>
      </c>
      <c r="J153">
        <v>2024</v>
      </c>
      <c r="K153" t="s">
        <v>3</v>
      </c>
      <c r="L153" t="s">
        <v>1111</v>
      </c>
      <c r="M153">
        <v>3</v>
      </c>
      <c r="N153">
        <v>62</v>
      </c>
      <c r="O153">
        <v>6176</v>
      </c>
      <c r="P153">
        <v>1.55</v>
      </c>
      <c r="Q153">
        <v>62</v>
      </c>
      <c r="R153">
        <v>1.55</v>
      </c>
      <c r="S153" t="s">
        <v>1062</v>
      </c>
      <c r="T153">
        <v>10</v>
      </c>
    </row>
    <row r="154" spans="1:20" x14ac:dyDescent="0.4">
      <c r="A154" t="s">
        <v>815</v>
      </c>
      <c r="B154" t="s">
        <v>84</v>
      </c>
      <c r="C154">
        <v>131</v>
      </c>
      <c r="D154" t="s">
        <v>2</v>
      </c>
      <c r="E154" s="23">
        <v>45200</v>
      </c>
      <c r="F154">
        <v>69</v>
      </c>
      <c r="G154">
        <v>3.8824999999999998</v>
      </c>
      <c r="H154" t="s">
        <v>1108</v>
      </c>
      <c r="I154">
        <v>4.7</v>
      </c>
      <c r="J154">
        <v>2024</v>
      </c>
      <c r="K154" t="s">
        <v>3</v>
      </c>
      <c r="L154" t="s">
        <v>1112</v>
      </c>
      <c r="M154">
        <v>5</v>
      </c>
      <c r="N154">
        <v>59</v>
      </c>
      <c r="O154">
        <v>5009</v>
      </c>
      <c r="P154">
        <v>0.85507246376811596</v>
      </c>
      <c r="Q154">
        <v>59</v>
      </c>
      <c r="R154">
        <v>0.85507246376811596</v>
      </c>
      <c r="S154" t="s">
        <v>1062</v>
      </c>
      <c r="T154">
        <v>10</v>
      </c>
    </row>
    <row r="155" spans="1:20" x14ac:dyDescent="0.4">
      <c r="A155" t="s">
        <v>816</v>
      </c>
      <c r="B155" t="s">
        <v>84</v>
      </c>
      <c r="C155">
        <v>109</v>
      </c>
      <c r="D155" t="s">
        <v>2</v>
      </c>
      <c r="E155" s="23">
        <v>45200</v>
      </c>
      <c r="F155">
        <v>44</v>
      </c>
      <c r="G155">
        <v>3.8824999999999998</v>
      </c>
      <c r="H155" t="s">
        <v>1108</v>
      </c>
      <c r="I155">
        <v>4.5999999999999996</v>
      </c>
      <c r="J155">
        <v>2024</v>
      </c>
      <c r="K155" t="s">
        <v>3</v>
      </c>
      <c r="L155" t="s">
        <v>1111</v>
      </c>
      <c r="M155">
        <v>5</v>
      </c>
      <c r="N155">
        <v>59</v>
      </c>
      <c r="O155">
        <v>5009</v>
      </c>
      <c r="P155">
        <v>1.3409090909090908</v>
      </c>
      <c r="Q155">
        <v>59</v>
      </c>
      <c r="R155">
        <v>1.3409090909090908</v>
      </c>
      <c r="S155" t="s">
        <v>1062</v>
      </c>
      <c r="T155">
        <v>10</v>
      </c>
    </row>
    <row r="156" spans="1:20" x14ac:dyDescent="0.4">
      <c r="A156" t="s">
        <v>817</v>
      </c>
      <c r="B156" t="s">
        <v>21</v>
      </c>
      <c r="C156">
        <v>142</v>
      </c>
      <c r="D156" t="s">
        <v>2</v>
      </c>
      <c r="E156" s="23">
        <v>45200</v>
      </c>
      <c r="F156">
        <v>44</v>
      </c>
      <c r="G156">
        <v>3.8824999999999998</v>
      </c>
      <c r="H156" t="s">
        <v>1108</v>
      </c>
      <c r="I156">
        <v>4.8</v>
      </c>
      <c r="J156">
        <v>2024</v>
      </c>
      <c r="K156" t="s">
        <v>3</v>
      </c>
      <c r="L156" t="s">
        <v>1112</v>
      </c>
      <c r="M156">
        <v>5</v>
      </c>
      <c r="N156">
        <v>67</v>
      </c>
      <c r="O156">
        <v>7216</v>
      </c>
      <c r="P156">
        <v>1.5227272727272727</v>
      </c>
      <c r="Q156">
        <v>67</v>
      </c>
      <c r="R156">
        <v>1.5227272727272727</v>
      </c>
      <c r="S156" t="s">
        <v>1062</v>
      </c>
      <c r="T156">
        <v>10</v>
      </c>
    </row>
    <row r="157" spans="1:20" x14ac:dyDescent="0.4">
      <c r="A157" t="s">
        <v>822</v>
      </c>
      <c r="B157" t="s">
        <v>40</v>
      </c>
      <c r="C157">
        <v>89</v>
      </c>
      <c r="D157" t="s">
        <v>2</v>
      </c>
      <c r="E157" s="23">
        <v>45202</v>
      </c>
      <c r="F157">
        <v>81</v>
      </c>
      <c r="G157">
        <v>3.8824999999999998</v>
      </c>
      <c r="H157" t="s">
        <v>1108</v>
      </c>
      <c r="I157">
        <v>3.8</v>
      </c>
      <c r="J157">
        <v>2024</v>
      </c>
      <c r="K157" t="s">
        <v>18</v>
      </c>
      <c r="L157" t="s">
        <v>1111</v>
      </c>
      <c r="M157">
        <v>4</v>
      </c>
      <c r="N157">
        <v>69</v>
      </c>
      <c r="O157">
        <v>6601</v>
      </c>
      <c r="P157">
        <v>0.85185185185185186</v>
      </c>
      <c r="Q157">
        <v>69</v>
      </c>
      <c r="R157">
        <v>0.85185185185185186</v>
      </c>
      <c r="S157" t="s">
        <v>1062</v>
      </c>
      <c r="T157">
        <v>10</v>
      </c>
    </row>
    <row r="158" spans="1:20" x14ac:dyDescent="0.4">
      <c r="A158" t="s">
        <v>824</v>
      </c>
      <c r="B158" t="s">
        <v>13</v>
      </c>
      <c r="C158">
        <v>86</v>
      </c>
      <c r="D158" t="s">
        <v>2</v>
      </c>
      <c r="E158" s="23">
        <v>45203</v>
      </c>
      <c r="F158">
        <v>92</v>
      </c>
      <c r="G158">
        <v>3.8824999999999998</v>
      </c>
      <c r="H158" t="s">
        <v>1108</v>
      </c>
      <c r="I158">
        <v>2.4</v>
      </c>
      <c r="J158">
        <v>2024</v>
      </c>
      <c r="K158" t="s">
        <v>33</v>
      </c>
      <c r="L158" t="s">
        <v>1111</v>
      </c>
      <c r="M158">
        <v>2</v>
      </c>
      <c r="N158">
        <v>74</v>
      </c>
      <c r="O158">
        <v>6749</v>
      </c>
      <c r="P158">
        <v>0.80434782608695654</v>
      </c>
      <c r="Q158">
        <v>74</v>
      </c>
      <c r="R158">
        <v>0.80434782608695654</v>
      </c>
      <c r="S158" t="s">
        <v>1062</v>
      </c>
      <c r="T158">
        <v>10</v>
      </c>
    </row>
    <row r="159" spans="1:20" x14ac:dyDescent="0.4">
      <c r="A159" t="s">
        <v>830</v>
      </c>
      <c r="B159" t="s">
        <v>13</v>
      </c>
      <c r="C159">
        <v>4</v>
      </c>
      <c r="D159" t="s">
        <v>2</v>
      </c>
      <c r="E159" s="23">
        <v>45204</v>
      </c>
      <c r="F159">
        <v>170</v>
      </c>
      <c r="G159">
        <v>3.8824999999999998</v>
      </c>
      <c r="H159" t="s">
        <v>1108</v>
      </c>
      <c r="I159">
        <v>3.9</v>
      </c>
      <c r="J159">
        <v>2024</v>
      </c>
      <c r="K159" t="s">
        <v>37</v>
      </c>
      <c r="L159" t="s">
        <v>1113</v>
      </c>
      <c r="M159">
        <v>4</v>
      </c>
      <c r="N159">
        <v>74</v>
      </c>
      <c r="O159">
        <v>6749</v>
      </c>
      <c r="P159">
        <v>0.43529411764705883</v>
      </c>
      <c r="Q159">
        <v>74</v>
      </c>
      <c r="R159">
        <v>0.43529411764705883</v>
      </c>
      <c r="S159" t="s">
        <v>1062</v>
      </c>
      <c r="T159">
        <v>10</v>
      </c>
    </row>
    <row r="160" spans="1:20" x14ac:dyDescent="0.4">
      <c r="A160" t="s">
        <v>832</v>
      </c>
      <c r="B160" t="s">
        <v>44</v>
      </c>
      <c r="C160">
        <v>69</v>
      </c>
      <c r="D160" t="s">
        <v>2</v>
      </c>
      <c r="E160" s="23">
        <v>45205</v>
      </c>
      <c r="F160">
        <v>99</v>
      </c>
      <c r="G160">
        <v>3.8824999999999998</v>
      </c>
      <c r="H160" t="s">
        <v>1108</v>
      </c>
      <c r="I160">
        <v>2.7</v>
      </c>
      <c r="J160">
        <v>2024</v>
      </c>
      <c r="K160" t="s">
        <v>45</v>
      </c>
      <c r="L160" t="s">
        <v>1111</v>
      </c>
      <c r="M160">
        <v>3</v>
      </c>
      <c r="N160">
        <v>62</v>
      </c>
      <c r="O160">
        <v>6176</v>
      </c>
      <c r="P160">
        <v>0.6262626262626263</v>
      </c>
      <c r="Q160">
        <v>62</v>
      </c>
      <c r="R160">
        <v>0.6262626262626263</v>
      </c>
      <c r="S160" t="s">
        <v>1062</v>
      </c>
      <c r="T160">
        <v>10</v>
      </c>
    </row>
    <row r="161" spans="1:20" x14ac:dyDescent="0.4">
      <c r="A161" t="s">
        <v>834</v>
      </c>
      <c r="B161" t="s">
        <v>44</v>
      </c>
      <c r="C161">
        <v>134</v>
      </c>
      <c r="D161" t="s">
        <v>2</v>
      </c>
      <c r="E161" s="23">
        <v>45205</v>
      </c>
      <c r="F161">
        <v>35</v>
      </c>
      <c r="G161">
        <v>3.8824999999999998</v>
      </c>
      <c r="H161" t="s">
        <v>1108</v>
      </c>
      <c r="I161">
        <v>3.4</v>
      </c>
      <c r="J161">
        <v>2024</v>
      </c>
      <c r="K161" t="s">
        <v>45</v>
      </c>
      <c r="L161" t="s">
        <v>1112</v>
      </c>
      <c r="M161">
        <v>3</v>
      </c>
      <c r="N161">
        <v>62</v>
      </c>
      <c r="O161">
        <v>6176</v>
      </c>
      <c r="P161">
        <v>1.7714285714285714</v>
      </c>
      <c r="Q161">
        <v>62</v>
      </c>
      <c r="R161">
        <v>1.7714285714285714</v>
      </c>
      <c r="S161" t="s">
        <v>1062</v>
      </c>
      <c r="T161">
        <v>10</v>
      </c>
    </row>
    <row r="162" spans="1:20" x14ac:dyDescent="0.4">
      <c r="A162" t="s">
        <v>847</v>
      </c>
      <c r="B162" t="s">
        <v>64</v>
      </c>
      <c r="C162">
        <v>63</v>
      </c>
      <c r="D162" t="s">
        <v>2</v>
      </c>
      <c r="E162" s="23">
        <v>45209</v>
      </c>
      <c r="F162">
        <v>172</v>
      </c>
      <c r="G162">
        <v>3.8824999999999998</v>
      </c>
      <c r="H162" t="s">
        <v>1108</v>
      </c>
      <c r="I162">
        <v>4.9000000000000004</v>
      </c>
      <c r="J162">
        <v>2024</v>
      </c>
      <c r="K162" t="s">
        <v>18</v>
      </c>
      <c r="L162" t="s">
        <v>1111</v>
      </c>
      <c r="M162">
        <v>5</v>
      </c>
      <c r="N162">
        <v>65</v>
      </c>
      <c r="O162">
        <v>6785</v>
      </c>
      <c r="P162">
        <v>0.37790697674418605</v>
      </c>
      <c r="Q162">
        <v>65</v>
      </c>
      <c r="R162">
        <v>0.37790697674418605</v>
      </c>
      <c r="S162" t="s">
        <v>1062</v>
      </c>
      <c r="T162">
        <v>10</v>
      </c>
    </row>
    <row r="163" spans="1:20" x14ac:dyDescent="0.4">
      <c r="A163" t="s">
        <v>856</v>
      </c>
      <c r="B163" t="s">
        <v>84</v>
      </c>
      <c r="C163">
        <v>120</v>
      </c>
      <c r="D163" t="s">
        <v>2</v>
      </c>
      <c r="E163" s="23">
        <v>45211</v>
      </c>
      <c r="F163">
        <v>195</v>
      </c>
      <c r="G163">
        <v>3.8824999999999998</v>
      </c>
      <c r="H163" t="s">
        <v>1108</v>
      </c>
      <c r="I163">
        <v>4.3</v>
      </c>
      <c r="J163">
        <v>2024</v>
      </c>
      <c r="K163" t="s">
        <v>37</v>
      </c>
      <c r="L163" t="s">
        <v>1111</v>
      </c>
      <c r="M163">
        <v>4</v>
      </c>
      <c r="N163">
        <v>59</v>
      </c>
      <c r="O163">
        <v>5009</v>
      </c>
      <c r="P163">
        <v>0.30256410256410254</v>
      </c>
      <c r="Q163">
        <v>59</v>
      </c>
      <c r="R163">
        <v>0.30256410256410254</v>
      </c>
      <c r="S163" t="s">
        <v>1062</v>
      </c>
      <c r="T163">
        <v>10</v>
      </c>
    </row>
    <row r="164" spans="1:20" x14ac:dyDescent="0.4">
      <c r="A164" t="s">
        <v>859</v>
      </c>
      <c r="B164" t="s">
        <v>1</v>
      </c>
      <c r="C164">
        <v>108</v>
      </c>
      <c r="D164" t="s">
        <v>2</v>
      </c>
      <c r="E164" s="23">
        <v>45213</v>
      </c>
      <c r="F164">
        <v>44</v>
      </c>
      <c r="G164">
        <v>3.8824999999999998</v>
      </c>
      <c r="H164" t="s">
        <v>1108</v>
      </c>
      <c r="I164">
        <v>4.7</v>
      </c>
      <c r="J164">
        <v>2024</v>
      </c>
      <c r="K164" t="s">
        <v>48</v>
      </c>
      <c r="L164" t="s">
        <v>1111</v>
      </c>
      <c r="M164">
        <v>5</v>
      </c>
      <c r="N164">
        <v>50</v>
      </c>
      <c r="O164">
        <v>4804</v>
      </c>
      <c r="P164">
        <v>1.1363636363636365</v>
      </c>
      <c r="Q164">
        <v>50</v>
      </c>
      <c r="R164">
        <v>1.1363636363636365</v>
      </c>
      <c r="S164" t="s">
        <v>1062</v>
      </c>
      <c r="T164">
        <v>10</v>
      </c>
    </row>
    <row r="165" spans="1:20" x14ac:dyDescent="0.4">
      <c r="A165" t="s">
        <v>863</v>
      </c>
      <c r="B165" t="s">
        <v>1</v>
      </c>
      <c r="C165">
        <v>23</v>
      </c>
      <c r="D165" t="s">
        <v>2</v>
      </c>
      <c r="E165" s="23">
        <v>45213</v>
      </c>
      <c r="F165">
        <v>24</v>
      </c>
      <c r="G165">
        <v>3.8824999999999998</v>
      </c>
      <c r="H165" t="s">
        <v>1108</v>
      </c>
      <c r="I165">
        <v>2.9</v>
      </c>
      <c r="J165">
        <v>2024</v>
      </c>
      <c r="K165" t="s">
        <v>48</v>
      </c>
      <c r="L165" t="s">
        <v>1110</v>
      </c>
      <c r="M165">
        <v>3</v>
      </c>
      <c r="N165">
        <v>50</v>
      </c>
      <c r="O165">
        <v>4804</v>
      </c>
      <c r="P165">
        <v>2.0833333333333335</v>
      </c>
      <c r="Q165">
        <v>50</v>
      </c>
      <c r="R165">
        <v>2.0833333333333335</v>
      </c>
      <c r="S165" t="s">
        <v>1062</v>
      </c>
      <c r="T165">
        <v>10</v>
      </c>
    </row>
    <row r="166" spans="1:20" x14ac:dyDescent="0.4">
      <c r="A166" t="s">
        <v>875</v>
      </c>
      <c r="B166" t="s">
        <v>21</v>
      </c>
      <c r="C166">
        <v>137</v>
      </c>
      <c r="D166" t="s">
        <v>2</v>
      </c>
      <c r="E166" s="23">
        <v>45216</v>
      </c>
      <c r="F166">
        <v>45</v>
      </c>
      <c r="G166">
        <v>3.8824999999999998</v>
      </c>
      <c r="H166" t="s">
        <v>1108</v>
      </c>
      <c r="I166">
        <v>4.4000000000000004</v>
      </c>
      <c r="J166">
        <v>2024</v>
      </c>
      <c r="K166" t="s">
        <v>18</v>
      </c>
      <c r="L166" t="s">
        <v>1112</v>
      </c>
      <c r="M166">
        <v>4</v>
      </c>
      <c r="N166">
        <v>67</v>
      </c>
      <c r="O166">
        <v>7216</v>
      </c>
      <c r="P166">
        <v>1.4888888888888889</v>
      </c>
      <c r="Q166">
        <v>67</v>
      </c>
      <c r="R166">
        <v>1.4888888888888889</v>
      </c>
      <c r="S166" t="s">
        <v>1062</v>
      </c>
      <c r="T166">
        <v>10</v>
      </c>
    </row>
    <row r="167" spans="1:20" x14ac:dyDescent="0.4">
      <c r="A167" t="s">
        <v>889</v>
      </c>
      <c r="B167" t="s">
        <v>13</v>
      </c>
      <c r="C167">
        <v>60</v>
      </c>
      <c r="D167" t="s">
        <v>2</v>
      </c>
      <c r="E167" s="23">
        <v>45220</v>
      </c>
      <c r="F167">
        <v>135</v>
      </c>
      <c r="G167">
        <v>3.8824999999999998</v>
      </c>
      <c r="H167" t="s">
        <v>1108</v>
      </c>
      <c r="I167">
        <v>3.9</v>
      </c>
      <c r="J167">
        <v>2024</v>
      </c>
      <c r="K167" t="s">
        <v>48</v>
      </c>
      <c r="L167" t="s">
        <v>1109</v>
      </c>
      <c r="M167">
        <v>4</v>
      </c>
      <c r="N167">
        <v>74</v>
      </c>
      <c r="O167">
        <v>6749</v>
      </c>
      <c r="P167">
        <v>0.54814814814814816</v>
      </c>
      <c r="Q167">
        <v>74</v>
      </c>
      <c r="R167">
        <v>0.54814814814814816</v>
      </c>
      <c r="S167" t="s">
        <v>1062</v>
      </c>
      <c r="T167">
        <v>10</v>
      </c>
    </row>
    <row r="168" spans="1:20" x14ac:dyDescent="0.4">
      <c r="A168" t="s">
        <v>895</v>
      </c>
      <c r="B168" t="s">
        <v>84</v>
      </c>
      <c r="C168">
        <v>37</v>
      </c>
      <c r="D168" t="s">
        <v>2</v>
      </c>
      <c r="E168" s="23">
        <v>45222</v>
      </c>
      <c r="F168">
        <v>117</v>
      </c>
      <c r="G168">
        <v>3.8824999999999998</v>
      </c>
      <c r="H168" t="s">
        <v>1108</v>
      </c>
      <c r="I168">
        <v>4</v>
      </c>
      <c r="J168">
        <v>2024</v>
      </c>
      <c r="K168" t="s">
        <v>15</v>
      </c>
      <c r="L168" t="s">
        <v>1109</v>
      </c>
      <c r="M168">
        <v>4</v>
      </c>
      <c r="N168">
        <v>59</v>
      </c>
      <c r="O168">
        <v>5009</v>
      </c>
      <c r="P168">
        <v>0.50427350427350426</v>
      </c>
      <c r="Q168">
        <v>59</v>
      </c>
      <c r="R168">
        <v>0.50427350427350426</v>
      </c>
      <c r="S168" t="s">
        <v>1062</v>
      </c>
      <c r="T168">
        <v>10</v>
      </c>
    </row>
    <row r="169" spans="1:20" x14ac:dyDescent="0.4">
      <c r="A169" t="s">
        <v>898</v>
      </c>
      <c r="B169" t="s">
        <v>54</v>
      </c>
      <c r="C169">
        <v>72</v>
      </c>
      <c r="D169" t="s">
        <v>2</v>
      </c>
      <c r="E169" s="23">
        <v>45223</v>
      </c>
      <c r="F169">
        <v>41</v>
      </c>
      <c r="G169">
        <v>3.8824999999999998</v>
      </c>
      <c r="H169" t="s">
        <v>1108</v>
      </c>
      <c r="I169">
        <v>4.3</v>
      </c>
      <c r="J169">
        <v>2024</v>
      </c>
      <c r="K169" t="s">
        <v>18</v>
      </c>
      <c r="L169" t="s">
        <v>1111</v>
      </c>
      <c r="M169">
        <v>4</v>
      </c>
      <c r="N169">
        <v>70</v>
      </c>
      <c r="O169">
        <v>6819</v>
      </c>
      <c r="P169">
        <v>1.7073170731707317</v>
      </c>
      <c r="Q169">
        <v>70</v>
      </c>
      <c r="R169">
        <v>1.7073170731707317</v>
      </c>
      <c r="S169" t="s">
        <v>1062</v>
      </c>
      <c r="T169">
        <v>10</v>
      </c>
    </row>
    <row r="170" spans="1:20" x14ac:dyDescent="0.4">
      <c r="A170" t="s">
        <v>903</v>
      </c>
      <c r="B170" t="s">
        <v>54</v>
      </c>
      <c r="C170">
        <v>107</v>
      </c>
      <c r="D170" t="s">
        <v>2</v>
      </c>
      <c r="E170" s="23">
        <v>45225</v>
      </c>
      <c r="F170">
        <v>78</v>
      </c>
      <c r="G170">
        <v>3.8824999999999998</v>
      </c>
      <c r="H170" t="s">
        <v>1108</v>
      </c>
      <c r="I170">
        <v>4.3</v>
      </c>
      <c r="J170">
        <v>2024</v>
      </c>
      <c r="K170" t="s">
        <v>37</v>
      </c>
      <c r="L170" t="s">
        <v>1111</v>
      </c>
      <c r="M170">
        <v>4</v>
      </c>
      <c r="N170">
        <v>70</v>
      </c>
      <c r="O170">
        <v>6819</v>
      </c>
      <c r="P170">
        <v>0.89743589743589747</v>
      </c>
      <c r="Q170">
        <v>70</v>
      </c>
      <c r="R170">
        <v>0.89743589743589747</v>
      </c>
      <c r="S170" t="s">
        <v>1062</v>
      </c>
      <c r="T170">
        <v>10</v>
      </c>
    </row>
    <row r="171" spans="1:20" x14ac:dyDescent="0.4">
      <c r="A171" t="s">
        <v>905</v>
      </c>
      <c r="B171" t="s">
        <v>30</v>
      </c>
      <c r="C171">
        <v>171</v>
      </c>
      <c r="D171" t="s">
        <v>2</v>
      </c>
      <c r="E171" s="23">
        <v>45225</v>
      </c>
      <c r="F171">
        <v>84</v>
      </c>
      <c r="G171">
        <v>3.8824999999999998</v>
      </c>
      <c r="H171" t="s">
        <v>1108</v>
      </c>
      <c r="I171">
        <v>4.4000000000000004</v>
      </c>
      <c r="J171">
        <v>2024</v>
      </c>
      <c r="K171" t="s">
        <v>37</v>
      </c>
      <c r="L171" t="s">
        <v>1112</v>
      </c>
      <c r="M171">
        <v>4</v>
      </c>
      <c r="N171">
        <v>69</v>
      </c>
      <c r="O171">
        <v>7230</v>
      </c>
      <c r="P171">
        <v>0.8214285714285714</v>
      </c>
      <c r="Q171">
        <v>69</v>
      </c>
      <c r="R171">
        <v>0.8214285714285714</v>
      </c>
      <c r="S171" t="s">
        <v>1062</v>
      </c>
      <c r="T171">
        <v>10</v>
      </c>
    </row>
    <row r="172" spans="1:20" x14ac:dyDescent="0.4">
      <c r="A172" t="s">
        <v>906</v>
      </c>
      <c r="B172" t="s">
        <v>13</v>
      </c>
      <c r="C172">
        <v>21</v>
      </c>
      <c r="D172" t="s">
        <v>2</v>
      </c>
      <c r="E172" s="23">
        <v>45225</v>
      </c>
      <c r="F172">
        <v>26</v>
      </c>
      <c r="G172">
        <v>3.8824999999999998</v>
      </c>
      <c r="H172" t="s">
        <v>1108</v>
      </c>
      <c r="I172">
        <v>4.7</v>
      </c>
      <c r="J172">
        <v>2024</v>
      </c>
      <c r="K172" t="s">
        <v>37</v>
      </c>
      <c r="L172" t="s">
        <v>1110</v>
      </c>
      <c r="M172">
        <v>5</v>
      </c>
      <c r="N172">
        <v>74</v>
      </c>
      <c r="O172">
        <v>6749</v>
      </c>
      <c r="P172">
        <v>2.8461538461538463</v>
      </c>
      <c r="Q172">
        <v>74</v>
      </c>
      <c r="R172">
        <v>2.8461538461538463</v>
      </c>
      <c r="S172" t="s">
        <v>1062</v>
      </c>
      <c r="T172">
        <v>10</v>
      </c>
    </row>
    <row r="173" spans="1:20" x14ac:dyDescent="0.4">
      <c r="A173" t="s">
        <v>907</v>
      </c>
      <c r="B173" t="s">
        <v>6</v>
      </c>
      <c r="C173">
        <v>94</v>
      </c>
      <c r="D173" t="s">
        <v>2</v>
      </c>
      <c r="E173" s="23">
        <v>45226</v>
      </c>
      <c r="F173">
        <v>140</v>
      </c>
      <c r="G173">
        <v>3.8824999999999998</v>
      </c>
      <c r="H173" t="s">
        <v>1108</v>
      </c>
      <c r="I173">
        <v>3.6</v>
      </c>
      <c r="J173">
        <v>2024</v>
      </c>
      <c r="K173" t="s">
        <v>45</v>
      </c>
      <c r="L173" t="s">
        <v>1111</v>
      </c>
      <c r="M173">
        <v>4</v>
      </c>
      <c r="N173">
        <v>82</v>
      </c>
      <c r="O173">
        <v>7689</v>
      </c>
      <c r="P173">
        <v>0.58571428571428574</v>
      </c>
      <c r="Q173">
        <v>82</v>
      </c>
      <c r="R173">
        <v>0.58571428571428574</v>
      </c>
      <c r="S173" t="s">
        <v>1062</v>
      </c>
      <c r="T173">
        <v>10</v>
      </c>
    </row>
    <row r="174" spans="1:20" x14ac:dyDescent="0.4">
      <c r="A174" t="s">
        <v>916</v>
      </c>
      <c r="B174" t="s">
        <v>44</v>
      </c>
      <c r="C174">
        <v>41</v>
      </c>
      <c r="D174" t="s">
        <v>2</v>
      </c>
      <c r="E174" s="23">
        <v>45228</v>
      </c>
      <c r="F174">
        <v>140</v>
      </c>
      <c r="G174">
        <v>3.8824999999999998</v>
      </c>
      <c r="H174" t="s">
        <v>1108</v>
      </c>
      <c r="I174">
        <v>3.7</v>
      </c>
      <c r="J174">
        <v>2024</v>
      </c>
      <c r="K174" t="s">
        <v>3</v>
      </c>
      <c r="L174" t="s">
        <v>1109</v>
      </c>
      <c r="M174">
        <v>4</v>
      </c>
      <c r="N174">
        <v>62</v>
      </c>
      <c r="O174">
        <v>6176</v>
      </c>
      <c r="P174">
        <v>0.44285714285714284</v>
      </c>
      <c r="Q174">
        <v>62</v>
      </c>
      <c r="R174">
        <v>0.44285714285714284</v>
      </c>
      <c r="S174" t="s">
        <v>1062</v>
      </c>
      <c r="T174">
        <v>10</v>
      </c>
    </row>
    <row r="175" spans="1:20" x14ac:dyDescent="0.4">
      <c r="A175" t="s">
        <v>919</v>
      </c>
      <c r="B175" t="s">
        <v>64</v>
      </c>
      <c r="C175">
        <v>142</v>
      </c>
      <c r="D175" t="s">
        <v>2</v>
      </c>
      <c r="E175" s="23">
        <v>45229</v>
      </c>
      <c r="F175">
        <v>40</v>
      </c>
      <c r="G175">
        <v>3.8824999999999998</v>
      </c>
      <c r="H175" t="s">
        <v>1108</v>
      </c>
      <c r="I175">
        <v>3.8</v>
      </c>
      <c r="J175">
        <v>2024</v>
      </c>
      <c r="K175" t="s">
        <v>15</v>
      </c>
      <c r="L175" t="s">
        <v>1112</v>
      </c>
      <c r="M175">
        <v>4</v>
      </c>
      <c r="N175">
        <v>65</v>
      </c>
      <c r="O175">
        <v>6785</v>
      </c>
      <c r="P175">
        <v>1.625</v>
      </c>
      <c r="Q175">
        <v>65</v>
      </c>
      <c r="R175">
        <v>1.625</v>
      </c>
      <c r="S175" t="s">
        <v>1062</v>
      </c>
      <c r="T175">
        <v>10</v>
      </c>
    </row>
    <row r="176" spans="1:20" x14ac:dyDescent="0.4">
      <c r="A176" t="s">
        <v>920</v>
      </c>
      <c r="B176" t="s">
        <v>40</v>
      </c>
      <c r="C176">
        <v>61</v>
      </c>
      <c r="D176" t="s">
        <v>2</v>
      </c>
      <c r="E176" s="23">
        <v>45229</v>
      </c>
      <c r="F176">
        <v>82</v>
      </c>
      <c r="G176">
        <v>3.8824999999999998</v>
      </c>
      <c r="H176" t="s">
        <v>1108</v>
      </c>
      <c r="I176">
        <v>3.1</v>
      </c>
      <c r="J176">
        <v>2024</v>
      </c>
      <c r="K176" t="s">
        <v>15</v>
      </c>
      <c r="L176" t="s">
        <v>1111</v>
      </c>
      <c r="M176">
        <v>3</v>
      </c>
      <c r="N176">
        <v>69</v>
      </c>
      <c r="O176">
        <v>6601</v>
      </c>
      <c r="P176">
        <v>0.84146341463414631</v>
      </c>
      <c r="Q176">
        <v>69</v>
      </c>
      <c r="R176">
        <v>0.84146341463414631</v>
      </c>
      <c r="S176" t="s">
        <v>1062</v>
      </c>
      <c r="T176">
        <v>10</v>
      </c>
    </row>
    <row r="177" spans="1:20" x14ac:dyDescent="0.4">
      <c r="A177" t="s">
        <v>926</v>
      </c>
      <c r="B177" t="s">
        <v>54</v>
      </c>
      <c r="C177">
        <v>114</v>
      </c>
      <c r="D177" t="s">
        <v>2</v>
      </c>
      <c r="E177" s="23">
        <v>45234</v>
      </c>
      <c r="F177">
        <v>144</v>
      </c>
      <c r="G177">
        <v>3.8824999999999998</v>
      </c>
      <c r="H177" t="s">
        <v>1108</v>
      </c>
      <c r="I177">
        <v>3.8</v>
      </c>
      <c r="J177">
        <v>2024</v>
      </c>
      <c r="K177" t="s">
        <v>48</v>
      </c>
      <c r="L177" t="s">
        <v>1111</v>
      </c>
      <c r="M177">
        <v>4</v>
      </c>
      <c r="N177">
        <v>70</v>
      </c>
      <c r="O177">
        <v>6819</v>
      </c>
      <c r="P177">
        <v>0.4861111111111111</v>
      </c>
      <c r="Q177">
        <v>70</v>
      </c>
      <c r="R177">
        <v>0.4861111111111111</v>
      </c>
      <c r="S177" t="s">
        <v>1063</v>
      </c>
      <c r="T177">
        <v>11</v>
      </c>
    </row>
    <row r="178" spans="1:20" x14ac:dyDescent="0.4">
      <c r="A178" t="s">
        <v>931</v>
      </c>
      <c r="B178" t="s">
        <v>51</v>
      </c>
      <c r="C178">
        <v>74</v>
      </c>
      <c r="D178" t="s">
        <v>2</v>
      </c>
      <c r="E178" s="23">
        <v>45238</v>
      </c>
      <c r="F178">
        <v>160</v>
      </c>
      <c r="G178">
        <v>3.8824999999999998</v>
      </c>
      <c r="H178" t="s">
        <v>1108</v>
      </c>
      <c r="I178">
        <v>2.7</v>
      </c>
      <c r="J178">
        <v>2024</v>
      </c>
      <c r="K178" t="s">
        <v>33</v>
      </c>
      <c r="L178" t="s">
        <v>1111</v>
      </c>
      <c r="M178">
        <v>3</v>
      </c>
      <c r="N178">
        <v>59</v>
      </c>
      <c r="O178">
        <v>6518</v>
      </c>
      <c r="P178">
        <v>0.36875000000000002</v>
      </c>
      <c r="Q178">
        <v>59</v>
      </c>
      <c r="R178">
        <v>0.36875000000000002</v>
      </c>
      <c r="S178" t="s">
        <v>1063</v>
      </c>
      <c r="T178">
        <v>11</v>
      </c>
    </row>
    <row r="179" spans="1:20" x14ac:dyDescent="0.4">
      <c r="A179" t="s">
        <v>936</v>
      </c>
      <c r="B179" t="s">
        <v>54</v>
      </c>
      <c r="C179">
        <v>124</v>
      </c>
      <c r="D179" t="s">
        <v>2</v>
      </c>
      <c r="E179" s="23">
        <v>45239</v>
      </c>
      <c r="F179">
        <v>215</v>
      </c>
      <c r="G179">
        <v>3.8824999999999998</v>
      </c>
      <c r="H179" t="s">
        <v>1108</v>
      </c>
      <c r="I179">
        <v>3.5</v>
      </c>
      <c r="J179">
        <v>2024</v>
      </c>
      <c r="K179" t="s">
        <v>37</v>
      </c>
      <c r="L179" t="s">
        <v>1112</v>
      </c>
      <c r="M179">
        <v>4</v>
      </c>
      <c r="N179">
        <v>70</v>
      </c>
      <c r="O179">
        <v>6819</v>
      </c>
      <c r="P179">
        <v>0.32558139534883723</v>
      </c>
      <c r="Q179">
        <v>70</v>
      </c>
      <c r="R179">
        <v>0.32558139534883723</v>
      </c>
      <c r="S179" t="s">
        <v>1063</v>
      </c>
      <c r="T179">
        <v>11</v>
      </c>
    </row>
    <row r="180" spans="1:20" x14ac:dyDescent="0.4">
      <c r="A180" t="s">
        <v>941</v>
      </c>
      <c r="B180" t="s">
        <v>32</v>
      </c>
      <c r="C180">
        <v>89</v>
      </c>
      <c r="D180" t="s">
        <v>2</v>
      </c>
      <c r="E180" s="23">
        <v>45241</v>
      </c>
      <c r="F180">
        <v>23</v>
      </c>
      <c r="G180">
        <v>3.8824999999999998</v>
      </c>
      <c r="H180" t="s">
        <v>1108</v>
      </c>
      <c r="I180">
        <v>4.5</v>
      </c>
      <c r="J180">
        <v>2024</v>
      </c>
      <c r="K180" t="s">
        <v>48</v>
      </c>
      <c r="L180" t="s">
        <v>1111</v>
      </c>
      <c r="M180">
        <v>5</v>
      </c>
      <c r="N180">
        <v>63</v>
      </c>
      <c r="O180">
        <v>5634</v>
      </c>
      <c r="P180">
        <v>2.7391304347826089</v>
      </c>
      <c r="Q180">
        <v>63</v>
      </c>
      <c r="R180">
        <v>2.7391304347826089</v>
      </c>
      <c r="S180" t="s">
        <v>1063</v>
      </c>
      <c r="T180">
        <v>11</v>
      </c>
    </row>
    <row r="181" spans="1:20" x14ac:dyDescent="0.4">
      <c r="A181" t="s">
        <v>942</v>
      </c>
      <c r="B181" t="s">
        <v>26</v>
      </c>
      <c r="C181">
        <v>146</v>
      </c>
      <c r="D181" t="s">
        <v>2</v>
      </c>
      <c r="E181" s="23">
        <v>45242</v>
      </c>
      <c r="F181">
        <v>220</v>
      </c>
      <c r="G181">
        <v>3.8824999999999998</v>
      </c>
      <c r="H181" t="s">
        <v>1108</v>
      </c>
      <c r="I181">
        <v>4.5</v>
      </c>
      <c r="J181">
        <v>2024</v>
      </c>
      <c r="K181" t="s">
        <v>3</v>
      </c>
      <c r="L181" t="s">
        <v>1112</v>
      </c>
      <c r="M181">
        <v>5</v>
      </c>
      <c r="N181">
        <v>72</v>
      </c>
      <c r="O181">
        <v>6242</v>
      </c>
      <c r="P181">
        <v>0.32727272727272727</v>
      </c>
      <c r="Q181">
        <v>72</v>
      </c>
      <c r="R181">
        <v>0.32727272727272727</v>
      </c>
      <c r="S181" t="s">
        <v>1063</v>
      </c>
      <c r="T181">
        <v>11</v>
      </c>
    </row>
    <row r="182" spans="1:20" x14ac:dyDescent="0.4">
      <c r="A182" t="s">
        <v>944</v>
      </c>
      <c r="B182" t="s">
        <v>64</v>
      </c>
      <c r="C182">
        <v>82</v>
      </c>
      <c r="D182" t="s">
        <v>2</v>
      </c>
      <c r="E182" s="23">
        <v>45243</v>
      </c>
      <c r="F182">
        <v>172</v>
      </c>
      <c r="G182">
        <v>3.8824999999999998</v>
      </c>
      <c r="H182" t="s">
        <v>1108</v>
      </c>
      <c r="I182">
        <v>4.0999999999999996</v>
      </c>
      <c r="J182">
        <v>2024</v>
      </c>
      <c r="K182" t="s">
        <v>15</v>
      </c>
      <c r="L182" t="s">
        <v>1111</v>
      </c>
      <c r="M182">
        <v>4</v>
      </c>
      <c r="N182">
        <v>65</v>
      </c>
      <c r="O182">
        <v>6785</v>
      </c>
      <c r="P182">
        <v>0.37790697674418605</v>
      </c>
      <c r="Q182">
        <v>65</v>
      </c>
      <c r="R182">
        <v>0.37790697674418605</v>
      </c>
      <c r="S182" t="s">
        <v>1063</v>
      </c>
      <c r="T182">
        <v>11</v>
      </c>
    </row>
    <row r="183" spans="1:20" x14ac:dyDescent="0.4">
      <c r="A183" t="s">
        <v>946</v>
      </c>
      <c r="B183" t="s">
        <v>32</v>
      </c>
      <c r="C183">
        <v>39</v>
      </c>
      <c r="D183" t="s">
        <v>2</v>
      </c>
      <c r="E183" s="23">
        <v>45244</v>
      </c>
      <c r="F183">
        <v>43</v>
      </c>
      <c r="G183">
        <v>3.8824999999999998</v>
      </c>
      <c r="H183" t="s">
        <v>1108</v>
      </c>
      <c r="I183">
        <v>4.2</v>
      </c>
      <c r="J183">
        <v>2024</v>
      </c>
      <c r="K183" t="s">
        <v>18</v>
      </c>
      <c r="L183" t="s">
        <v>1109</v>
      </c>
      <c r="M183">
        <v>4</v>
      </c>
      <c r="N183">
        <v>63</v>
      </c>
      <c r="O183">
        <v>5634</v>
      </c>
      <c r="P183">
        <v>1.4651162790697674</v>
      </c>
      <c r="Q183">
        <v>63</v>
      </c>
      <c r="R183">
        <v>1.4651162790697674</v>
      </c>
      <c r="S183" t="s">
        <v>1063</v>
      </c>
      <c r="T183">
        <v>11</v>
      </c>
    </row>
    <row r="184" spans="1:20" x14ac:dyDescent="0.4">
      <c r="A184" t="s">
        <v>950</v>
      </c>
      <c r="B184" t="s">
        <v>13</v>
      </c>
      <c r="C184">
        <v>88</v>
      </c>
      <c r="D184" t="s">
        <v>2</v>
      </c>
      <c r="E184" s="23">
        <v>45245</v>
      </c>
      <c r="F184">
        <v>220</v>
      </c>
      <c r="G184">
        <v>3.8824999999999998</v>
      </c>
      <c r="H184" t="s">
        <v>1108</v>
      </c>
      <c r="I184">
        <v>4.0999999999999996</v>
      </c>
      <c r="J184">
        <v>2024</v>
      </c>
      <c r="K184" t="s">
        <v>33</v>
      </c>
      <c r="L184" t="s">
        <v>1111</v>
      </c>
      <c r="M184">
        <v>4</v>
      </c>
      <c r="N184">
        <v>74</v>
      </c>
      <c r="O184">
        <v>6749</v>
      </c>
      <c r="P184">
        <v>0.33636363636363636</v>
      </c>
      <c r="Q184">
        <v>74</v>
      </c>
      <c r="R184">
        <v>0.33636363636363636</v>
      </c>
      <c r="S184" t="s">
        <v>1063</v>
      </c>
      <c r="T184">
        <v>11</v>
      </c>
    </row>
    <row r="185" spans="1:20" x14ac:dyDescent="0.4">
      <c r="A185" t="s">
        <v>955</v>
      </c>
      <c r="B185" t="s">
        <v>54</v>
      </c>
      <c r="C185">
        <v>54</v>
      </c>
      <c r="D185" t="s">
        <v>2</v>
      </c>
      <c r="E185" s="23">
        <v>45247</v>
      </c>
      <c r="F185">
        <v>145</v>
      </c>
      <c r="G185">
        <v>3.8824999999999998</v>
      </c>
      <c r="H185" t="s">
        <v>1108</v>
      </c>
      <c r="I185">
        <v>2.7</v>
      </c>
      <c r="J185">
        <v>2024</v>
      </c>
      <c r="K185" t="s">
        <v>45</v>
      </c>
      <c r="L185" t="s">
        <v>1109</v>
      </c>
      <c r="M185">
        <v>3</v>
      </c>
      <c r="N185">
        <v>70</v>
      </c>
      <c r="O185">
        <v>6819</v>
      </c>
      <c r="P185">
        <v>0.48275862068965519</v>
      </c>
      <c r="Q185">
        <v>70</v>
      </c>
      <c r="R185">
        <v>0.48275862068965519</v>
      </c>
      <c r="S185" t="s">
        <v>1063</v>
      </c>
      <c r="T185">
        <v>11</v>
      </c>
    </row>
    <row r="186" spans="1:20" x14ac:dyDescent="0.4">
      <c r="A186" t="s">
        <v>957</v>
      </c>
      <c r="B186" t="s">
        <v>54</v>
      </c>
      <c r="C186">
        <v>93</v>
      </c>
      <c r="D186" t="s">
        <v>2</v>
      </c>
      <c r="E186" s="23">
        <v>45248</v>
      </c>
      <c r="F186">
        <v>185</v>
      </c>
      <c r="G186">
        <v>3.8824999999999998</v>
      </c>
      <c r="H186" t="s">
        <v>1108</v>
      </c>
      <c r="I186">
        <v>4.3</v>
      </c>
      <c r="J186">
        <v>2024</v>
      </c>
      <c r="K186" t="s">
        <v>48</v>
      </c>
      <c r="L186" t="s">
        <v>1111</v>
      </c>
      <c r="M186">
        <v>4</v>
      </c>
      <c r="N186">
        <v>70</v>
      </c>
      <c r="O186">
        <v>6819</v>
      </c>
      <c r="P186">
        <v>0.3783783783783784</v>
      </c>
      <c r="Q186">
        <v>70</v>
      </c>
      <c r="R186">
        <v>0.3783783783783784</v>
      </c>
      <c r="S186" t="s">
        <v>1063</v>
      </c>
      <c r="T186">
        <v>11</v>
      </c>
    </row>
    <row r="187" spans="1:20" x14ac:dyDescent="0.4">
      <c r="A187" t="s">
        <v>970</v>
      </c>
      <c r="B187" t="s">
        <v>6</v>
      </c>
      <c r="C187">
        <v>17</v>
      </c>
      <c r="D187" t="s">
        <v>2</v>
      </c>
      <c r="E187" s="23">
        <v>45254</v>
      </c>
      <c r="F187">
        <v>210</v>
      </c>
      <c r="G187">
        <v>3.8824999999999998</v>
      </c>
      <c r="H187" t="s">
        <v>1108</v>
      </c>
      <c r="I187">
        <v>4.8</v>
      </c>
      <c r="J187">
        <v>2024</v>
      </c>
      <c r="K187" t="s">
        <v>45</v>
      </c>
      <c r="L187" t="s">
        <v>1110</v>
      </c>
      <c r="M187">
        <v>5</v>
      </c>
      <c r="N187">
        <v>82</v>
      </c>
      <c r="O187">
        <v>7689</v>
      </c>
      <c r="P187">
        <v>0.39047619047619048</v>
      </c>
      <c r="Q187">
        <v>82</v>
      </c>
      <c r="R187">
        <v>0.39047619047619048</v>
      </c>
      <c r="S187" t="s">
        <v>1063</v>
      </c>
      <c r="T187">
        <v>11</v>
      </c>
    </row>
    <row r="188" spans="1:20" x14ac:dyDescent="0.4">
      <c r="A188" t="s">
        <v>974</v>
      </c>
      <c r="B188" t="s">
        <v>8</v>
      </c>
      <c r="C188">
        <v>80</v>
      </c>
      <c r="D188" t="s">
        <v>2</v>
      </c>
      <c r="E188" s="23">
        <v>45258</v>
      </c>
      <c r="F188">
        <v>148</v>
      </c>
      <c r="G188">
        <v>3.8824999999999998</v>
      </c>
      <c r="H188" t="s">
        <v>1108</v>
      </c>
      <c r="I188">
        <v>4.0999999999999996</v>
      </c>
      <c r="J188">
        <v>2024</v>
      </c>
      <c r="K188" t="s">
        <v>18</v>
      </c>
      <c r="L188" t="s">
        <v>1111</v>
      </c>
      <c r="M188">
        <v>4</v>
      </c>
      <c r="N188">
        <v>79</v>
      </c>
      <c r="O188">
        <v>7747</v>
      </c>
      <c r="P188">
        <v>0.53378378378378377</v>
      </c>
      <c r="Q188">
        <v>79</v>
      </c>
      <c r="R188">
        <v>0.53378378378378377</v>
      </c>
      <c r="S188" t="s">
        <v>1063</v>
      </c>
      <c r="T188">
        <v>11</v>
      </c>
    </row>
    <row r="189" spans="1:20" x14ac:dyDescent="0.4">
      <c r="A189" t="s">
        <v>982</v>
      </c>
      <c r="B189" t="s">
        <v>26</v>
      </c>
      <c r="C189">
        <v>97</v>
      </c>
      <c r="D189" t="s">
        <v>2</v>
      </c>
      <c r="E189" s="23">
        <v>45261</v>
      </c>
      <c r="F189">
        <v>114</v>
      </c>
      <c r="G189">
        <v>3.8824999999999998</v>
      </c>
      <c r="H189" t="s">
        <v>1108</v>
      </c>
      <c r="I189">
        <v>4.8</v>
      </c>
      <c r="J189">
        <v>2024</v>
      </c>
      <c r="K189" t="s">
        <v>45</v>
      </c>
      <c r="L189" t="s">
        <v>1111</v>
      </c>
      <c r="M189">
        <v>5</v>
      </c>
      <c r="N189">
        <v>72</v>
      </c>
      <c r="O189">
        <v>6242</v>
      </c>
      <c r="P189">
        <v>0.63157894736842102</v>
      </c>
      <c r="Q189">
        <v>72</v>
      </c>
      <c r="R189">
        <v>0.63157894736842102</v>
      </c>
      <c r="S189" t="s">
        <v>1064</v>
      </c>
      <c r="T189">
        <v>12</v>
      </c>
    </row>
    <row r="190" spans="1:20" x14ac:dyDescent="0.4">
      <c r="A190" t="s">
        <v>984</v>
      </c>
      <c r="B190" t="s">
        <v>44</v>
      </c>
      <c r="C190">
        <v>62</v>
      </c>
      <c r="D190" t="s">
        <v>2</v>
      </c>
      <c r="E190" s="23">
        <v>45262</v>
      </c>
      <c r="F190">
        <v>205</v>
      </c>
      <c r="G190">
        <v>3.8824999999999998</v>
      </c>
      <c r="H190" t="s">
        <v>1108</v>
      </c>
      <c r="I190">
        <v>4.2</v>
      </c>
      <c r="J190">
        <v>2024</v>
      </c>
      <c r="K190" t="s">
        <v>48</v>
      </c>
      <c r="L190" t="s">
        <v>1111</v>
      </c>
      <c r="M190">
        <v>4</v>
      </c>
      <c r="N190">
        <v>62</v>
      </c>
      <c r="O190">
        <v>6176</v>
      </c>
      <c r="P190">
        <v>0.30243902439024389</v>
      </c>
      <c r="Q190">
        <v>62</v>
      </c>
      <c r="R190">
        <v>0.30243902439024389</v>
      </c>
      <c r="S190" t="s">
        <v>1064</v>
      </c>
      <c r="T190">
        <v>12</v>
      </c>
    </row>
    <row r="191" spans="1:20" x14ac:dyDescent="0.4">
      <c r="A191" t="s">
        <v>986</v>
      </c>
      <c r="B191" t="s">
        <v>30</v>
      </c>
      <c r="C191">
        <v>133</v>
      </c>
      <c r="D191" t="s">
        <v>2</v>
      </c>
      <c r="E191" s="23">
        <v>45263</v>
      </c>
      <c r="F191">
        <v>96</v>
      </c>
      <c r="G191">
        <v>3.8824999999999998</v>
      </c>
      <c r="H191" t="s">
        <v>1108</v>
      </c>
      <c r="I191">
        <v>4.3</v>
      </c>
      <c r="J191">
        <v>2024</v>
      </c>
      <c r="K191" t="s">
        <v>3</v>
      </c>
      <c r="L191" t="s">
        <v>1112</v>
      </c>
      <c r="M191">
        <v>4</v>
      </c>
      <c r="N191">
        <v>69</v>
      </c>
      <c r="O191">
        <v>7230</v>
      </c>
      <c r="P191">
        <v>0.71875</v>
      </c>
      <c r="Q191">
        <v>69</v>
      </c>
      <c r="R191">
        <v>0.71875</v>
      </c>
      <c r="S191" t="s">
        <v>1064</v>
      </c>
      <c r="T191">
        <v>12</v>
      </c>
    </row>
    <row r="192" spans="1:20" x14ac:dyDescent="0.4">
      <c r="A192" t="s">
        <v>988</v>
      </c>
      <c r="B192" t="s">
        <v>44</v>
      </c>
      <c r="C192">
        <v>110</v>
      </c>
      <c r="D192" t="s">
        <v>2</v>
      </c>
      <c r="E192" s="23">
        <v>45264</v>
      </c>
      <c r="F192">
        <v>72</v>
      </c>
      <c r="G192">
        <v>3.8824999999999998</v>
      </c>
      <c r="H192" t="s">
        <v>1108</v>
      </c>
      <c r="I192">
        <v>3.7</v>
      </c>
      <c r="J192">
        <v>2024</v>
      </c>
      <c r="K192" t="s">
        <v>15</v>
      </c>
      <c r="L192" t="s">
        <v>1111</v>
      </c>
      <c r="M192">
        <v>4</v>
      </c>
      <c r="N192">
        <v>62</v>
      </c>
      <c r="O192">
        <v>6176</v>
      </c>
      <c r="P192">
        <v>0.86111111111111116</v>
      </c>
      <c r="Q192">
        <v>62</v>
      </c>
      <c r="R192">
        <v>0.86111111111111116</v>
      </c>
      <c r="S192" t="s">
        <v>1064</v>
      </c>
      <c r="T192">
        <v>12</v>
      </c>
    </row>
    <row r="193" spans="1:20" x14ac:dyDescent="0.4">
      <c r="A193" t="s">
        <v>1001</v>
      </c>
      <c r="B193" t="s">
        <v>84</v>
      </c>
      <c r="C193">
        <v>158</v>
      </c>
      <c r="D193" t="s">
        <v>2</v>
      </c>
      <c r="E193" s="23">
        <v>45276</v>
      </c>
      <c r="F193">
        <v>36</v>
      </c>
      <c r="G193">
        <v>3.8824999999999998</v>
      </c>
      <c r="H193" t="s">
        <v>1108</v>
      </c>
      <c r="I193">
        <v>4.7</v>
      </c>
      <c r="J193">
        <v>2024</v>
      </c>
      <c r="K193" t="s">
        <v>48</v>
      </c>
      <c r="L193" t="s">
        <v>1112</v>
      </c>
      <c r="M193">
        <v>5</v>
      </c>
      <c r="N193">
        <v>59</v>
      </c>
      <c r="O193">
        <v>5009</v>
      </c>
      <c r="P193">
        <v>1.6388888888888888</v>
      </c>
      <c r="Q193">
        <v>59</v>
      </c>
      <c r="R193">
        <v>1.6388888888888888</v>
      </c>
      <c r="S193" t="s">
        <v>1064</v>
      </c>
      <c r="T193">
        <v>12</v>
      </c>
    </row>
    <row r="194" spans="1:20" x14ac:dyDescent="0.4">
      <c r="A194" t="s">
        <v>1002</v>
      </c>
      <c r="B194" t="s">
        <v>8</v>
      </c>
      <c r="C194">
        <v>45</v>
      </c>
      <c r="D194" t="s">
        <v>2</v>
      </c>
      <c r="E194" s="23">
        <v>45276</v>
      </c>
      <c r="F194">
        <v>84</v>
      </c>
      <c r="G194">
        <v>3.8824999999999998</v>
      </c>
      <c r="H194" t="s">
        <v>1108</v>
      </c>
      <c r="I194">
        <v>2.8</v>
      </c>
      <c r="J194">
        <v>2024</v>
      </c>
      <c r="K194" t="s">
        <v>48</v>
      </c>
      <c r="L194" t="s">
        <v>1109</v>
      </c>
      <c r="M194">
        <v>3</v>
      </c>
      <c r="N194">
        <v>79</v>
      </c>
      <c r="O194">
        <v>7747</v>
      </c>
      <c r="P194">
        <v>0.94047619047619047</v>
      </c>
      <c r="Q194">
        <v>79</v>
      </c>
      <c r="R194">
        <v>0.94047619047619047</v>
      </c>
      <c r="S194" t="s">
        <v>1064</v>
      </c>
      <c r="T194">
        <v>12</v>
      </c>
    </row>
    <row r="195" spans="1:20" x14ac:dyDescent="0.4">
      <c r="A195" t="s">
        <v>1003</v>
      </c>
      <c r="B195" t="s">
        <v>32</v>
      </c>
      <c r="C195">
        <v>141</v>
      </c>
      <c r="D195" t="s">
        <v>2</v>
      </c>
      <c r="E195" s="23">
        <v>45276</v>
      </c>
      <c r="F195">
        <v>66</v>
      </c>
      <c r="G195">
        <v>3.8824999999999998</v>
      </c>
      <c r="H195" t="s">
        <v>1108</v>
      </c>
      <c r="I195">
        <v>3.2</v>
      </c>
      <c r="J195">
        <v>2024</v>
      </c>
      <c r="K195" t="s">
        <v>48</v>
      </c>
      <c r="L195" t="s">
        <v>1112</v>
      </c>
      <c r="M195">
        <v>3</v>
      </c>
      <c r="N195">
        <v>63</v>
      </c>
      <c r="O195">
        <v>5634</v>
      </c>
      <c r="P195">
        <v>0.95454545454545459</v>
      </c>
      <c r="Q195">
        <v>63</v>
      </c>
      <c r="R195">
        <v>0.95454545454545459</v>
      </c>
      <c r="S195" t="s">
        <v>1064</v>
      </c>
      <c r="T195">
        <v>12</v>
      </c>
    </row>
    <row r="196" spans="1:20" x14ac:dyDescent="0.4">
      <c r="A196" t="s">
        <v>1014</v>
      </c>
      <c r="B196" t="s">
        <v>44</v>
      </c>
      <c r="C196">
        <v>7</v>
      </c>
      <c r="D196" t="s">
        <v>2</v>
      </c>
      <c r="E196" s="23">
        <v>45285</v>
      </c>
      <c r="F196">
        <v>64</v>
      </c>
      <c r="G196">
        <v>3.8824999999999998</v>
      </c>
      <c r="H196" t="s">
        <v>1108</v>
      </c>
      <c r="I196">
        <v>3.3</v>
      </c>
      <c r="J196">
        <v>2024</v>
      </c>
      <c r="K196" t="s">
        <v>15</v>
      </c>
      <c r="L196" t="s">
        <v>1113</v>
      </c>
      <c r="M196">
        <v>3</v>
      </c>
      <c r="N196">
        <v>62</v>
      </c>
      <c r="O196">
        <v>6176</v>
      </c>
      <c r="P196">
        <v>0.96875</v>
      </c>
      <c r="Q196">
        <v>62</v>
      </c>
      <c r="R196">
        <v>0.96875</v>
      </c>
      <c r="S196" t="s">
        <v>1064</v>
      </c>
      <c r="T196">
        <v>12</v>
      </c>
    </row>
    <row r="197" spans="1:20" x14ac:dyDescent="0.4">
      <c r="A197" t="s">
        <v>1015</v>
      </c>
      <c r="B197" t="s">
        <v>30</v>
      </c>
      <c r="C197">
        <v>140</v>
      </c>
      <c r="D197" t="s">
        <v>2</v>
      </c>
      <c r="E197" s="23">
        <v>45285</v>
      </c>
      <c r="F197">
        <v>105</v>
      </c>
      <c r="G197">
        <v>3.8824999999999998</v>
      </c>
      <c r="H197" t="s">
        <v>1108</v>
      </c>
      <c r="I197">
        <v>1.7</v>
      </c>
      <c r="J197">
        <v>2024</v>
      </c>
      <c r="K197" t="s">
        <v>15</v>
      </c>
      <c r="L197" t="s">
        <v>1112</v>
      </c>
      <c r="M197">
        <v>2</v>
      </c>
      <c r="N197">
        <v>69</v>
      </c>
      <c r="O197">
        <v>7230</v>
      </c>
      <c r="P197">
        <v>0.65714285714285714</v>
      </c>
      <c r="Q197">
        <v>69</v>
      </c>
      <c r="R197">
        <v>0.65714285714285714</v>
      </c>
      <c r="S197" t="s">
        <v>1064</v>
      </c>
      <c r="T197">
        <v>12</v>
      </c>
    </row>
    <row r="198" spans="1:20" x14ac:dyDescent="0.4">
      <c r="A198" t="s">
        <v>1019</v>
      </c>
      <c r="B198" t="s">
        <v>40</v>
      </c>
      <c r="C198">
        <v>72</v>
      </c>
      <c r="D198" t="s">
        <v>2</v>
      </c>
      <c r="E198" s="23">
        <v>45287</v>
      </c>
      <c r="F198">
        <v>164</v>
      </c>
      <c r="G198">
        <v>3.8824999999999998</v>
      </c>
      <c r="H198" t="s">
        <v>1108</v>
      </c>
      <c r="I198">
        <v>4.8</v>
      </c>
      <c r="J198">
        <v>2024</v>
      </c>
      <c r="K198" t="s">
        <v>33</v>
      </c>
      <c r="L198" t="s">
        <v>1111</v>
      </c>
      <c r="M198">
        <v>5</v>
      </c>
      <c r="N198">
        <v>69</v>
      </c>
      <c r="O198">
        <v>6601</v>
      </c>
      <c r="P198">
        <v>0.42073170731707316</v>
      </c>
      <c r="Q198">
        <v>69</v>
      </c>
      <c r="R198">
        <v>0.42073170731707316</v>
      </c>
      <c r="S198" t="s">
        <v>1064</v>
      </c>
      <c r="T198">
        <v>12</v>
      </c>
    </row>
    <row r="199" spans="1:20" x14ac:dyDescent="0.4">
      <c r="A199" t="s">
        <v>1020</v>
      </c>
      <c r="B199" t="s">
        <v>44</v>
      </c>
      <c r="C199">
        <v>124</v>
      </c>
      <c r="D199" t="s">
        <v>2</v>
      </c>
      <c r="E199" s="23">
        <v>45288</v>
      </c>
      <c r="F199">
        <v>64</v>
      </c>
      <c r="G199">
        <v>3.8824999999999998</v>
      </c>
      <c r="H199" t="s">
        <v>1108</v>
      </c>
      <c r="I199">
        <v>4.5</v>
      </c>
      <c r="J199">
        <v>2024</v>
      </c>
      <c r="K199" t="s">
        <v>37</v>
      </c>
      <c r="L199" t="s">
        <v>1112</v>
      </c>
      <c r="M199">
        <v>5</v>
      </c>
      <c r="N199">
        <v>62</v>
      </c>
      <c r="O199">
        <v>6176</v>
      </c>
      <c r="P199">
        <v>0.96875</v>
      </c>
      <c r="Q199">
        <v>62</v>
      </c>
      <c r="R199">
        <v>0.96875</v>
      </c>
      <c r="S199" t="s">
        <v>1064</v>
      </c>
      <c r="T199">
        <v>12</v>
      </c>
    </row>
    <row r="200" spans="1:20" x14ac:dyDescent="0.4">
      <c r="A200" t="s">
        <v>1026</v>
      </c>
      <c r="B200" t="s">
        <v>11</v>
      </c>
      <c r="C200">
        <v>113</v>
      </c>
      <c r="D200" t="s">
        <v>2</v>
      </c>
      <c r="E200" s="23">
        <v>45290</v>
      </c>
      <c r="F200">
        <v>165</v>
      </c>
      <c r="G200">
        <v>3.8824999999999998</v>
      </c>
      <c r="H200" t="s">
        <v>1108</v>
      </c>
      <c r="I200">
        <v>4.7</v>
      </c>
      <c r="J200">
        <v>2024</v>
      </c>
      <c r="K200" t="s">
        <v>48</v>
      </c>
      <c r="L200" t="s">
        <v>1111</v>
      </c>
      <c r="M200">
        <v>5</v>
      </c>
      <c r="N200">
        <v>60</v>
      </c>
      <c r="O200">
        <v>5404</v>
      </c>
      <c r="P200">
        <v>0.36363636363636365</v>
      </c>
      <c r="Q200">
        <v>60</v>
      </c>
      <c r="R200">
        <v>0.36363636363636365</v>
      </c>
      <c r="S200" t="s">
        <v>1064</v>
      </c>
      <c r="T200">
        <v>12</v>
      </c>
    </row>
    <row r="201" spans="1:20" x14ac:dyDescent="0.4">
      <c r="A201" t="s">
        <v>1027</v>
      </c>
      <c r="B201" t="s">
        <v>32</v>
      </c>
      <c r="C201">
        <v>81</v>
      </c>
      <c r="D201" t="s">
        <v>2</v>
      </c>
      <c r="E201" s="23">
        <v>45290</v>
      </c>
      <c r="F201">
        <v>28</v>
      </c>
      <c r="G201">
        <v>3.8824999999999998</v>
      </c>
      <c r="H201" t="s">
        <v>1108</v>
      </c>
      <c r="I201">
        <v>3.9</v>
      </c>
      <c r="J201">
        <v>2024</v>
      </c>
      <c r="K201" t="s">
        <v>48</v>
      </c>
      <c r="L201" t="s">
        <v>1111</v>
      </c>
      <c r="M201">
        <v>4</v>
      </c>
      <c r="N201">
        <v>63</v>
      </c>
      <c r="O201">
        <v>5634</v>
      </c>
      <c r="P201">
        <v>2.25</v>
      </c>
      <c r="Q201">
        <v>63</v>
      </c>
      <c r="R201">
        <v>2.25</v>
      </c>
      <c r="S201" t="s">
        <v>1064</v>
      </c>
      <c r="T201">
        <v>12</v>
      </c>
    </row>
    <row r="202" spans="1:20" x14ac:dyDescent="0.4">
      <c r="A202" t="s">
        <v>1029</v>
      </c>
      <c r="B202" t="s">
        <v>30</v>
      </c>
      <c r="C202">
        <v>146</v>
      </c>
      <c r="D202" t="s">
        <v>2</v>
      </c>
      <c r="E202" s="23">
        <v>45291</v>
      </c>
      <c r="F202">
        <v>115</v>
      </c>
      <c r="G202">
        <v>3.8824999999999998</v>
      </c>
      <c r="H202" t="s">
        <v>1108</v>
      </c>
      <c r="I202">
        <v>2.2999999999999998</v>
      </c>
      <c r="J202">
        <v>2024</v>
      </c>
      <c r="K202" t="s">
        <v>3</v>
      </c>
      <c r="L202" t="s">
        <v>1112</v>
      </c>
      <c r="M202">
        <v>2</v>
      </c>
      <c r="N202">
        <v>69</v>
      </c>
      <c r="O202">
        <v>7230</v>
      </c>
      <c r="P202">
        <v>0.6</v>
      </c>
      <c r="Q202">
        <v>69</v>
      </c>
      <c r="R202">
        <v>0.6</v>
      </c>
      <c r="S202" t="s">
        <v>1064</v>
      </c>
      <c r="T202">
        <v>12</v>
      </c>
    </row>
    <row r="203" spans="1:20" x14ac:dyDescent="0.4">
      <c r="A203" t="s">
        <v>1030</v>
      </c>
      <c r="B203" t="s">
        <v>26</v>
      </c>
      <c r="C203">
        <v>123</v>
      </c>
      <c r="D203" t="s">
        <v>2</v>
      </c>
      <c r="E203" s="23">
        <v>45291</v>
      </c>
      <c r="F203">
        <v>64</v>
      </c>
      <c r="G203">
        <v>3.8824999999999998</v>
      </c>
      <c r="H203" t="s">
        <v>1108</v>
      </c>
      <c r="I203">
        <v>3.7</v>
      </c>
      <c r="J203">
        <v>2024</v>
      </c>
      <c r="K203" t="s">
        <v>3</v>
      </c>
      <c r="L203" t="s">
        <v>1112</v>
      </c>
      <c r="M203">
        <v>4</v>
      </c>
      <c r="N203">
        <v>72</v>
      </c>
      <c r="O203">
        <v>6242</v>
      </c>
      <c r="P203">
        <v>1.125</v>
      </c>
      <c r="Q203">
        <v>72</v>
      </c>
      <c r="R203">
        <v>1.125</v>
      </c>
      <c r="S203" t="s">
        <v>1064</v>
      </c>
      <c r="T203">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B809-4D5B-45ED-81E9-01813F4DC5E1}">
  <dimension ref="A1:T12"/>
  <sheetViews>
    <sheetView topLeftCell="A9" workbookViewId="0">
      <selection activeCell="A14" sqref="A14"/>
    </sheetView>
  </sheetViews>
  <sheetFormatPr defaultRowHeight="15" x14ac:dyDescent="0.4"/>
  <cols>
    <col min="1" max="1" width="15.1328125" bestFit="1" customWidth="1"/>
    <col min="2" max="2" width="15.3984375" bestFit="1" customWidth="1"/>
    <col min="3" max="3" width="12.73046875" bestFit="1" customWidth="1"/>
    <col min="4" max="4" width="16.59765625" bestFit="1" customWidth="1"/>
    <col min="5" max="5" width="14.86328125" bestFit="1" customWidth="1"/>
    <col min="6" max="6" width="19" bestFit="1" customWidth="1"/>
    <col min="7" max="7" width="17.73046875" bestFit="1" customWidth="1"/>
    <col min="8" max="8" width="12.3984375" bestFit="1" customWidth="1"/>
    <col min="9" max="9" width="19.53125" bestFit="1" customWidth="1"/>
    <col min="10" max="10" width="8.46484375" bestFit="1" customWidth="1"/>
    <col min="11" max="11" width="15" bestFit="1" customWidth="1"/>
    <col min="12" max="12" width="17.796875" bestFit="1" customWidth="1"/>
    <col min="13" max="13" width="17.19921875" bestFit="1" customWidth="1"/>
    <col min="14" max="14" width="26.6640625" bestFit="1" customWidth="1"/>
    <col min="15" max="15" width="24.1328125" bestFit="1" customWidth="1"/>
    <col min="16" max="16" width="25.53125" bestFit="1" customWidth="1"/>
    <col min="17" max="17" width="13.3984375" bestFit="1" customWidth="1"/>
    <col min="18" max="18" width="21.265625" bestFit="1" customWidth="1"/>
    <col min="19" max="19" width="21.3984375" bestFit="1" customWidth="1"/>
    <col min="20" max="20" width="25.59765625" bestFit="1" customWidth="1"/>
  </cols>
  <sheetData>
    <row r="1" spans="1:20" x14ac:dyDescent="0.4">
      <c r="A1" s="1" t="s">
        <v>1123</v>
      </c>
    </row>
    <row r="3" spans="1:20" x14ac:dyDescent="0.4">
      <c r="A3" t="s">
        <v>1088</v>
      </c>
      <c r="B3" t="s">
        <v>1089</v>
      </c>
      <c r="C3" t="s">
        <v>1090</v>
      </c>
      <c r="D3" t="s">
        <v>1091</v>
      </c>
      <c r="E3" t="s">
        <v>1092</v>
      </c>
      <c r="F3" t="s">
        <v>1093</v>
      </c>
      <c r="G3" t="s">
        <v>1094</v>
      </c>
      <c r="H3" t="s">
        <v>1095</v>
      </c>
      <c r="I3" t="s">
        <v>1096</v>
      </c>
      <c r="J3" t="s">
        <v>1097</v>
      </c>
      <c r="K3" t="s">
        <v>1098</v>
      </c>
      <c r="L3" t="s">
        <v>1099</v>
      </c>
      <c r="M3" t="s">
        <v>1100</v>
      </c>
      <c r="N3" t="s">
        <v>1101</v>
      </c>
      <c r="O3" t="s">
        <v>1102</v>
      </c>
      <c r="P3" t="s">
        <v>1103</v>
      </c>
      <c r="Q3" t="s">
        <v>1104</v>
      </c>
      <c r="R3" t="s">
        <v>1105</v>
      </c>
      <c r="S3" t="s">
        <v>1106</v>
      </c>
      <c r="T3" t="s">
        <v>1107</v>
      </c>
    </row>
    <row r="4" spans="1:20" x14ac:dyDescent="0.4">
      <c r="A4" t="s">
        <v>314</v>
      </c>
      <c r="B4" t="s">
        <v>21</v>
      </c>
      <c r="C4">
        <v>61</v>
      </c>
      <c r="D4" t="s">
        <v>14</v>
      </c>
      <c r="E4" s="23">
        <v>45012</v>
      </c>
      <c r="F4">
        <v>140</v>
      </c>
      <c r="G4">
        <v>3.9227513227513247</v>
      </c>
      <c r="H4" t="s">
        <v>1108</v>
      </c>
      <c r="I4">
        <v>1.8</v>
      </c>
      <c r="J4">
        <v>2023</v>
      </c>
      <c r="K4" t="s">
        <v>15</v>
      </c>
      <c r="L4" t="s">
        <v>1111</v>
      </c>
      <c r="M4">
        <v>2</v>
      </c>
      <c r="N4">
        <v>67</v>
      </c>
      <c r="O4">
        <v>7216</v>
      </c>
      <c r="P4">
        <v>0.47857142857142859</v>
      </c>
      <c r="Q4">
        <v>67</v>
      </c>
      <c r="R4">
        <v>0.47857142857142859</v>
      </c>
      <c r="S4" t="s">
        <v>1055</v>
      </c>
      <c r="T4">
        <v>3</v>
      </c>
    </row>
    <row r="5" spans="1:20" x14ac:dyDescent="0.4">
      <c r="A5" t="s">
        <v>333</v>
      </c>
      <c r="B5" t="s">
        <v>11</v>
      </c>
      <c r="C5">
        <v>42</v>
      </c>
      <c r="D5" t="s">
        <v>14</v>
      </c>
      <c r="E5" s="23">
        <v>45017</v>
      </c>
      <c r="F5">
        <v>45</v>
      </c>
      <c r="G5">
        <v>3.9227513227513247</v>
      </c>
      <c r="H5" t="s">
        <v>1108</v>
      </c>
      <c r="I5">
        <v>1.5</v>
      </c>
      <c r="J5">
        <v>2023</v>
      </c>
      <c r="K5" t="s">
        <v>48</v>
      </c>
      <c r="L5" t="s">
        <v>1109</v>
      </c>
      <c r="M5">
        <v>2</v>
      </c>
      <c r="N5">
        <v>60</v>
      </c>
      <c r="O5">
        <v>5404</v>
      </c>
      <c r="P5">
        <v>1.3333333333333333</v>
      </c>
      <c r="Q5">
        <v>60</v>
      </c>
      <c r="R5">
        <v>1.3333333333333333</v>
      </c>
      <c r="S5" t="s">
        <v>1056</v>
      </c>
      <c r="T5">
        <v>4</v>
      </c>
    </row>
    <row r="6" spans="1:20" x14ac:dyDescent="0.4">
      <c r="A6" t="s">
        <v>402</v>
      </c>
      <c r="B6" t="s">
        <v>30</v>
      </c>
      <c r="C6">
        <v>69</v>
      </c>
      <c r="D6" t="s">
        <v>14</v>
      </c>
      <c r="E6" s="23">
        <v>45032</v>
      </c>
      <c r="F6">
        <v>130</v>
      </c>
      <c r="G6">
        <v>3.9227513227513247</v>
      </c>
      <c r="H6" t="s">
        <v>1108</v>
      </c>
      <c r="I6">
        <v>1.9</v>
      </c>
      <c r="J6">
        <v>2023</v>
      </c>
      <c r="K6" t="s">
        <v>3</v>
      </c>
      <c r="L6" t="s">
        <v>1111</v>
      </c>
      <c r="M6">
        <v>2</v>
      </c>
      <c r="N6">
        <v>69</v>
      </c>
      <c r="O6">
        <v>7230</v>
      </c>
      <c r="P6">
        <v>0.53076923076923077</v>
      </c>
      <c r="Q6">
        <v>69</v>
      </c>
      <c r="R6">
        <v>0.53076923076923077</v>
      </c>
      <c r="S6" t="s">
        <v>1056</v>
      </c>
      <c r="T6">
        <v>4</v>
      </c>
    </row>
    <row r="7" spans="1:20" x14ac:dyDescent="0.4">
      <c r="A7" t="s">
        <v>664</v>
      </c>
      <c r="B7" t="s">
        <v>11</v>
      </c>
      <c r="C7">
        <v>60</v>
      </c>
      <c r="D7" t="s">
        <v>14</v>
      </c>
      <c r="E7" s="23">
        <v>45128</v>
      </c>
      <c r="F7">
        <v>60</v>
      </c>
      <c r="G7">
        <v>3.9227513227513247</v>
      </c>
      <c r="H7" t="s">
        <v>1108</v>
      </c>
      <c r="I7">
        <v>2.2999999999999998</v>
      </c>
      <c r="J7">
        <v>2024</v>
      </c>
      <c r="K7" t="s">
        <v>45</v>
      </c>
      <c r="L7" t="s">
        <v>1109</v>
      </c>
      <c r="M7">
        <v>2</v>
      </c>
      <c r="N7">
        <v>60</v>
      </c>
      <c r="O7">
        <v>5404</v>
      </c>
      <c r="P7">
        <v>1</v>
      </c>
      <c r="Q7">
        <v>60</v>
      </c>
      <c r="R7">
        <v>1</v>
      </c>
      <c r="S7" t="s">
        <v>1059</v>
      </c>
      <c r="T7">
        <v>7</v>
      </c>
    </row>
    <row r="8" spans="1:20" x14ac:dyDescent="0.4">
      <c r="A8" t="s">
        <v>679</v>
      </c>
      <c r="B8" t="s">
        <v>64</v>
      </c>
      <c r="C8">
        <v>33</v>
      </c>
      <c r="D8" t="s">
        <v>14</v>
      </c>
      <c r="E8" s="23">
        <v>45138</v>
      </c>
      <c r="F8">
        <v>92</v>
      </c>
      <c r="G8">
        <v>3.9227513227513247</v>
      </c>
      <c r="H8" t="s">
        <v>1108</v>
      </c>
      <c r="I8">
        <v>1.7</v>
      </c>
      <c r="J8">
        <v>2024</v>
      </c>
      <c r="K8" t="s">
        <v>15</v>
      </c>
      <c r="L8" t="s">
        <v>1109</v>
      </c>
      <c r="M8">
        <v>2</v>
      </c>
      <c r="N8">
        <v>65</v>
      </c>
      <c r="O8">
        <v>6785</v>
      </c>
      <c r="P8">
        <v>0.70652173913043481</v>
      </c>
      <c r="Q8">
        <v>65</v>
      </c>
      <c r="R8">
        <v>0.70652173913043481</v>
      </c>
      <c r="S8" t="s">
        <v>1059</v>
      </c>
      <c r="T8">
        <v>7</v>
      </c>
    </row>
    <row r="9" spans="1:20" x14ac:dyDescent="0.4">
      <c r="A9" t="s">
        <v>707</v>
      </c>
      <c r="B9" t="s">
        <v>13</v>
      </c>
      <c r="C9">
        <v>128</v>
      </c>
      <c r="D9" t="s">
        <v>14</v>
      </c>
      <c r="E9" s="23">
        <v>45157</v>
      </c>
      <c r="F9">
        <v>135</v>
      </c>
      <c r="G9">
        <v>3.9227513227513247</v>
      </c>
      <c r="H9" t="s">
        <v>1108</v>
      </c>
      <c r="I9">
        <v>2.1</v>
      </c>
      <c r="J9">
        <v>2024</v>
      </c>
      <c r="K9" t="s">
        <v>48</v>
      </c>
      <c r="L9" t="s">
        <v>1112</v>
      </c>
      <c r="M9">
        <v>2</v>
      </c>
      <c r="N9">
        <v>74</v>
      </c>
      <c r="O9">
        <v>6749</v>
      </c>
      <c r="P9">
        <v>0.54814814814814816</v>
      </c>
      <c r="Q9">
        <v>74</v>
      </c>
      <c r="R9">
        <v>0.54814814814814816</v>
      </c>
      <c r="S9" t="s">
        <v>1060</v>
      </c>
      <c r="T9">
        <v>8</v>
      </c>
    </row>
    <row r="10" spans="1:20" x14ac:dyDescent="0.4">
      <c r="A10" t="s">
        <v>908</v>
      </c>
      <c r="B10" t="s">
        <v>11</v>
      </c>
      <c r="C10">
        <v>97</v>
      </c>
      <c r="D10" t="s">
        <v>14</v>
      </c>
      <c r="E10" s="23">
        <v>45226</v>
      </c>
      <c r="F10">
        <v>31</v>
      </c>
      <c r="G10">
        <v>3.9227513227513247</v>
      </c>
      <c r="H10" t="s">
        <v>1108</v>
      </c>
      <c r="I10">
        <v>2.2000000000000002</v>
      </c>
      <c r="J10">
        <v>2024</v>
      </c>
      <c r="K10" t="s">
        <v>45</v>
      </c>
      <c r="L10" t="s">
        <v>1111</v>
      </c>
      <c r="M10">
        <v>2</v>
      </c>
      <c r="N10">
        <v>60</v>
      </c>
      <c r="O10">
        <v>5404</v>
      </c>
      <c r="P10">
        <v>1.935483870967742</v>
      </c>
      <c r="Q10">
        <v>60</v>
      </c>
      <c r="R10">
        <v>1.935483870967742</v>
      </c>
      <c r="S10" t="s">
        <v>1062</v>
      </c>
      <c r="T10">
        <v>10</v>
      </c>
    </row>
    <row r="11" spans="1:20" x14ac:dyDescent="0.4">
      <c r="A11" t="s">
        <v>911</v>
      </c>
      <c r="B11" t="s">
        <v>30</v>
      </c>
      <c r="C11">
        <v>64</v>
      </c>
      <c r="D11" t="s">
        <v>14</v>
      </c>
      <c r="E11" s="23">
        <v>45227</v>
      </c>
      <c r="F11">
        <v>185</v>
      </c>
      <c r="G11">
        <v>3.9227513227513247</v>
      </c>
      <c r="H11" t="s">
        <v>1108</v>
      </c>
      <c r="I11">
        <v>2.2000000000000002</v>
      </c>
      <c r="J11">
        <v>2024</v>
      </c>
      <c r="K11" t="s">
        <v>48</v>
      </c>
      <c r="L11" t="s">
        <v>1111</v>
      </c>
      <c r="M11">
        <v>2</v>
      </c>
      <c r="N11">
        <v>69</v>
      </c>
      <c r="O11">
        <v>7230</v>
      </c>
      <c r="P11">
        <v>0.37297297297297299</v>
      </c>
      <c r="Q11">
        <v>69</v>
      </c>
      <c r="R11">
        <v>0.37297297297297299</v>
      </c>
      <c r="S11" t="s">
        <v>1062</v>
      </c>
      <c r="T11">
        <v>10</v>
      </c>
    </row>
    <row r="12" spans="1:20" x14ac:dyDescent="0.4">
      <c r="A12" t="s">
        <v>961</v>
      </c>
      <c r="B12" t="s">
        <v>8</v>
      </c>
      <c r="C12">
        <v>50</v>
      </c>
      <c r="D12" t="s">
        <v>14</v>
      </c>
      <c r="E12" s="23">
        <v>45249</v>
      </c>
      <c r="F12">
        <v>180</v>
      </c>
      <c r="G12">
        <v>3.9227513227513247</v>
      </c>
      <c r="H12" t="s">
        <v>1108</v>
      </c>
      <c r="I12">
        <v>1.8</v>
      </c>
      <c r="J12">
        <v>2024</v>
      </c>
      <c r="K12" t="s">
        <v>3</v>
      </c>
      <c r="L12" t="s">
        <v>1109</v>
      </c>
      <c r="M12">
        <v>2</v>
      </c>
      <c r="N12">
        <v>79</v>
      </c>
      <c r="O12">
        <v>7747</v>
      </c>
      <c r="P12">
        <v>0.43888888888888888</v>
      </c>
      <c r="Q12">
        <v>79</v>
      </c>
      <c r="R12">
        <v>0.43888888888888888</v>
      </c>
      <c r="S12" t="s">
        <v>1063</v>
      </c>
      <c r="T12">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EDF9-AEDF-4F0E-923A-E808E0E39816}">
  <dimension ref="A3:K180"/>
  <sheetViews>
    <sheetView topLeftCell="A166" workbookViewId="0">
      <selection activeCell="G180" sqref="G180"/>
    </sheetView>
  </sheetViews>
  <sheetFormatPr defaultRowHeight="15" x14ac:dyDescent="0.4"/>
  <cols>
    <col min="1" max="1" width="10" bestFit="1" customWidth="1"/>
    <col min="2" max="2" width="6" bestFit="1" customWidth="1"/>
    <col min="3" max="3" width="6.86328125" bestFit="1" customWidth="1"/>
    <col min="4" max="4" width="7.53125" bestFit="1" customWidth="1"/>
    <col min="5" max="5" width="4.3984375" bestFit="1" customWidth="1"/>
    <col min="6" max="7" width="9.6640625" bestFit="1" customWidth="1"/>
    <col min="8" max="8" width="7.33203125" bestFit="1" customWidth="1"/>
    <col min="9" max="9" width="6.86328125" bestFit="1" customWidth="1"/>
    <col min="10" max="10" width="7.33203125" bestFit="1" customWidth="1"/>
    <col min="11" max="11" width="6.53125" bestFit="1" customWidth="1"/>
    <col min="12" max="12" width="11.6640625" bestFit="1" customWidth="1"/>
    <col min="13" max="13" width="10.86328125" bestFit="1" customWidth="1"/>
  </cols>
  <sheetData>
    <row r="3" spans="1:5" x14ac:dyDescent="0.4">
      <c r="A3" t="s">
        <v>1081</v>
      </c>
      <c r="B3" t="s">
        <v>1082</v>
      </c>
      <c r="C3" t="s">
        <v>1083</v>
      </c>
      <c r="D3" t="s">
        <v>1084</v>
      </c>
      <c r="E3" t="s">
        <v>1085</v>
      </c>
    </row>
    <row r="4" spans="1:5" x14ac:dyDescent="0.4">
      <c r="A4" s="20">
        <v>1000</v>
      </c>
      <c r="B4" s="21">
        <v>96623</v>
      </c>
      <c r="C4" s="20">
        <v>89846</v>
      </c>
      <c r="D4" s="22">
        <v>3.8854000000000033</v>
      </c>
      <c r="E4" s="20">
        <v>307</v>
      </c>
    </row>
    <row r="11" spans="1:5" x14ac:dyDescent="0.4">
      <c r="A11" t="s">
        <v>1081</v>
      </c>
      <c r="B11" t="s">
        <v>1082</v>
      </c>
      <c r="C11" t="s">
        <v>1083</v>
      </c>
      <c r="D11" t="s">
        <v>1084</v>
      </c>
      <c r="E11" t="s">
        <v>1085</v>
      </c>
    </row>
    <row r="12" spans="1:5" x14ac:dyDescent="0.4">
      <c r="A12" s="20">
        <v>207</v>
      </c>
      <c r="B12" s="21">
        <v>20872</v>
      </c>
      <c r="C12" s="20">
        <v>17696</v>
      </c>
      <c r="D12" s="22">
        <v>3.8589371980676304</v>
      </c>
      <c r="E12" s="20">
        <v>60</v>
      </c>
    </row>
    <row r="24" spans="1:3" x14ac:dyDescent="0.4">
      <c r="A24" s="6" t="s">
        <v>1043</v>
      </c>
      <c r="B24" t="s">
        <v>1081</v>
      </c>
      <c r="C24" t="s">
        <v>1086</v>
      </c>
    </row>
    <row r="25" spans="1:3" x14ac:dyDescent="0.4">
      <c r="A25" s="7" t="s">
        <v>1053</v>
      </c>
      <c r="B25" s="20">
        <v>13</v>
      </c>
      <c r="C25" s="20">
        <v>13</v>
      </c>
    </row>
    <row r="26" spans="1:3" x14ac:dyDescent="0.4">
      <c r="A26" s="7" t="s">
        <v>1054</v>
      </c>
      <c r="B26" s="20">
        <v>13</v>
      </c>
      <c r="C26" s="20">
        <v>13</v>
      </c>
    </row>
    <row r="27" spans="1:3" x14ac:dyDescent="0.4">
      <c r="A27" s="7" t="s">
        <v>1055</v>
      </c>
      <c r="B27" s="20">
        <v>28</v>
      </c>
      <c r="C27" s="20">
        <v>28</v>
      </c>
    </row>
    <row r="28" spans="1:3" x14ac:dyDescent="0.4">
      <c r="A28" s="7" t="s">
        <v>1056</v>
      </c>
      <c r="B28" s="20">
        <v>24</v>
      </c>
      <c r="C28" s="20">
        <v>24</v>
      </c>
    </row>
    <row r="29" spans="1:3" x14ac:dyDescent="0.4">
      <c r="A29" s="7" t="s">
        <v>1057</v>
      </c>
      <c r="B29" s="20">
        <v>23</v>
      </c>
      <c r="C29" s="20">
        <v>23</v>
      </c>
    </row>
    <row r="30" spans="1:3" x14ac:dyDescent="0.4">
      <c r="A30" s="7" t="s">
        <v>1058</v>
      </c>
      <c r="B30" s="20">
        <v>17</v>
      </c>
      <c r="C30" s="20">
        <v>17</v>
      </c>
    </row>
    <row r="31" spans="1:3" x14ac:dyDescent="0.4">
      <c r="A31" s="7" t="s">
        <v>1059</v>
      </c>
      <c r="B31" s="20">
        <v>11</v>
      </c>
      <c r="C31" s="20">
        <v>11</v>
      </c>
    </row>
    <row r="32" spans="1:3" x14ac:dyDescent="0.4">
      <c r="A32" s="7" t="s">
        <v>1060</v>
      </c>
      <c r="B32" s="20">
        <v>11</v>
      </c>
      <c r="C32" s="20">
        <v>11</v>
      </c>
    </row>
    <row r="33" spans="1:3" x14ac:dyDescent="0.4">
      <c r="A33" s="7" t="s">
        <v>1061</v>
      </c>
      <c r="B33" s="20">
        <v>14</v>
      </c>
      <c r="C33" s="20">
        <v>14</v>
      </c>
    </row>
    <row r="34" spans="1:3" x14ac:dyDescent="0.4">
      <c r="A34" s="7" t="s">
        <v>1062</v>
      </c>
      <c r="B34" s="20">
        <v>30</v>
      </c>
      <c r="C34" s="20">
        <v>30</v>
      </c>
    </row>
    <row r="35" spans="1:3" x14ac:dyDescent="0.4">
      <c r="A35" s="7" t="s">
        <v>1063</v>
      </c>
      <c r="B35" s="20">
        <v>14</v>
      </c>
      <c r="C35" s="20">
        <v>14</v>
      </c>
    </row>
    <row r="36" spans="1:3" x14ac:dyDescent="0.4">
      <c r="A36" s="7" t="s">
        <v>1064</v>
      </c>
      <c r="B36" s="20">
        <v>9</v>
      </c>
      <c r="C36" s="20">
        <v>9</v>
      </c>
    </row>
    <row r="37" spans="1:3" x14ac:dyDescent="0.4">
      <c r="A37" s="7" t="s">
        <v>1044</v>
      </c>
      <c r="B37" s="20">
        <v>207</v>
      </c>
      <c r="C37" s="20">
        <v>207</v>
      </c>
    </row>
    <row r="45" spans="1:3" x14ac:dyDescent="0.4">
      <c r="A45" s="6" t="s">
        <v>1043</v>
      </c>
      <c r="B45" t="s">
        <v>1081</v>
      </c>
    </row>
    <row r="46" spans="1:3" x14ac:dyDescent="0.4">
      <c r="A46" s="7" t="s">
        <v>3</v>
      </c>
      <c r="B46" s="20">
        <v>30</v>
      </c>
    </row>
    <row r="47" spans="1:3" x14ac:dyDescent="0.4">
      <c r="A47" s="7" t="s">
        <v>15</v>
      </c>
      <c r="B47" s="20">
        <v>34</v>
      </c>
    </row>
    <row r="48" spans="1:3" x14ac:dyDescent="0.4">
      <c r="A48" s="7" t="s">
        <v>18</v>
      </c>
      <c r="B48" s="20">
        <v>26</v>
      </c>
    </row>
    <row r="49" spans="1:11" x14ac:dyDescent="0.4">
      <c r="A49" s="7" t="s">
        <v>33</v>
      </c>
      <c r="B49" s="20">
        <v>38</v>
      </c>
    </row>
    <row r="50" spans="1:11" x14ac:dyDescent="0.4">
      <c r="A50" s="7" t="s">
        <v>37</v>
      </c>
      <c r="B50" s="20">
        <v>27</v>
      </c>
    </row>
    <row r="51" spans="1:11" x14ac:dyDescent="0.4">
      <c r="A51" s="7" t="s">
        <v>45</v>
      </c>
      <c r="B51" s="20">
        <v>27</v>
      </c>
    </row>
    <row r="52" spans="1:11" x14ac:dyDescent="0.4">
      <c r="A52" s="7" t="s">
        <v>48</v>
      </c>
      <c r="B52" s="20">
        <v>25</v>
      </c>
    </row>
    <row r="53" spans="1:11" x14ac:dyDescent="0.4">
      <c r="A53" s="7" t="s">
        <v>1044</v>
      </c>
      <c r="B53" s="20">
        <v>207</v>
      </c>
    </row>
    <row r="59" spans="1:11" x14ac:dyDescent="0.4">
      <c r="G59" t="s">
        <v>1087</v>
      </c>
      <c r="J59" t="s">
        <v>1122</v>
      </c>
      <c r="K59" t="str">
        <f>A89</f>
        <v>R03</v>
      </c>
    </row>
    <row r="60" spans="1:11" x14ac:dyDescent="0.4">
      <c r="G60" t="s">
        <v>1117</v>
      </c>
      <c r="H60" t="s">
        <v>1118</v>
      </c>
      <c r="I60" t="s">
        <v>1119</v>
      </c>
      <c r="J60" t="s">
        <v>1120</v>
      </c>
      <c r="K60" t="s">
        <v>1121</v>
      </c>
    </row>
    <row r="61" spans="1:11" x14ac:dyDescent="0.4">
      <c r="A61" s="6" t="s">
        <v>1043</v>
      </c>
      <c r="B61" t="s">
        <v>1081</v>
      </c>
      <c r="C61" t="s">
        <v>1082</v>
      </c>
      <c r="G61" s="7" t="s">
        <v>14</v>
      </c>
      <c r="H61" s="20">
        <v>189</v>
      </c>
      <c r="I61" s="24">
        <v>18415</v>
      </c>
      <c r="J61" t="e">
        <f>IF(G61=K59,H61,NA())</f>
        <v>#N/A</v>
      </c>
      <c r="K61" t="e">
        <f>IF(G61=K59,I61,NA())</f>
        <v>#N/A</v>
      </c>
    </row>
    <row r="62" spans="1:11" x14ac:dyDescent="0.4">
      <c r="A62" s="7" t="s">
        <v>14</v>
      </c>
      <c r="B62" s="20">
        <v>189</v>
      </c>
      <c r="C62" s="21">
        <v>18415</v>
      </c>
      <c r="G62" s="7" t="s">
        <v>9</v>
      </c>
      <c r="H62" s="20">
        <v>218</v>
      </c>
      <c r="I62" s="24">
        <v>20581</v>
      </c>
      <c r="J62" t="e">
        <f>IF(G62=K59,H62,NA())</f>
        <v>#N/A</v>
      </c>
      <c r="K62" t="e">
        <f>IF(G62=K59,I62,NA())</f>
        <v>#N/A</v>
      </c>
    </row>
    <row r="63" spans="1:11" x14ac:dyDescent="0.4">
      <c r="A63" s="7" t="s">
        <v>1044</v>
      </c>
      <c r="B63" s="20">
        <v>189</v>
      </c>
      <c r="C63" s="21">
        <v>18415</v>
      </c>
      <c r="G63" s="7" t="s">
        <v>27</v>
      </c>
      <c r="H63" s="20">
        <v>207</v>
      </c>
      <c r="I63" s="24">
        <v>20872</v>
      </c>
      <c r="J63" t="e">
        <f>IF(G63=K61,H63,NA())</f>
        <v>#N/A</v>
      </c>
      <c r="K63">
        <f>IF(G63=K59,I63,NA())</f>
        <v>20872</v>
      </c>
    </row>
    <row r="64" spans="1:11" x14ac:dyDescent="0.4">
      <c r="G64" s="7" t="s">
        <v>23</v>
      </c>
      <c r="H64" s="20">
        <v>186</v>
      </c>
      <c r="I64" s="24">
        <v>16651</v>
      </c>
      <c r="J64" t="e">
        <f>IF(G64=K59,H64,NA())</f>
        <v>#N/A</v>
      </c>
      <c r="K64" t="e">
        <f>IF(G64=K59,I64,NA())</f>
        <v>#N/A</v>
      </c>
    </row>
    <row r="65" spans="7:11" x14ac:dyDescent="0.4">
      <c r="G65" s="7" t="s">
        <v>2</v>
      </c>
      <c r="H65" s="20">
        <v>200</v>
      </c>
      <c r="I65" s="24">
        <v>20104</v>
      </c>
      <c r="J65" t="e">
        <f>IF(G65=K59,H65,NA())</f>
        <v>#N/A</v>
      </c>
      <c r="K65" t="e">
        <f>IF(G65=K59,I65,NA())</f>
        <v>#N/A</v>
      </c>
    </row>
    <row r="88" spans="1:1" x14ac:dyDescent="0.4">
      <c r="A88" s="6" t="s">
        <v>1043</v>
      </c>
    </row>
    <row r="89" spans="1:1" x14ac:dyDescent="0.4">
      <c r="A89" s="25" t="s">
        <v>27</v>
      </c>
    </row>
    <row r="95" spans="1:1" x14ac:dyDescent="0.4">
      <c r="A95" s="7"/>
    </row>
    <row r="98" spans="1:4" x14ac:dyDescent="0.4">
      <c r="A98" s="6" t="s">
        <v>1081</v>
      </c>
      <c r="B98" s="6" t="s">
        <v>1065</v>
      </c>
    </row>
    <row r="99" spans="1:4" x14ac:dyDescent="0.4">
      <c r="A99" s="6" t="s">
        <v>1043</v>
      </c>
      <c r="B99" t="s">
        <v>1080</v>
      </c>
      <c r="C99" t="s">
        <v>1076</v>
      </c>
      <c r="D99" t="s">
        <v>1044</v>
      </c>
    </row>
    <row r="100" spans="1:4" x14ac:dyDescent="0.4">
      <c r="A100" s="7" t="s">
        <v>1079</v>
      </c>
      <c r="B100" s="20">
        <v>144</v>
      </c>
      <c r="C100" s="20">
        <v>132</v>
      </c>
      <c r="D100" s="20">
        <v>276</v>
      </c>
    </row>
    <row r="101" spans="1:4" x14ac:dyDescent="0.4">
      <c r="A101" s="7" t="s">
        <v>1078</v>
      </c>
      <c r="B101" s="20">
        <v>267</v>
      </c>
      <c r="C101" s="20">
        <v>63</v>
      </c>
      <c r="D101" s="20">
        <v>330</v>
      </c>
    </row>
    <row r="102" spans="1:4" x14ac:dyDescent="0.4">
      <c r="A102" s="7" t="s">
        <v>1077</v>
      </c>
      <c r="B102" s="20">
        <v>129</v>
      </c>
      <c r="C102" s="20">
        <v>206</v>
      </c>
      <c r="D102" s="20">
        <v>335</v>
      </c>
    </row>
    <row r="103" spans="1:4" x14ac:dyDescent="0.4">
      <c r="A103" s="7" t="s">
        <v>1044</v>
      </c>
      <c r="B103" s="20">
        <v>540</v>
      </c>
      <c r="C103" s="20">
        <v>401</v>
      </c>
      <c r="D103" s="20">
        <v>941</v>
      </c>
    </row>
    <row r="111" spans="1:4" x14ac:dyDescent="0.4">
      <c r="A111" s="6" t="s">
        <v>1043</v>
      </c>
      <c r="B111" t="s">
        <v>1081</v>
      </c>
    </row>
    <row r="112" spans="1:4" x14ac:dyDescent="0.4">
      <c r="A112" s="7">
        <v>0</v>
      </c>
      <c r="B112" s="20">
        <v>1</v>
      </c>
    </row>
    <row r="113" spans="1:2" x14ac:dyDescent="0.4">
      <c r="A113" s="7">
        <v>1</v>
      </c>
      <c r="B113" s="20">
        <v>1</v>
      </c>
    </row>
    <row r="114" spans="1:2" x14ac:dyDescent="0.4">
      <c r="A114" s="7">
        <v>2</v>
      </c>
      <c r="B114" s="20">
        <v>11</v>
      </c>
    </row>
    <row r="115" spans="1:2" x14ac:dyDescent="0.4">
      <c r="A115" s="7">
        <v>3</v>
      </c>
      <c r="B115" s="20">
        <v>46</v>
      </c>
    </row>
    <row r="116" spans="1:2" x14ac:dyDescent="0.4">
      <c r="A116" s="7">
        <v>4</v>
      </c>
      <c r="B116" s="20">
        <v>88</v>
      </c>
    </row>
    <row r="117" spans="1:2" x14ac:dyDescent="0.4">
      <c r="A117" s="7">
        <v>5</v>
      </c>
      <c r="B117" s="20">
        <v>60</v>
      </c>
    </row>
    <row r="118" spans="1:2" x14ac:dyDescent="0.4">
      <c r="A118" s="7" t="s">
        <v>1044</v>
      </c>
      <c r="B118" s="20">
        <v>207</v>
      </c>
    </row>
    <row r="133" spans="1:7" x14ac:dyDescent="0.4">
      <c r="A133" s="6" t="s">
        <v>1082</v>
      </c>
      <c r="B133" s="6" t="s">
        <v>1065</v>
      </c>
    </row>
    <row r="134" spans="1:7" x14ac:dyDescent="0.4">
      <c r="A134" s="6" t="s">
        <v>1043</v>
      </c>
      <c r="B134" t="s">
        <v>14</v>
      </c>
      <c r="C134" t="s">
        <v>9</v>
      </c>
      <c r="D134" t="s">
        <v>27</v>
      </c>
      <c r="E134" t="s">
        <v>23</v>
      </c>
      <c r="F134" t="s">
        <v>2</v>
      </c>
      <c r="G134" t="s">
        <v>1044</v>
      </c>
    </row>
    <row r="135" spans="1:7" x14ac:dyDescent="0.4">
      <c r="A135" s="7" t="s">
        <v>1079</v>
      </c>
    </row>
    <row r="136" spans="1:7" x14ac:dyDescent="0.4">
      <c r="A136" s="10" t="s">
        <v>1</v>
      </c>
      <c r="B136" s="21">
        <v>891</v>
      </c>
      <c r="C136" s="21">
        <v>1332</v>
      </c>
      <c r="D136" s="21">
        <v>1282</v>
      </c>
      <c r="E136" s="21">
        <v>739</v>
      </c>
      <c r="F136" s="21">
        <v>560</v>
      </c>
      <c r="G136" s="21">
        <v>4804</v>
      </c>
    </row>
    <row r="137" spans="1:7" x14ac:dyDescent="0.4">
      <c r="A137" s="10" t="s">
        <v>6</v>
      </c>
      <c r="B137" s="21">
        <v>1991</v>
      </c>
      <c r="C137" s="21">
        <v>1886</v>
      </c>
      <c r="D137" s="21">
        <v>1206</v>
      </c>
      <c r="E137" s="21">
        <v>884</v>
      </c>
      <c r="F137" s="21">
        <v>1722</v>
      </c>
      <c r="G137" s="21">
        <v>7689</v>
      </c>
    </row>
    <row r="138" spans="1:7" x14ac:dyDescent="0.4">
      <c r="A138" s="10" t="s">
        <v>13</v>
      </c>
      <c r="B138" s="21">
        <v>1163</v>
      </c>
      <c r="C138" s="21">
        <v>1180</v>
      </c>
      <c r="D138" s="21">
        <v>1616</v>
      </c>
      <c r="E138" s="21">
        <v>1043</v>
      </c>
      <c r="F138" s="21">
        <v>1747</v>
      </c>
      <c r="G138" s="21">
        <v>6749</v>
      </c>
    </row>
    <row r="139" spans="1:7" x14ac:dyDescent="0.4">
      <c r="A139" s="10" t="s">
        <v>54</v>
      </c>
      <c r="B139" s="21">
        <v>1438</v>
      </c>
      <c r="C139" s="21">
        <v>1616</v>
      </c>
      <c r="D139" s="21">
        <v>866</v>
      </c>
      <c r="E139" s="21">
        <v>829</v>
      </c>
      <c r="F139" s="21">
        <v>2070</v>
      </c>
      <c r="G139" s="21">
        <v>6819</v>
      </c>
    </row>
    <row r="140" spans="1:7" x14ac:dyDescent="0.4">
      <c r="A140" s="7" t="s">
        <v>1078</v>
      </c>
    </row>
    <row r="141" spans="1:7" x14ac:dyDescent="0.4">
      <c r="A141" s="10" t="s">
        <v>32</v>
      </c>
      <c r="B141" s="21">
        <v>1233</v>
      </c>
      <c r="C141" s="21">
        <v>223</v>
      </c>
      <c r="D141" s="21">
        <v>1680</v>
      </c>
      <c r="E141" s="21">
        <v>990</v>
      </c>
      <c r="F141" s="21">
        <v>1508</v>
      </c>
      <c r="G141" s="21">
        <v>5634</v>
      </c>
    </row>
    <row r="142" spans="1:7" x14ac:dyDescent="0.4">
      <c r="A142" s="10" t="s">
        <v>21</v>
      </c>
      <c r="B142" s="21">
        <v>1598</v>
      </c>
      <c r="C142" s="21">
        <v>1907</v>
      </c>
      <c r="D142" s="21">
        <v>869</v>
      </c>
      <c r="E142" s="21">
        <v>1426</v>
      </c>
      <c r="F142" s="21">
        <v>1416</v>
      </c>
      <c r="G142" s="21">
        <v>7216</v>
      </c>
    </row>
    <row r="143" spans="1:7" x14ac:dyDescent="0.4">
      <c r="A143" s="10" t="s">
        <v>84</v>
      </c>
      <c r="B143" s="21">
        <v>900</v>
      </c>
      <c r="C143" s="21">
        <v>1016</v>
      </c>
      <c r="D143" s="21">
        <v>960</v>
      </c>
      <c r="E143" s="21">
        <v>940</v>
      </c>
      <c r="F143" s="21">
        <v>1193</v>
      </c>
      <c r="G143" s="21">
        <v>5009</v>
      </c>
    </row>
    <row r="144" spans="1:7" x14ac:dyDescent="0.4">
      <c r="A144" s="10" t="s">
        <v>26</v>
      </c>
      <c r="B144" s="21">
        <v>900</v>
      </c>
      <c r="C144" s="21">
        <v>1470</v>
      </c>
      <c r="D144" s="21">
        <v>1617</v>
      </c>
      <c r="E144" s="21">
        <v>1314</v>
      </c>
      <c r="F144" s="21">
        <v>941</v>
      </c>
      <c r="G144" s="21">
        <v>6242</v>
      </c>
    </row>
    <row r="145" spans="1:7" x14ac:dyDescent="0.4">
      <c r="A145" s="10" t="s">
        <v>30</v>
      </c>
      <c r="B145" s="21">
        <v>1255</v>
      </c>
      <c r="C145" s="21">
        <v>516</v>
      </c>
      <c r="D145" s="21">
        <v>1874</v>
      </c>
      <c r="E145" s="21">
        <v>1863</v>
      </c>
      <c r="F145" s="21">
        <v>1722</v>
      </c>
      <c r="G145" s="21">
        <v>7230</v>
      </c>
    </row>
    <row r="146" spans="1:7" x14ac:dyDescent="0.4">
      <c r="A146" s="7" t="s">
        <v>1077</v>
      </c>
    </row>
    <row r="147" spans="1:7" x14ac:dyDescent="0.4">
      <c r="A147" s="10" t="s">
        <v>64</v>
      </c>
      <c r="B147" s="21">
        <v>1655</v>
      </c>
      <c r="C147" s="21">
        <v>805</v>
      </c>
      <c r="D147" s="21">
        <v>2263</v>
      </c>
      <c r="E147" s="21">
        <v>987</v>
      </c>
      <c r="F147" s="21">
        <v>1075</v>
      </c>
      <c r="G147" s="21">
        <v>6785</v>
      </c>
    </row>
    <row r="148" spans="1:7" x14ac:dyDescent="0.4">
      <c r="A148" s="10" t="s">
        <v>8</v>
      </c>
      <c r="B148" s="21">
        <v>1104</v>
      </c>
      <c r="C148" s="21">
        <v>2280</v>
      </c>
      <c r="D148" s="21">
        <v>1445</v>
      </c>
      <c r="E148" s="21">
        <v>1722</v>
      </c>
      <c r="F148" s="21">
        <v>1196</v>
      </c>
      <c r="G148" s="21">
        <v>7747</v>
      </c>
    </row>
    <row r="149" spans="1:7" x14ac:dyDescent="0.4">
      <c r="A149" s="10" t="s">
        <v>44</v>
      </c>
      <c r="B149" s="21">
        <v>372</v>
      </c>
      <c r="C149" s="21">
        <v>1818</v>
      </c>
      <c r="D149" s="21">
        <v>1346</v>
      </c>
      <c r="E149" s="21">
        <v>1156</v>
      </c>
      <c r="F149" s="21">
        <v>1484</v>
      </c>
      <c r="G149" s="21">
        <v>6176</v>
      </c>
    </row>
    <row r="150" spans="1:7" x14ac:dyDescent="0.4">
      <c r="A150" s="10" t="s">
        <v>40</v>
      </c>
      <c r="B150" s="21">
        <v>1415</v>
      </c>
      <c r="C150" s="21">
        <v>1271</v>
      </c>
      <c r="D150" s="21">
        <v>1214</v>
      </c>
      <c r="E150" s="21">
        <v>1135</v>
      </c>
      <c r="F150" s="21">
        <v>1566</v>
      </c>
      <c r="G150" s="21">
        <v>6601</v>
      </c>
    </row>
    <row r="151" spans="1:7" x14ac:dyDescent="0.4">
      <c r="A151" s="10" t="s">
        <v>11</v>
      </c>
      <c r="B151" s="21">
        <v>1362</v>
      </c>
      <c r="C151" s="21">
        <v>1363</v>
      </c>
      <c r="D151" s="21">
        <v>1152</v>
      </c>
      <c r="E151" s="21">
        <v>777</v>
      </c>
      <c r="F151" s="21">
        <v>750</v>
      </c>
      <c r="G151" s="21">
        <v>5404</v>
      </c>
    </row>
    <row r="152" spans="1:7" x14ac:dyDescent="0.4">
      <c r="A152" s="7" t="s">
        <v>1124</v>
      </c>
      <c r="B152" s="21">
        <v>1138</v>
      </c>
      <c r="C152" s="21">
        <v>1898</v>
      </c>
      <c r="D152" s="21">
        <v>1482</v>
      </c>
      <c r="E152" s="21">
        <v>846</v>
      </c>
      <c r="F152" s="21">
        <v>1154</v>
      </c>
      <c r="G152" s="21">
        <v>6518</v>
      </c>
    </row>
    <row r="156" spans="1:7" ht="18.5" customHeight="1" x14ac:dyDescent="0.4"/>
    <row r="166" spans="6:7" x14ac:dyDescent="0.4">
      <c r="F166" t="s">
        <v>1126</v>
      </c>
    </row>
    <row r="168" spans="6:7" x14ac:dyDescent="0.4">
      <c r="F168" t="s">
        <v>1127</v>
      </c>
      <c r="G168" s="35">
        <f>A12/A4</f>
        <v>0.20699999999999999</v>
      </c>
    </row>
    <row r="169" spans="6:7" x14ac:dyDescent="0.4">
      <c r="F169" t="s">
        <v>1128</v>
      </c>
      <c r="G169">
        <f>_xlfn.XLOOKUP(A89,G61:G65,H61:H65)</f>
        <v>207</v>
      </c>
    </row>
    <row r="170" spans="6:7" x14ac:dyDescent="0.4">
      <c r="F170" t="s">
        <v>1129</v>
      </c>
      <c r="G170">
        <f>_xlfn.XLOOKUP(A89,G61:G65,I61:I65)</f>
        <v>20872</v>
      </c>
    </row>
    <row r="172" spans="6:7" x14ac:dyDescent="0.4">
      <c r="F172" t="s">
        <v>1132</v>
      </c>
    </row>
    <row r="173" spans="6:7" x14ac:dyDescent="0.4">
      <c r="F173" t="s">
        <v>1130</v>
      </c>
      <c r="G173">
        <f>_xlfn.RANK.AVG(G169,H61:H65)</f>
        <v>2</v>
      </c>
    </row>
    <row r="174" spans="6:7" x14ac:dyDescent="0.4">
      <c r="F174" t="s">
        <v>1131</v>
      </c>
      <c r="G174">
        <f>_xlfn.RANK.AVG(G170,I61:I65)</f>
        <v>1</v>
      </c>
    </row>
    <row r="177" spans="6:7" x14ac:dyDescent="0.4">
      <c r="G177" t="str">
        <f>"% of calls:"&amp;TEXT(G168,"0%")</f>
        <v>% of calls:21%</v>
      </c>
    </row>
    <row r="178" spans="6:7" x14ac:dyDescent="0.4">
      <c r="G178" t="str">
        <f>IF(COUNTA(A89:A93)&gt;1," ","calls:"&amp;G173)</f>
        <v>calls:2</v>
      </c>
    </row>
    <row r="179" spans="6:7" x14ac:dyDescent="0.4">
      <c r="G179" t="str">
        <f>IF(COUNTA(A89:A93)&gt;1," ","amount:"&amp;G174)</f>
        <v>amount:1</v>
      </c>
    </row>
    <row r="180" spans="6:7" x14ac:dyDescent="0.4">
      <c r="F180" t="s">
        <v>1133</v>
      </c>
      <c r="G180">
        <f>_xlfn.XLOOKUP(A89,Sheet2!A2:A6,Sheet2!B2:B6)</f>
        <v>0</v>
      </c>
    </row>
  </sheetData>
  <phoneticPr fontId="2" type="noConversion"/>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58E5-A838-4A83-A49F-1AD1E411CED1}">
  <dimension ref="A1:B6"/>
  <sheetViews>
    <sheetView workbookViewId="0">
      <selection activeCell="B10" sqref="B10"/>
    </sheetView>
  </sheetViews>
  <sheetFormatPr defaultRowHeight="15" x14ac:dyDescent="0.4"/>
  <sheetData>
    <row r="1" spans="1:2" x14ac:dyDescent="0.4">
      <c r="A1" t="s">
        <v>1125</v>
      </c>
      <c r="B1" t="s">
        <v>1134</v>
      </c>
    </row>
    <row r="2" spans="1:2" x14ac:dyDescent="0.4">
      <c r="A2" t="s">
        <v>14</v>
      </c>
    </row>
    <row r="3" spans="1:2" x14ac:dyDescent="0.4">
      <c r="A3" t="s">
        <v>9</v>
      </c>
    </row>
    <row r="4" spans="1:2" x14ac:dyDescent="0.4">
      <c r="A4" t="s">
        <v>27</v>
      </c>
    </row>
    <row r="5" spans="1:2" x14ac:dyDescent="0.4">
      <c r="A5" t="s">
        <v>23</v>
      </c>
    </row>
    <row r="6" spans="1:2" x14ac:dyDescent="0.4">
      <c r="A6" t="s">
        <v>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DE90-A5BB-42CB-A1C2-6F88292BFEC5}">
  <dimension ref="A1:Z1001"/>
  <sheetViews>
    <sheetView topLeftCell="R35" workbookViewId="0">
      <selection activeCell="X10" sqref="X10"/>
    </sheetView>
  </sheetViews>
  <sheetFormatPr defaultRowHeight="15" x14ac:dyDescent="0.4"/>
  <cols>
    <col min="1" max="1" width="12.86328125" customWidth="1"/>
    <col min="2" max="2" width="13.265625" customWidth="1"/>
    <col min="3" max="3" width="10.265625" customWidth="1"/>
    <col min="4" max="4" width="18.06640625" customWidth="1"/>
    <col min="5" max="5" width="14.9296875" customWidth="1"/>
    <col min="6" max="8" width="18.06640625" customWidth="1"/>
    <col min="9" max="9" width="18.265625" customWidth="1"/>
    <col min="10" max="10" width="15.6640625" customWidth="1"/>
    <col min="11" max="11" width="9.06640625" customWidth="1"/>
    <col min="12" max="12" width="16.796875" customWidth="1"/>
    <col min="13" max="13" width="16.06640625" customWidth="1"/>
    <col min="16" max="16" width="26.59765625" customWidth="1"/>
    <col min="17" max="17" width="11.06640625" customWidth="1"/>
    <col min="18" max="18" width="20.796875" customWidth="1"/>
    <col min="23" max="23" width="13.265625" customWidth="1"/>
    <col min="24" max="24" width="8.9296875" customWidth="1"/>
  </cols>
  <sheetData>
    <row r="1" spans="1:26" x14ac:dyDescent="0.4">
      <c r="A1" s="1" t="s">
        <v>1032</v>
      </c>
      <c r="B1" s="1" t="s">
        <v>1033</v>
      </c>
      <c r="C1" s="2" t="s">
        <v>1034</v>
      </c>
      <c r="D1" s="3" t="s">
        <v>1035</v>
      </c>
      <c r="E1" s="3" t="s">
        <v>1036</v>
      </c>
      <c r="F1" s="1" t="s">
        <v>1037</v>
      </c>
      <c r="G1" s="1" t="s">
        <v>1071</v>
      </c>
      <c r="H1" s="1" t="s">
        <v>1072</v>
      </c>
      <c r="I1" s="1" t="s">
        <v>1038</v>
      </c>
      <c r="J1" t="s">
        <v>1039</v>
      </c>
      <c r="K1" t="s">
        <v>1040</v>
      </c>
      <c r="L1" t="s">
        <v>1041</v>
      </c>
      <c r="M1" t="s">
        <v>1042</v>
      </c>
      <c r="N1" t="s">
        <v>1066</v>
      </c>
      <c r="O1" t="s">
        <v>1067</v>
      </c>
      <c r="P1" t="s">
        <v>1068</v>
      </c>
      <c r="Q1" t="s">
        <v>1069</v>
      </c>
      <c r="R1" t="s">
        <v>1070</v>
      </c>
    </row>
    <row r="2" spans="1:26" x14ac:dyDescent="0.4">
      <c r="A2" t="s">
        <v>0</v>
      </c>
      <c r="B2" t="s">
        <v>1</v>
      </c>
      <c r="C2">
        <v>116</v>
      </c>
      <c r="D2" s="4" t="s">
        <v>2</v>
      </c>
      <c r="E2" s="5">
        <v>44927</v>
      </c>
      <c r="F2">
        <v>128</v>
      </c>
      <c r="G2">
        <f>AVERAGEIF(calls[Representative], calls[[#This Row],[Representative]], calls[Satisfaction Rating])</f>
        <v>3.8824999999999998</v>
      </c>
      <c r="H2" t="str">
        <f>IF(AVERAGEIF(calls[Representative],calls[[#This Row],[Representative]],calls[Satisfaction Rating])&lt;3.5,"Needs Training","OK")</f>
        <v>OK</v>
      </c>
      <c r="I2">
        <v>4.9000000000000004</v>
      </c>
      <c r="J2">
        <f>IF(MONTH(calls[[#This Row],[Date of Call]])&lt;=6, YEAR(calls[[#This Row],[Date of Call]]), YEAR(calls[[#This Row],[Date of Call]])+1)</f>
        <v>2023</v>
      </c>
      <c r="K2" t="str">
        <f>TEXT(calls[[#This Row],[Date of Call]],"DDDD")</f>
        <v>Sunday</v>
      </c>
      <c r="L2" t="str" cm="1">
        <f t="array" ref="L2">_xlfn.IFS(calls[[#This Row],[Duration]]&lt;=10,"under 10 mins",calls[[#This Row],[Duration]]&lt;=30,"10 to 30mins",calls[[#This Row],[Duration]]&lt;=60,"60 to 30mins",calls[[#This Row],[Duration]]&lt;=120,"1 to 2hrs",TRUE,"More than 2 hrs")</f>
        <v>1 to 2hrs</v>
      </c>
      <c r="M2">
        <f>ROUND(calls[[#This Row],[Satisfaction Rating]],0)</f>
        <v>5</v>
      </c>
      <c r="N2">
        <f>COUNTIF(calls[Customer ID], calls[[#This Row],[Customer ID]])</f>
        <v>50</v>
      </c>
      <c r="O2">
        <f>SUMIF(calls[Customer ID], calls[[#This Row],[Customer ID]], calls[Purchase Amount])</f>
        <v>4804</v>
      </c>
      <c r="P2">
        <f>calls[[#This Row],[call count]]/calls[[#This Row],[Purchase Amount]]</f>
        <v>0.390625</v>
      </c>
      <c r="Q2">
        <f>COUNTIF(calls[Customer ID],calls[[#This Row],[Customer ID]])</f>
        <v>50</v>
      </c>
      <c r="R2">
        <f>calls[[#This Row],[call count]]/calls[[#This Row],[Purchase Amount]]</f>
        <v>0.390625</v>
      </c>
    </row>
    <row r="3" spans="1:26" x14ac:dyDescent="0.4">
      <c r="A3" t="s">
        <v>5</v>
      </c>
      <c r="B3" t="s">
        <v>6</v>
      </c>
      <c r="C3">
        <v>119</v>
      </c>
      <c r="D3" s="4" t="s">
        <v>2</v>
      </c>
      <c r="E3" s="5">
        <v>44927</v>
      </c>
      <c r="F3">
        <v>135</v>
      </c>
      <c r="G3">
        <f>AVERAGEIF(calls[Representative], calls[[#This Row],[Representative]], calls[Satisfaction Rating])</f>
        <v>3.8824999999999998</v>
      </c>
      <c r="H3" t="str">
        <f>IF(AVERAGEIF(calls[Representative],calls[[#This Row],[Representative]],calls[Satisfaction Rating])&lt;3.5,"Needs Training","OK")</f>
        <v>OK</v>
      </c>
      <c r="I3">
        <v>2.9</v>
      </c>
      <c r="J3">
        <f>IF(MONTH(calls[[#This Row],[Date of Call]])&lt;=6, YEAR(calls[[#This Row],[Date of Call]]), YEAR(calls[[#This Row],[Date of Call]])+1)</f>
        <v>2023</v>
      </c>
      <c r="K3" t="str">
        <f>TEXT(calls[[#This Row],[Date of Call]],"DDDD")</f>
        <v>Sunday</v>
      </c>
      <c r="L3" t="str" cm="1">
        <f t="array" ref="L3">_xlfn.IFS(calls[[#This Row],[Duration]]&lt;=10,"under 10 mins",calls[[#This Row],[Duration]]&lt;=30,"10 to 30mins",calls[[#This Row],[Duration]]&lt;=60,"60 to 30mins",calls[[#This Row],[Duration]]&lt;=120,"1 to 2hrs",TRUE,"More than 2 hrs")</f>
        <v>1 to 2hrs</v>
      </c>
      <c r="M3">
        <f>ROUND(calls[[#This Row],[Satisfaction Rating]],0)</f>
        <v>3</v>
      </c>
      <c r="N3">
        <f>COUNTIF(calls[Customer ID], calls[[#This Row],[Customer ID]])</f>
        <v>82</v>
      </c>
      <c r="O3">
        <f>SUMIF(calls[Customer ID], calls[[#This Row],[Customer ID]], calls[Purchase Amount])</f>
        <v>7689</v>
      </c>
      <c r="P3">
        <f>calls[[#This Row],[call count]]/calls[[#This Row],[Purchase Amount]]</f>
        <v>0.6074074074074074</v>
      </c>
      <c r="Q3">
        <f>COUNTIF(calls[Customer ID],calls[[#This Row],[Customer ID]])</f>
        <v>82</v>
      </c>
      <c r="R3">
        <f>calls[[#This Row],[call count]]/calls[[#This Row],[Purchase Amount]]</f>
        <v>0.6074074074074074</v>
      </c>
    </row>
    <row r="4" spans="1:26" x14ac:dyDescent="0.4">
      <c r="A4" t="s">
        <v>7</v>
      </c>
      <c r="B4" t="s">
        <v>8</v>
      </c>
      <c r="C4">
        <v>68</v>
      </c>
      <c r="D4" s="4" t="s">
        <v>9</v>
      </c>
      <c r="E4" s="5">
        <v>44927</v>
      </c>
      <c r="F4">
        <v>66</v>
      </c>
      <c r="G4">
        <f>AVERAGEIF(calls[Representative], calls[[#This Row],[Representative]], calls[Satisfaction Rating])</f>
        <v>3.8706422018348627</v>
      </c>
      <c r="H4" t="str">
        <f>IF(AVERAGEIF(calls[Representative],calls[[#This Row],[Representative]],calls[Satisfaction Rating])&lt;3.5,"Needs Training","OK")</f>
        <v>OK</v>
      </c>
      <c r="I4">
        <v>4.7</v>
      </c>
      <c r="J4">
        <f>IF(MONTH(calls[[#This Row],[Date of Call]])&lt;=6, YEAR(calls[[#This Row],[Date of Call]]), YEAR(calls[[#This Row],[Date of Call]])+1)</f>
        <v>2023</v>
      </c>
      <c r="K4" t="str">
        <f>TEXT(calls[[#This Row],[Date of Call]],"DDDD")</f>
        <v>Sunday</v>
      </c>
      <c r="L4" t="str" cm="1">
        <f t="array" ref="L4">_xlfn.IFS(calls[[#This Row],[Duration]]&lt;=10,"under 10 mins",calls[[#This Row],[Duration]]&lt;=30,"10 to 30mins",calls[[#This Row],[Duration]]&lt;=60,"60 to 30mins",calls[[#This Row],[Duration]]&lt;=120,"1 to 2hrs",TRUE,"More than 2 hrs")</f>
        <v>1 to 2hrs</v>
      </c>
      <c r="M4">
        <f>ROUND(calls[[#This Row],[Satisfaction Rating]],0)</f>
        <v>5</v>
      </c>
      <c r="N4">
        <f>COUNTIF(calls[Customer ID], calls[[#This Row],[Customer ID]])</f>
        <v>79</v>
      </c>
      <c r="O4">
        <f>SUMIF(calls[Customer ID], calls[[#This Row],[Customer ID]], calls[Purchase Amount])</f>
        <v>7747</v>
      </c>
      <c r="P4">
        <f>calls[[#This Row],[call count]]/calls[[#This Row],[Purchase Amount]]</f>
        <v>1.196969696969697</v>
      </c>
      <c r="Q4">
        <f>COUNTIF(calls[Customer ID],calls[[#This Row],[Customer ID]])</f>
        <v>79</v>
      </c>
      <c r="R4">
        <f>calls[[#This Row],[call count]]/calls[[#This Row],[Purchase Amount]]</f>
        <v>1.196969696969697</v>
      </c>
    </row>
    <row r="5" spans="1:26" x14ac:dyDescent="0.4">
      <c r="A5" t="s">
        <v>10</v>
      </c>
      <c r="B5" t="s">
        <v>11</v>
      </c>
      <c r="C5">
        <v>119</v>
      </c>
      <c r="D5" s="4" t="s">
        <v>9</v>
      </c>
      <c r="E5" s="5">
        <v>44927</v>
      </c>
      <c r="F5">
        <v>22</v>
      </c>
      <c r="G5">
        <f>AVERAGEIF(calls[Representative], calls[[#This Row],[Representative]], calls[Satisfaction Rating])</f>
        <v>3.8706422018348627</v>
      </c>
      <c r="H5" t="str">
        <f>IF(AVERAGEIF(calls[Representative],calls[[#This Row],[Representative]],calls[Satisfaction Rating])&lt;3.5,"Needs Training","OK")</f>
        <v>OK</v>
      </c>
      <c r="I5">
        <v>2.9</v>
      </c>
      <c r="J5">
        <f>IF(MONTH(calls[[#This Row],[Date of Call]])&lt;=6, YEAR(calls[[#This Row],[Date of Call]]), YEAR(calls[[#This Row],[Date of Call]])+1)</f>
        <v>2023</v>
      </c>
      <c r="K5" t="str">
        <f>TEXT(calls[[#This Row],[Date of Call]],"DDDD")</f>
        <v>Sunday</v>
      </c>
      <c r="L5" t="str" cm="1">
        <f t="array" ref="L5">_xlfn.IFS(calls[[#This Row],[Duration]]&lt;=10,"under 10 mins",calls[[#This Row],[Duration]]&lt;=30,"10 to 30mins",calls[[#This Row],[Duration]]&lt;=60,"60 to 30mins",calls[[#This Row],[Duration]]&lt;=120,"1 to 2hrs",TRUE,"More than 2 hrs")</f>
        <v>1 to 2hrs</v>
      </c>
      <c r="M5">
        <f>ROUND(calls[[#This Row],[Satisfaction Rating]],0)</f>
        <v>3</v>
      </c>
      <c r="N5">
        <f>COUNTIF(calls[Customer ID], calls[[#This Row],[Customer ID]])</f>
        <v>60</v>
      </c>
      <c r="O5">
        <f>SUMIF(calls[Customer ID], calls[[#This Row],[Customer ID]], calls[Purchase Amount])</f>
        <v>5404</v>
      </c>
      <c r="P5">
        <f>calls[[#This Row],[call count]]/calls[[#This Row],[Purchase Amount]]</f>
        <v>2.7272727272727271</v>
      </c>
      <c r="Q5">
        <f>COUNTIF(calls[Customer ID],calls[[#This Row],[Customer ID]])</f>
        <v>60</v>
      </c>
      <c r="R5">
        <f>calls[[#This Row],[call count]]/calls[[#This Row],[Purchase Amount]]</f>
        <v>2.7272727272727271</v>
      </c>
    </row>
    <row r="6" spans="1:26" x14ac:dyDescent="0.4">
      <c r="A6" t="s">
        <v>12</v>
      </c>
      <c r="B6" t="s">
        <v>13</v>
      </c>
      <c r="C6">
        <v>128</v>
      </c>
      <c r="D6" s="4" t="s">
        <v>14</v>
      </c>
      <c r="E6" s="5">
        <v>44928</v>
      </c>
      <c r="F6">
        <v>31</v>
      </c>
      <c r="G6">
        <f>AVERAGEIF(calls[Representative], calls[[#This Row],[Representative]], calls[Satisfaction Rating])</f>
        <v>3.9227513227513247</v>
      </c>
      <c r="H6" t="str">
        <f>IF(AVERAGEIF(calls[Representative],calls[[#This Row],[Representative]],calls[Satisfaction Rating])&lt;3.5,"Needs Training","OK")</f>
        <v>OK</v>
      </c>
      <c r="I6">
        <v>2.8</v>
      </c>
      <c r="J6">
        <f>IF(MONTH(calls[[#This Row],[Date of Call]])&lt;=6, YEAR(calls[[#This Row],[Date of Call]]), YEAR(calls[[#This Row],[Date of Call]])+1)</f>
        <v>2023</v>
      </c>
      <c r="K6" t="str">
        <f>TEXT(calls[[#This Row],[Date of Call]],"DDDD")</f>
        <v>Monday</v>
      </c>
      <c r="L6" t="str" cm="1">
        <f t="array" ref="L6">_xlfn.IFS(calls[[#This Row],[Duration]]&lt;=10,"under 10 mins",calls[[#This Row],[Duration]]&lt;=30,"10 to 30mins",calls[[#This Row],[Duration]]&lt;=60,"60 to 30mins",calls[[#This Row],[Duration]]&lt;=120,"1 to 2hrs",TRUE,"More than 2 hrs")</f>
        <v>More than 2 hrs</v>
      </c>
      <c r="M6">
        <f>ROUND(calls[[#This Row],[Satisfaction Rating]],0)</f>
        <v>3</v>
      </c>
      <c r="N6">
        <f>COUNTIF(calls[Customer ID], calls[[#This Row],[Customer ID]])</f>
        <v>74</v>
      </c>
      <c r="O6">
        <f>SUMIF(calls[Customer ID], calls[[#This Row],[Customer ID]], calls[Purchase Amount])</f>
        <v>6749</v>
      </c>
      <c r="P6">
        <f>calls[[#This Row],[call count]]/calls[[#This Row],[Purchase Amount]]</f>
        <v>2.3870967741935485</v>
      </c>
      <c r="Q6">
        <f>COUNTIF(calls[Customer ID],calls[[#This Row],[Customer ID]])</f>
        <v>74</v>
      </c>
      <c r="R6">
        <f>calls[[#This Row],[call count]]/calls[[#This Row],[Purchase Amount]]</f>
        <v>2.3870967741935485</v>
      </c>
    </row>
    <row r="7" spans="1:26" x14ac:dyDescent="0.4">
      <c r="A7" t="s">
        <v>17</v>
      </c>
      <c r="B7" t="s">
        <v>13</v>
      </c>
      <c r="C7">
        <v>49</v>
      </c>
      <c r="D7" s="4" t="s">
        <v>9</v>
      </c>
      <c r="E7" s="5">
        <v>44929</v>
      </c>
      <c r="F7">
        <v>135</v>
      </c>
      <c r="G7">
        <f>AVERAGEIF(calls[Representative], calls[[#This Row],[Representative]], calls[Satisfaction Rating])</f>
        <v>3.8706422018348627</v>
      </c>
      <c r="H7" t="str">
        <f>IF(AVERAGEIF(calls[Representative],calls[[#This Row],[Representative]],calls[Satisfaction Rating])&lt;3.5,"Needs Training","OK")</f>
        <v>OK</v>
      </c>
      <c r="I7">
        <v>4.8</v>
      </c>
      <c r="J7">
        <f>IF(MONTH(calls[[#This Row],[Date of Call]])&lt;=6, YEAR(calls[[#This Row],[Date of Call]]), YEAR(calls[[#This Row],[Date of Call]])+1)</f>
        <v>2023</v>
      </c>
      <c r="K7" t="str">
        <f>TEXT(calls[[#This Row],[Date of Call]],"DDDD")</f>
        <v>Tuesday</v>
      </c>
      <c r="L7" t="str" cm="1">
        <f t="array" ref="L7">_xlfn.IFS(calls[[#This Row],[Duration]]&lt;=10,"under 10 mins",calls[[#This Row],[Duration]]&lt;=30,"10 to 30mins",calls[[#This Row],[Duration]]&lt;=60,"60 to 30mins",calls[[#This Row],[Duration]]&lt;=120,"1 to 2hrs",TRUE,"More than 2 hrs")</f>
        <v>60 to 30mins</v>
      </c>
      <c r="M7">
        <f>ROUND(calls[[#This Row],[Satisfaction Rating]],0)</f>
        <v>5</v>
      </c>
      <c r="N7">
        <f>COUNTIF(calls[Customer ID], calls[[#This Row],[Customer ID]])</f>
        <v>74</v>
      </c>
      <c r="O7">
        <f>SUMIF(calls[Customer ID], calls[[#This Row],[Customer ID]], calls[Purchase Amount])</f>
        <v>6749</v>
      </c>
      <c r="P7">
        <f>calls[[#This Row],[call count]]/calls[[#This Row],[Purchase Amount]]</f>
        <v>0.54814814814814816</v>
      </c>
      <c r="Q7">
        <f>COUNTIF(calls[Customer ID],calls[[#This Row],[Customer ID]])</f>
        <v>74</v>
      </c>
      <c r="R7">
        <f>calls[[#This Row],[call count]]/calls[[#This Row],[Purchase Amount]]</f>
        <v>0.54814814814814816</v>
      </c>
      <c r="W7" s="16" t="s">
        <v>1033</v>
      </c>
      <c r="X7" s="17" t="s">
        <v>1073</v>
      </c>
      <c r="Y7" s="17" t="s">
        <v>1074</v>
      </c>
      <c r="Z7" s="18" t="s">
        <v>1075</v>
      </c>
    </row>
    <row r="8" spans="1:26" x14ac:dyDescent="0.4">
      <c r="A8" t="s">
        <v>20</v>
      </c>
      <c r="B8" t="s">
        <v>21</v>
      </c>
      <c r="C8">
        <v>84</v>
      </c>
      <c r="D8" s="4" t="s">
        <v>2</v>
      </c>
      <c r="E8" s="5">
        <v>44929</v>
      </c>
      <c r="F8">
        <v>60</v>
      </c>
      <c r="G8">
        <f>AVERAGEIF(calls[Representative], calls[[#This Row],[Representative]], calls[Satisfaction Rating])</f>
        <v>3.8824999999999998</v>
      </c>
      <c r="H8" t="str">
        <f>IF(AVERAGEIF(calls[Representative],calls[[#This Row],[Representative]],calls[Satisfaction Rating])&lt;3.5,"Needs Training","OK")</f>
        <v>OK</v>
      </c>
      <c r="I8">
        <v>4.7</v>
      </c>
      <c r="J8">
        <f>IF(MONTH(calls[[#This Row],[Date of Call]])&lt;=6, YEAR(calls[[#This Row],[Date of Call]]), YEAR(calls[[#This Row],[Date of Call]])+1)</f>
        <v>2023</v>
      </c>
      <c r="K8" t="str">
        <f>TEXT(calls[[#This Row],[Date of Call]],"DDDD")</f>
        <v>Tuesday</v>
      </c>
      <c r="L8" t="str" cm="1">
        <f t="array" ref="L8">_xlfn.IFS(calls[[#This Row],[Duration]]&lt;=10,"under 10 mins",calls[[#This Row],[Duration]]&lt;=30,"10 to 30mins",calls[[#This Row],[Duration]]&lt;=60,"60 to 30mins",calls[[#This Row],[Duration]]&lt;=120,"1 to 2hrs",TRUE,"More than 2 hrs")</f>
        <v>1 to 2hrs</v>
      </c>
      <c r="M8">
        <f>ROUND(calls[[#This Row],[Satisfaction Rating]],0)</f>
        <v>5</v>
      </c>
      <c r="N8">
        <f>COUNTIF(calls[Customer ID], calls[[#This Row],[Customer ID]])</f>
        <v>67</v>
      </c>
      <c r="O8">
        <f>SUMIF(calls[Customer ID], calls[[#This Row],[Customer ID]], calls[Purchase Amount])</f>
        <v>7216</v>
      </c>
      <c r="P8">
        <f>calls[[#This Row],[call count]]/calls[[#This Row],[Purchase Amount]]</f>
        <v>1.1166666666666667</v>
      </c>
      <c r="Q8">
        <f>COUNTIF(calls[Customer ID],calls[[#This Row],[Customer ID]])</f>
        <v>67</v>
      </c>
      <c r="R8">
        <f>calls[[#This Row],[call count]]/calls[[#This Row],[Purchase Amount]]</f>
        <v>1.1166666666666667</v>
      </c>
      <c r="W8" s="14" t="s">
        <v>64</v>
      </c>
      <c r="X8" s="13" t="s">
        <v>1076</v>
      </c>
      <c r="Y8" s="12">
        <v>41</v>
      </c>
      <c r="Z8" s="15" t="s">
        <v>1077</v>
      </c>
    </row>
    <row r="9" spans="1:26" x14ac:dyDescent="0.4">
      <c r="A9" t="s">
        <v>22</v>
      </c>
      <c r="B9" t="s">
        <v>1</v>
      </c>
      <c r="C9">
        <v>103</v>
      </c>
      <c r="D9" s="4" t="s">
        <v>23</v>
      </c>
      <c r="E9" s="5">
        <v>44929</v>
      </c>
      <c r="F9">
        <v>148</v>
      </c>
      <c r="G9">
        <f>AVERAGEIF(calls[Representative], calls[[#This Row],[Representative]], calls[Satisfaction Rating])</f>
        <v>3.8973118279569863</v>
      </c>
      <c r="H9" t="str">
        <f>IF(AVERAGEIF(calls[Representative],calls[[#This Row],[Representative]],calls[Satisfaction Rating])&lt;3.5,"Needs Training","OK")</f>
        <v>OK</v>
      </c>
      <c r="I9">
        <v>4.4000000000000004</v>
      </c>
      <c r="J9">
        <f>IF(MONTH(calls[[#This Row],[Date of Call]])&lt;=6, YEAR(calls[[#This Row],[Date of Call]]), YEAR(calls[[#This Row],[Date of Call]])+1)</f>
        <v>2023</v>
      </c>
      <c r="K9" t="str">
        <f>TEXT(calls[[#This Row],[Date of Call]],"DDDD")</f>
        <v>Tuesday</v>
      </c>
      <c r="L9" t="str" cm="1">
        <f t="array" ref="L9">_xlfn.IFS(calls[[#This Row],[Duration]]&lt;=10,"under 10 mins",calls[[#This Row],[Duration]]&lt;=30,"10 to 30mins",calls[[#This Row],[Duration]]&lt;=60,"60 to 30mins",calls[[#This Row],[Duration]]&lt;=120,"1 to 2hrs",TRUE,"More than 2 hrs")</f>
        <v>1 to 2hrs</v>
      </c>
      <c r="M9">
        <f>ROUND(calls[[#This Row],[Satisfaction Rating]],0)</f>
        <v>4</v>
      </c>
      <c r="N9">
        <f>COUNTIF(calls[Customer ID], calls[[#This Row],[Customer ID]])</f>
        <v>50</v>
      </c>
      <c r="O9">
        <f>SUMIF(calls[Customer ID], calls[[#This Row],[Customer ID]], calls[Purchase Amount])</f>
        <v>4804</v>
      </c>
      <c r="P9">
        <f>calls[[#This Row],[call count]]/calls[[#This Row],[Purchase Amount]]</f>
        <v>0.33783783783783783</v>
      </c>
      <c r="Q9">
        <f>COUNTIF(calls[Customer ID],calls[[#This Row],[Customer ID]])</f>
        <v>50</v>
      </c>
      <c r="R9">
        <f>calls[[#This Row],[call count]]/calls[[#This Row],[Purchase Amount]]</f>
        <v>0.33783783783783783</v>
      </c>
      <c r="W9" s="14" t="s">
        <v>32</v>
      </c>
      <c r="X9" s="13" t="s">
        <v>1076</v>
      </c>
      <c r="Y9" s="12">
        <v>31</v>
      </c>
      <c r="Z9" s="15" t="s">
        <v>1078</v>
      </c>
    </row>
    <row r="10" spans="1:26" x14ac:dyDescent="0.4">
      <c r="A10" t="s">
        <v>24</v>
      </c>
      <c r="B10" t="s">
        <v>8</v>
      </c>
      <c r="C10">
        <v>31</v>
      </c>
      <c r="D10" s="4" t="s">
        <v>9</v>
      </c>
      <c r="E10" s="5">
        <v>44929</v>
      </c>
      <c r="F10">
        <v>135</v>
      </c>
      <c r="G10">
        <f>AVERAGEIF(calls[Representative], calls[[#This Row],[Representative]], calls[Satisfaction Rating])</f>
        <v>3.8706422018348627</v>
      </c>
      <c r="H10" t="str">
        <f>IF(AVERAGEIF(calls[Representative],calls[[#This Row],[Representative]],calls[Satisfaction Rating])&lt;3.5,"Needs Training","OK")</f>
        <v>OK</v>
      </c>
      <c r="I10">
        <v>3.6</v>
      </c>
      <c r="J10">
        <f>IF(MONTH(calls[[#This Row],[Date of Call]])&lt;=6, YEAR(calls[[#This Row],[Date of Call]]), YEAR(calls[[#This Row],[Date of Call]])+1)</f>
        <v>2023</v>
      </c>
      <c r="K10" t="str">
        <f>TEXT(calls[[#This Row],[Date of Call]],"DDDD")</f>
        <v>Tuesday</v>
      </c>
      <c r="L10" t="str" cm="1">
        <f t="array" ref="L10">_xlfn.IFS(calls[[#This Row],[Duration]]&lt;=10,"under 10 mins",calls[[#This Row],[Duration]]&lt;=30,"10 to 30mins",calls[[#This Row],[Duration]]&lt;=60,"60 to 30mins",calls[[#This Row],[Duration]]&lt;=120,"1 to 2hrs",TRUE,"More than 2 hrs")</f>
        <v>60 to 30mins</v>
      </c>
      <c r="M10">
        <f>ROUND(calls[[#This Row],[Satisfaction Rating]],0)</f>
        <v>4</v>
      </c>
      <c r="N10">
        <f>COUNTIF(calls[Customer ID], calls[[#This Row],[Customer ID]])</f>
        <v>79</v>
      </c>
      <c r="O10">
        <f>SUMIF(calls[Customer ID], calls[[#This Row],[Customer ID]], calls[Purchase Amount])</f>
        <v>7747</v>
      </c>
      <c r="P10">
        <f>calls[[#This Row],[call count]]/calls[[#This Row],[Purchase Amount]]</f>
        <v>0.58518518518518514</v>
      </c>
      <c r="Q10">
        <f>COUNTIF(calls[Customer ID],calls[[#This Row],[Customer ID]])</f>
        <v>79</v>
      </c>
      <c r="R10">
        <f>calls[[#This Row],[call count]]/calls[[#This Row],[Purchase Amount]]</f>
        <v>0.58518518518518514</v>
      </c>
      <c r="W10" s="14" t="s">
        <v>1</v>
      </c>
      <c r="X10" s="13" t="s">
        <v>1076</v>
      </c>
      <c r="Y10" s="12">
        <v>26</v>
      </c>
      <c r="Z10" s="15" t="s">
        <v>1079</v>
      </c>
    </row>
    <row r="11" spans="1:26" x14ac:dyDescent="0.4">
      <c r="A11" t="s">
        <v>25</v>
      </c>
      <c r="B11" t="s">
        <v>26</v>
      </c>
      <c r="C11">
        <v>44</v>
      </c>
      <c r="D11" s="4" t="s">
        <v>27</v>
      </c>
      <c r="E11" s="5">
        <v>44929</v>
      </c>
      <c r="F11">
        <v>105</v>
      </c>
      <c r="G11">
        <f>AVERAGEIF(calls[Representative], calls[[#This Row],[Representative]], calls[Satisfaction Rating])</f>
        <v>3.8589371980676304</v>
      </c>
      <c r="H11" t="str">
        <f>IF(AVERAGEIF(calls[Representative],calls[[#This Row],[Representative]],calls[Satisfaction Rating])&lt;3.5,"Needs Training","OK")</f>
        <v>OK</v>
      </c>
      <c r="I11">
        <v>2.9</v>
      </c>
      <c r="J11">
        <f>IF(MONTH(calls[[#This Row],[Date of Call]])&lt;=6, YEAR(calls[[#This Row],[Date of Call]]), YEAR(calls[[#This Row],[Date of Call]])+1)</f>
        <v>2023</v>
      </c>
      <c r="K11" t="str">
        <f>TEXT(calls[[#This Row],[Date of Call]],"DDDD")</f>
        <v>Tuesday</v>
      </c>
      <c r="L11" t="str" cm="1">
        <f t="array" ref="L11">_xlfn.IFS(calls[[#This Row],[Duration]]&lt;=10,"under 10 mins",calls[[#This Row],[Duration]]&lt;=30,"10 to 30mins",calls[[#This Row],[Duration]]&lt;=60,"60 to 30mins",calls[[#This Row],[Duration]]&lt;=120,"1 to 2hrs",TRUE,"More than 2 hrs")</f>
        <v>60 to 30mins</v>
      </c>
      <c r="M11">
        <f>ROUND(calls[[#This Row],[Satisfaction Rating]],0)</f>
        <v>3</v>
      </c>
      <c r="N11">
        <f>COUNTIF(calls[Customer ID], calls[[#This Row],[Customer ID]])</f>
        <v>72</v>
      </c>
      <c r="O11">
        <f>SUMIF(calls[Customer ID], calls[[#This Row],[Customer ID]], calls[Purchase Amount])</f>
        <v>6242</v>
      </c>
      <c r="P11">
        <f>calls[[#This Row],[call count]]/calls[[#This Row],[Purchase Amount]]</f>
        <v>0.68571428571428572</v>
      </c>
      <c r="Q11">
        <f>COUNTIF(calls[Customer ID],calls[[#This Row],[Customer ID]])</f>
        <v>72</v>
      </c>
      <c r="R11">
        <f>calls[[#This Row],[call count]]/calls[[#This Row],[Purchase Amount]]</f>
        <v>0.68571428571428572</v>
      </c>
      <c r="W11" s="14" t="s">
        <v>6</v>
      </c>
      <c r="X11" s="13" t="s">
        <v>1076</v>
      </c>
      <c r="Y11" s="12">
        <v>36</v>
      </c>
      <c r="Z11" s="15" t="s">
        <v>1079</v>
      </c>
    </row>
    <row r="12" spans="1:26" x14ac:dyDescent="0.4">
      <c r="A12" t="s">
        <v>28</v>
      </c>
      <c r="B12" t="s">
        <v>13</v>
      </c>
      <c r="C12">
        <v>102</v>
      </c>
      <c r="D12" s="4" t="s">
        <v>9</v>
      </c>
      <c r="E12" s="5">
        <v>44929</v>
      </c>
      <c r="F12">
        <v>69</v>
      </c>
      <c r="G12">
        <f>AVERAGEIF(calls[Representative], calls[[#This Row],[Representative]], calls[Satisfaction Rating])</f>
        <v>3.8706422018348627</v>
      </c>
      <c r="H12" t="str">
        <f>IF(AVERAGEIF(calls[Representative],calls[[#This Row],[Representative]],calls[Satisfaction Rating])&lt;3.5,"Needs Training","OK")</f>
        <v>OK</v>
      </c>
      <c r="I12">
        <v>4.9000000000000004</v>
      </c>
      <c r="J12">
        <f>IF(MONTH(calls[[#This Row],[Date of Call]])&lt;=6, YEAR(calls[[#This Row],[Date of Call]]), YEAR(calls[[#This Row],[Date of Call]])+1)</f>
        <v>2023</v>
      </c>
      <c r="K12" t="str">
        <f>TEXT(calls[[#This Row],[Date of Call]],"DDDD")</f>
        <v>Tuesday</v>
      </c>
      <c r="L12" t="str" cm="1">
        <f t="array" ref="L12">_xlfn.IFS(calls[[#This Row],[Duration]]&lt;=10,"under 10 mins",calls[[#This Row],[Duration]]&lt;=30,"10 to 30mins",calls[[#This Row],[Duration]]&lt;=60,"60 to 30mins",calls[[#This Row],[Duration]]&lt;=120,"1 to 2hrs",TRUE,"More than 2 hrs")</f>
        <v>1 to 2hrs</v>
      </c>
      <c r="M12">
        <f>ROUND(calls[[#This Row],[Satisfaction Rating]],0)</f>
        <v>5</v>
      </c>
      <c r="N12">
        <f>COUNTIF(calls[Customer ID], calls[[#This Row],[Customer ID]])</f>
        <v>74</v>
      </c>
      <c r="O12">
        <f>SUMIF(calls[Customer ID], calls[[#This Row],[Customer ID]], calls[Purchase Amount])</f>
        <v>6749</v>
      </c>
      <c r="P12">
        <f>calls[[#This Row],[call count]]/calls[[#This Row],[Purchase Amount]]</f>
        <v>1.0724637681159421</v>
      </c>
      <c r="Q12">
        <f>COUNTIF(calls[Customer ID],calls[[#This Row],[Customer ID]])</f>
        <v>74</v>
      </c>
      <c r="R12">
        <f>calls[[#This Row],[call count]]/calls[[#This Row],[Purchase Amount]]</f>
        <v>1.0724637681159421</v>
      </c>
      <c r="W12" s="14" t="s">
        <v>8</v>
      </c>
      <c r="X12" s="13" t="s">
        <v>1076</v>
      </c>
      <c r="Y12" s="12">
        <v>37</v>
      </c>
      <c r="Z12" s="15" t="s">
        <v>1077</v>
      </c>
    </row>
    <row r="13" spans="1:26" x14ac:dyDescent="0.4">
      <c r="A13" t="s">
        <v>29</v>
      </c>
      <c r="B13" t="s">
        <v>30</v>
      </c>
      <c r="C13">
        <v>135</v>
      </c>
      <c r="D13" s="4" t="s">
        <v>2</v>
      </c>
      <c r="E13" s="5">
        <v>44929</v>
      </c>
      <c r="F13">
        <v>46</v>
      </c>
      <c r="G13">
        <f>AVERAGEIF(calls[Representative], calls[[#This Row],[Representative]], calls[Satisfaction Rating])</f>
        <v>3.8824999999999998</v>
      </c>
      <c r="H13" t="str">
        <f>IF(AVERAGEIF(calls[Representative],calls[[#This Row],[Representative]],calls[Satisfaction Rating])&lt;3.5,"Needs Training","OK")</f>
        <v>OK</v>
      </c>
      <c r="I13">
        <v>3.4</v>
      </c>
      <c r="J13">
        <f>IF(MONTH(calls[[#This Row],[Date of Call]])&lt;=6, YEAR(calls[[#This Row],[Date of Call]]), YEAR(calls[[#This Row],[Date of Call]])+1)</f>
        <v>2023</v>
      </c>
      <c r="K13" t="str">
        <f>TEXT(calls[[#This Row],[Date of Call]],"DDDD")</f>
        <v>Tuesday</v>
      </c>
      <c r="L13" t="str" cm="1">
        <f t="array" ref="L13">_xlfn.IFS(calls[[#This Row],[Duration]]&lt;=10,"under 10 mins",calls[[#This Row],[Duration]]&lt;=30,"10 to 30mins",calls[[#This Row],[Duration]]&lt;=60,"60 to 30mins",calls[[#This Row],[Duration]]&lt;=120,"1 to 2hrs",TRUE,"More than 2 hrs")</f>
        <v>More than 2 hrs</v>
      </c>
      <c r="M13">
        <f>ROUND(calls[[#This Row],[Satisfaction Rating]],0)</f>
        <v>3</v>
      </c>
      <c r="N13">
        <f>COUNTIF(calls[Customer ID], calls[[#This Row],[Customer ID]])</f>
        <v>69</v>
      </c>
      <c r="O13">
        <f>SUMIF(calls[Customer ID], calls[[#This Row],[Customer ID]], calls[Purchase Amount])</f>
        <v>7230</v>
      </c>
      <c r="P13">
        <f>calls[[#This Row],[call count]]/calls[[#This Row],[Purchase Amount]]</f>
        <v>1.5</v>
      </c>
      <c r="Q13">
        <f>COUNTIF(calls[Customer ID],calls[[#This Row],[Customer ID]])</f>
        <v>69</v>
      </c>
      <c r="R13">
        <f>calls[[#This Row],[call count]]/calls[[#This Row],[Purchase Amount]]</f>
        <v>1.5</v>
      </c>
      <c r="W13" s="14" t="s">
        <v>44</v>
      </c>
      <c r="X13" s="13" t="s">
        <v>1076</v>
      </c>
      <c r="Y13" s="12">
        <v>23</v>
      </c>
      <c r="Z13" s="15" t="s">
        <v>1077</v>
      </c>
    </row>
    <row r="14" spans="1:26" x14ac:dyDescent="0.4">
      <c r="A14" t="s">
        <v>31</v>
      </c>
      <c r="B14" t="s">
        <v>32</v>
      </c>
      <c r="C14">
        <v>98</v>
      </c>
      <c r="D14" s="4" t="s">
        <v>9</v>
      </c>
      <c r="E14" s="5">
        <v>44930</v>
      </c>
      <c r="F14">
        <v>108</v>
      </c>
      <c r="G14">
        <f>AVERAGEIF(calls[Representative], calls[[#This Row],[Representative]], calls[Satisfaction Rating])</f>
        <v>3.8706422018348627</v>
      </c>
      <c r="H14" t="str">
        <f>IF(AVERAGEIF(calls[Representative],calls[[#This Row],[Representative]],calls[Satisfaction Rating])&lt;3.5,"Needs Training","OK")</f>
        <v>OK</v>
      </c>
      <c r="I14">
        <v>3.5</v>
      </c>
      <c r="J14">
        <f>IF(MONTH(calls[[#This Row],[Date of Call]])&lt;=6, YEAR(calls[[#This Row],[Date of Call]]), YEAR(calls[[#This Row],[Date of Call]])+1)</f>
        <v>2023</v>
      </c>
      <c r="K14" t="str">
        <f>TEXT(calls[[#This Row],[Date of Call]],"DDDD")</f>
        <v>Wednesday</v>
      </c>
      <c r="L14" t="str" cm="1">
        <f t="array" ref="L14">_xlfn.IFS(calls[[#This Row],[Duration]]&lt;=10,"under 10 mins",calls[[#This Row],[Duration]]&lt;=30,"10 to 30mins",calls[[#This Row],[Duration]]&lt;=60,"60 to 30mins",calls[[#This Row],[Duration]]&lt;=120,"1 to 2hrs",TRUE,"More than 2 hrs")</f>
        <v>1 to 2hrs</v>
      </c>
      <c r="M14">
        <f>ROUND(calls[[#This Row],[Satisfaction Rating]],0)</f>
        <v>4</v>
      </c>
      <c r="N14">
        <f>COUNTIF(calls[Customer ID], calls[[#This Row],[Customer ID]])</f>
        <v>63</v>
      </c>
      <c r="O14">
        <f>SUMIF(calls[Customer ID], calls[[#This Row],[Customer ID]], calls[Purchase Amount])</f>
        <v>5634</v>
      </c>
      <c r="P14">
        <f>calls[[#This Row],[call count]]/calls[[#This Row],[Purchase Amount]]</f>
        <v>0.58333333333333337</v>
      </c>
      <c r="Q14">
        <f>COUNTIF(calls[Customer ID],calls[[#This Row],[Customer ID]])</f>
        <v>63</v>
      </c>
      <c r="R14">
        <f>calls[[#This Row],[call count]]/calls[[#This Row],[Purchase Amount]]</f>
        <v>0.58333333333333337</v>
      </c>
      <c r="W14" s="14" t="s">
        <v>21</v>
      </c>
      <c r="X14" s="13" t="s">
        <v>1080</v>
      </c>
      <c r="Y14" s="12">
        <v>22</v>
      </c>
      <c r="Z14" s="15" t="s">
        <v>1078</v>
      </c>
    </row>
    <row r="15" spans="1:26" x14ac:dyDescent="0.4">
      <c r="A15" t="s">
        <v>34</v>
      </c>
      <c r="B15" t="s">
        <v>26</v>
      </c>
      <c r="C15">
        <v>139</v>
      </c>
      <c r="D15" s="4" t="s">
        <v>9</v>
      </c>
      <c r="E15" s="5">
        <v>44930</v>
      </c>
      <c r="F15">
        <v>96</v>
      </c>
      <c r="G15">
        <f>AVERAGEIF(calls[Representative], calls[[#This Row],[Representative]], calls[Satisfaction Rating])</f>
        <v>3.8706422018348627</v>
      </c>
      <c r="H15" t="str">
        <f>IF(AVERAGEIF(calls[Representative],calls[[#This Row],[Representative]],calls[Satisfaction Rating])&lt;3.5,"Needs Training","OK")</f>
        <v>OK</v>
      </c>
      <c r="I15">
        <v>4</v>
      </c>
      <c r="J15">
        <f>IF(MONTH(calls[[#This Row],[Date of Call]])&lt;=6, YEAR(calls[[#This Row],[Date of Call]]), YEAR(calls[[#This Row],[Date of Call]])+1)</f>
        <v>2023</v>
      </c>
      <c r="K15" t="str">
        <f>TEXT(calls[[#This Row],[Date of Call]],"DDDD")</f>
        <v>Wednesday</v>
      </c>
      <c r="L15" t="str" cm="1">
        <f t="array" ref="L15">_xlfn.IFS(calls[[#This Row],[Duration]]&lt;=10,"under 10 mins",calls[[#This Row],[Duration]]&lt;=30,"10 to 30mins",calls[[#This Row],[Duration]]&lt;=60,"60 to 30mins",calls[[#This Row],[Duration]]&lt;=120,"1 to 2hrs",TRUE,"More than 2 hrs")</f>
        <v>More than 2 hrs</v>
      </c>
      <c r="M15">
        <f>ROUND(calls[[#This Row],[Satisfaction Rating]],0)</f>
        <v>4</v>
      </c>
      <c r="N15">
        <f>COUNTIF(calls[Customer ID], calls[[#This Row],[Customer ID]])</f>
        <v>72</v>
      </c>
      <c r="O15">
        <f>SUMIF(calls[Customer ID], calls[[#This Row],[Customer ID]], calls[Purchase Amount])</f>
        <v>6242</v>
      </c>
      <c r="P15">
        <f>calls[[#This Row],[call count]]/calls[[#This Row],[Purchase Amount]]</f>
        <v>0.75</v>
      </c>
      <c r="Q15">
        <f>COUNTIF(calls[Customer ID],calls[[#This Row],[Customer ID]])</f>
        <v>72</v>
      </c>
      <c r="R15">
        <f>calls[[#This Row],[call count]]/calls[[#This Row],[Purchase Amount]]</f>
        <v>0.75</v>
      </c>
      <c r="W15" s="14" t="s">
        <v>84</v>
      </c>
      <c r="X15" s="13" t="s">
        <v>1080</v>
      </c>
      <c r="Y15" s="12">
        <v>42</v>
      </c>
      <c r="Z15" s="15" t="s">
        <v>1078</v>
      </c>
    </row>
    <row r="16" spans="1:26" x14ac:dyDescent="0.4">
      <c r="A16" t="s">
        <v>35</v>
      </c>
      <c r="B16" t="s">
        <v>30</v>
      </c>
      <c r="C16">
        <v>48</v>
      </c>
      <c r="D16" s="4" t="s">
        <v>14</v>
      </c>
      <c r="E16" s="5">
        <v>44930</v>
      </c>
      <c r="F16">
        <v>68</v>
      </c>
      <c r="G16">
        <f>AVERAGEIF(calls[Representative], calls[[#This Row],[Representative]], calls[Satisfaction Rating])</f>
        <v>3.9227513227513247</v>
      </c>
      <c r="H16" t="str">
        <f>IF(AVERAGEIF(calls[Representative],calls[[#This Row],[Representative]],calls[Satisfaction Rating])&lt;3.5,"Needs Training","OK")</f>
        <v>OK</v>
      </c>
      <c r="I16">
        <v>4.9000000000000004</v>
      </c>
      <c r="J16">
        <f>IF(MONTH(calls[[#This Row],[Date of Call]])&lt;=6, YEAR(calls[[#This Row],[Date of Call]]), YEAR(calls[[#This Row],[Date of Call]])+1)</f>
        <v>2023</v>
      </c>
      <c r="K16" t="str">
        <f>TEXT(calls[[#This Row],[Date of Call]],"DDDD")</f>
        <v>Wednesday</v>
      </c>
      <c r="L16" t="str" cm="1">
        <f t="array" ref="L16">_xlfn.IFS(calls[[#This Row],[Duration]]&lt;=10,"under 10 mins",calls[[#This Row],[Duration]]&lt;=30,"10 to 30mins",calls[[#This Row],[Duration]]&lt;=60,"60 to 30mins",calls[[#This Row],[Duration]]&lt;=120,"1 to 2hrs",TRUE,"More than 2 hrs")</f>
        <v>60 to 30mins</v>
      </c>
      <c r="M16">
        <f>ROUND(calls[[#This Row],[Satisfaction Rating]],0)</f>
        <v>5</v>
      </c>
      <c r="N16">
        <f>COUNTIF(calls[Customer ID], calls[[#This Row],[Customer ID]])</f>
        <v>69</v>
      </c>
      <c r="O16">
        <f>SUMIF(calls[Customer ID], calls[[#This Row],[Customer ID]], calls[Purchase Amount])</f>
        <v>7230</v>
      </c>
      <c r="P16">
        <f>calls[[#This Row],[call count]]/calls[[#This Row],[Purchase Amount]]</f>
        <v>1.0147058823529411</v>
      </c>
      <c r="Q16">
        <f>COUNTIF(calls[Customer ID],calls[[#This Row],[Customer ID]])</f>
        <v>69</v>
      </c>
      <c r="R16">
        <f>calls[[#This Row],[call count]]/calls[[#This Row],[Purchase Amount]]</f>
        <v>1.0147058823529411</v>
      </c>
      <c r="W16" s="14" t="s">
        <v>40</v>
      </c>
      <c r="X16" s="13" t="s">
        <v>1080</v>
      </c>
      <c r="Y16" s="12">
        <v>25</v>
      </c>
      <c r="Z16" s="15" t="s">
        <v>1077</v>
      </c>
    </row>
    <row r="17" spans="1:26" x14ac:dyDescent="0.4">
      <c r="A17" t="s">
        <v>36</v>
      </c>
      <c r="B17" t="s">
        <v>26</v>
      </c>
      <c r="C17">
        <v>176</v>
      </c>
      <c r="D17" s="4" t="s">
        <v>2</v>
      </c>
      <c r="E17" s="5">
        <v>44931</v>
      </c>
      <c r="F17">
        <v>24</v>
      </c>
      <c r="G17">
        <f>AVERAGEIF(calls[Representative], calls[[#This Row],[Representative]], calls[Satisfaction Rating])</f>
        <v>3.8824999999999998</v>
      </c>
      <c r="H17" t="str">
        <f>IF(AVERAGEIF(calls[Representative],calls[[#This Row],[Representative]],calls[Satisfaction Rating])&lt;3.5,"Needs Training","OK")</f>
        <v>OK</v>
      </c>
      <c r="I17">
        <v>4.8</v>
      </c>
      <c r="J17">
        <f>IF(MONTH(calls[[#This Row],[Date of Call]])&lt;=6, YEAR(calls[[#This Row],[Date of Call]]), YEAR(calls[[#This Row],[Date of Call]])+1)</f>
        <v>2023</v>
      </c>
      <c r="K17" t="str">
        <f>TEXT(calls[[#This Row],[Date of Call]],"DDDD")</f>
        <v>Thursday</v>
      </c>
      <c r="L17" t="str" cm="1">
        <f t="array" ref="L17">_xlfn.IFS(calls[[#This Row],[Duration]]&lt;=10,"under 10 mins",calls[[#This Row],[Duration]]&lt;=30,"10 to 30mins",calls[[#This Row],[Duration]]&lt;=60,"60 to 30mins",calls[[#This Row],[Duration]]&lt;=120,"1 to 2hrs",TRUE,"More than 2 hrs")</f>
        <v>More than 2 hrs</v>
      </c>
      <c r="M17">
        <f>ROUND(calls[[#This Row],[Satisfaction Rating]],0)</f>
        <v>5</v>
      </c>
      <c r="N17">
        <f>COUNTIF(calls[Customer ID], calls[[#This Row],[Customer ID]])</f>
        <v>72</v>
      </c>
      <c r="O17">
        <f>SUMIF(calls[Customer ID], calls[[#This Row],[Customer ID]], calls[Purchase Amount])</f>
        <v>6242</v>
      </c>
      <c r="P17">
        <f>calls[[#This Row],[call count]]/calls[[#This Row],[Purchase Amount]]</f>
        <v>3</v>
      </c>
      <c r="Q17">
        <f>COUNTIF(calls[Customer ID],calls[[#This Row],[Customer ID]])</f>
        <v>72</v>
      </c>
      <c r="R17">
        <f>calls[[#This Row],[call count]]/calls[[#This Row],[Purchase Amount]]</f>
        <v>3</v>
      </c>
      <c r="W17" s="14" t="s">
        <v>26</v>
      </c>
      <c r="X17" s="13" t="s">
        <v>1080</v>
      </c>
      <c r="Y17" s="12">
        <v>30</v>
      </c>
      <c r="Z17" s="15" t="s">
        <v>1078</v>
      </c>
    </row>
    <row r="18" spans="1:26" x14ac:dyDescent="0.4">
      <c r="A18" t="s">
        <v>38</v>
      </c>
      <c r="B18" t="s">
        <v>26</v>
      </c>
      <c r="C18">
        <v>99</v>
      </c>
      <c r="D18" s="4" t="s">
        <v>14</v>
      </c>
      <c r="E18" s="5">
        <v>44931</v>
      </c>
      <c r="F18">
        <v>195</v>
      </c>
      <c r="G18">
        <f>AVERAGEIF(calls[Representative], calls[[#This Row],[Representative]], calls[Satisfaction Rating])</f>
        <v>3.9227513227513247</v>
      </c>
      <c r="H18" t="str">
        <f>IF(AVERAGEIF(calls[Representative],calls[[#This Row],[Representative]],calls[Satisfaction Rating])&lt;3.5,"Needs Training","OK")</f>
        <v>OK</v>
      </c>
      <c r="I18">
        <v>3.9</v>
      </c>
      <c r="J18">
        <f>IF(MONTH(calls[[#This Row],[Date of Call]])&lt;=6, YEAR(calls[[#This Row],[Date of Call]]), YEAR(calls[[#This Row],[Date of Call]])+1)</f>
        <v>2023</v>
      </c>
      <c r="K18" t="str">
        <f>TEXT(calls[[#This Row],[Date of Call]],"DDDD")</f>
        <v>Thursday</v>
      </c>
      <c r="L18" t="str" cm="1">
        <f t="array" ref="L18">_xlfn.IFS(calls[[#This Row],[Duration]]&lt;=10,"under 10 mins",calls[[#This Row],[Duration]]&lt;=30,"10 to 30mins",calls[[#This Row],[Duration]]&lt;=60,"60 to 30mins",calls[[#This Row],[Duration]]&lt;=120,"1 to 2hrs",TRUE,"More than 2 hrs")</f>
        <v>1 to 2hrs</v>
      </c>
      <c r="M18">
        <f>ROUND(calls[[#This Row],[Satisfaction Rating]],0)</f>
        <v>4</v>
      </c>
      <c r="N18">
        <f>COUNTIF(calls[Customer ID], calls[[#This Row],[Customer ID]])</f>
        <v>72</v>
      </c>
      <c r="O18">
        <f>SUMIF(calls[Customer ID], calls[[#This Row],[Customer ID]], calls[Purchase Amount])</f>
        <v>6242</v>
      </c>
      <c r="P18">
        <f>calls[[#This Row],[call count]]/calls[[#This Row],[Purchase Amount]]</f>
        <v>0.36923076923076925</v>
      </c>
      <c r="Q18">
        <f>COUNTIF(calls[Customer ID],calls[[#This Row],[Customer ID]])</f>
        <v>72</v>
      </c>
      <c r="R18">
        <f>calls[[#This Row],[call count]]/calls[[#This Row],[Purchase Amount]]</f>
        <v>0.36923076923076925</v>
      </c>
      <c r="W18" s="14" t="s">
        <v>13</v>
      </c>
      <c r="X18" s="13" t="s">
        <v>1080</v>
      </c>
      <c r="Y18" s="12">
        <v>30</v>
      </c>
      <c r="Z18" s="15" t="s">
        <v>1079</v>
      </c>
    </row>
    <row r="19" spans="1:26" x14ac:dyDescent="0.4">
      <c r="A19" t="s">
        <v>39</v>
      </c>
      <c r="B19" t="s">
        <v>40</v>
      </c>
      <c r="C19">
        <v>28</v>
      </c>
      <c r="D19" s="4" t="s">
        <v>27</v>
      </c>
      <c r="E19" s="5">
        <v>44931</v>
      </c>
      <c r="F19">
        <v>28</v>
      </c>
      <c r="G19">
        <f>AVERAGEIF(calls[Representative], calls[[#This Row],[Representative]], calls[Satisfaction Rating])</f>
        <v>3.8589371980676304</v>
      </c>
      <c r="H19" t="str">
        <f>IF(AVERAGEIF(calls[Representative],calls[[#This Row],[Representative]],calls[Satisfaction Rating])&lt;3.5,"Needs Training","OK")</f>
        <v>OK</v>
      </c>
      <c r="I19">
        <v>3.8</v>
      </c>
      <c r="J19">
        <f>IF(MONTH(calls[[#This Row],[Date of Call]])&lt;=6, YEAR(calls[[#This Row],[Date of Call]]), YEAR(calls[[#This Row],[Date of Call]])+1)</f>
        <v>2023</v>
      </c>
      <c r="K19" t="str">
        <f>TEXT(calls[[#This Row],[Date of Call]],"DDDD")</f>
        <v>Thursday</v>
      </c>
      <c r="L19" t="str" cm="1">
        <f t="array" ref="L19">_xlfn.IFS(calls[[#This Row],[Duration]]&lt;=10,"under 10 mins",calls[[#This Row],[Duration]]&lt;=30,"10 to 30mins",calls[[#This Row],[Duration]]&lt;=60,"60 to 30mins",calls[[#This Row],[Duration]]&lt;=120,"1 to 2hrs",TRUE,"More than 2 hrs")</f>
        <v>10 to 30mins</v>
      </c>
      <c r="M19">
        <f>ROUND(calls[[#This Row],[Satisfaction Rating]],0)</f>
        <v>4</v>
      </c>
      <c r="N19">
        <f>COUNTIF(calls[Customer ID], calls[[#This Row],[Customer ID]])</f>
        <v>69</v>
      </c>
      <c r="O19">
        <f>SUMIF(calls[Customer ID], calls[[#This Row],[Customer ID]], calls[Purchase Amount])</f>
        <v>6601</v>
      </c>
      <c r="P19">
        <f>calls[[#This Row],[call count]]/calls[[#This Row],[Purchase Amount]]</f>
        <v>2.4642857142857144</v>
      </c>
      <c r="Q19">
        <f>COUNTIF(calls[Customer ID],calls[[#This Row],[Customer ID]])</f>
        <v>69</v>
      </c>
      <c r="R19">
        <f>calls[[#This Row],[call count]]/calls[[#This Row],[Purchase Amount]]</f>
        <v>2.4642857142857144</v>
      </c>
      <c r="W19" s="14" t="s">
        <v>54</v>
      </c>
      <c r="X19" s="13" t="s">
        <v>1080</v>
      </c>
      <c r="Y19" s="12">
        <v>28</v>
      </c>
      <c r="Z19" s="15" t="s">
        <v>1079</v>
      </c>
    </row>
    <row r="20" spans="1:26" x14ac:dyDescent="0.4">
      <c r="A20" t="s">
        <v>42</v>
      </c>
      <c r="B20" t="s">
        <v>21</v>
      </c>
      <c r="C20">
        <v>54</v>
      </c>
      <c r="D20" s="4" t="s">
        <v>9</v>
      </c>
      <c r="E20" s="5">
        <v>44931</v>
      </c>
      <c r="F20">
        <v>170</v>
      </c>
      <c r="G20">
        <f>AVERAGEIF(calls[Representative], calls[[#This Row],[Representative]], calls[Satisfaction Rating])</f>
        <v>3.8706422018348627</v>
      </c>
      <c r="H20" t="str">
        <f>IF(AVERAGEIF(calls[Representative],calls[[#This Row],[Representative]],calls[Satisfaction Rating])&lt;3.5,"Needs Training","OK")</f>
        <v>OK</v>
      </c>
      <c r="I20">
        <v>4.3</v>
      </c>
      <c r="J20">
        <f>IF(MONTH(calls[[#This Row],[Date of Call]])&lt;=6, YEAR(calls[[#This Row],[Date of Call]]), YEAR(calls[[#This Row],[Date of Call]])+1)</f>
        <v>2023</v>
      </c>
      <c r="K20" t="str">
        <f>TEXT(calls[[#This Row],[Date of Call]],"DDDD")</f>
        <v>Thursday</v>
      </c>
      <c r="L20" t="str" cm="1">
        <f t="array" ref="L20">_xlfn.IFS(calls[[#This Row],[Duration]]&lt;=10,"under 10 mins",calls[[#This Row],[Duration]]&lt;=30,"10 to 30mins",calls[[#This Row],[Duration]]&lt;=60,"60 to 30mins",calls[[#This Row],[Duration]]&lt;=120,"1 to 2hrs",TRUE,"More than 2 hrs")</f>
        <v>60 to 30mins</v>
      </c>
      <c r="M20">
        <f>ROUND(calls[[#This Row],[Satisfaction Rating]],0)</f>
        <v>4</v>
      </c>
      <c r="N20">
        <f>COUNTIF(calls[Customer ID], calls[[#This Row],[Customer ID]])</f>
        <v>67</v>
      </c>
      <c r="O20">
        <f>SUMIF(calls[Customer ID], calls[[#This Row],[Customer ID]], calls[Purchase Amount])</f>
        <v>7216</v>
      </c>
      <c r="P20">
        <f>calls[[#This Row],[call count]]/calls[[#This Row],[Purchase Amount]]</f>
        <v>0.39411764705882352</v>
      </c>
      <c r="Q20">
        <f>COUNTIF(calls[Customer ID],calls[[#This Row],[Customer ID]])</f>
        <v>67</v>
      </c>
      <c r="R20">
        <f>calls[[#This Row],[call count]]/calls[[#This Row],[Purchase Amount]]</f>
        <v>0.39411764705882352</v>
      </c>
      <c r="W20" s="14" t="s">
        <v>30</v>
      </c>
      <c r="X20" s="13" t="s">
        <v>1080</v>
      </c>
      <c r="Y20" s="12">
        <v>37</v>
      </c>
      <c r="Z20" s="15" t="s">
        <v>1078</v>
      </c>
    </row>
    <row r="21" spans="1:26" x14ac:dyDescent="0.4">
      <c r="A21" t="s">
        <v>43</v>
      </c>
      <c r="B21" t="s">
        <v>44</v>
      </c>
      <c r="C21">
        <v>48</v>
      </c>
      <c r="D21" s="4" t="s">
        <v>2</v>
      </c>
      <c r="E21" s="5">
        <v>44932</v>
      </c>
      <c r="F21">
        <v>30</v>
      </c>
      <c r="G21">
        <f>AVERAGEIF(calls[Representative], calls[[#This Row],[Representative]], calls[Satisfaction Rating])</f>
        <v>3.8824999999999998</v>
      </c>
      <c r="H21" t="str">
        <f>IF(AVERAGEIF(calls[Representative],calls[[#This Row],[Representative]],calls[Satisfaction Rating])&lt;3.5,"Needs Training","OK")</f>
        <v>OK</v>
      </c>
      <c r="I21">
        <v>4.4000000000000004</v>
      </c>
      <c r="J21">
        <f>IF(MONTH(calls[[#This Row],[Date of Call]])&lt;=6, YEAR(calls[[#This Row],[Date of Call]]), YEAR(calls[[#This Row],[Date of Call]])+1)</f>
        <v>2023</v>
      </c>
      <c r="K21" t="str">
        <f>TEXT(calls[[#This Row],[Date of Call]],"DDDD")</f>
        <v>Friday</v>
      </c>
      <c r="L21" t="str" cm="1">
        <f t="array" ref="L21">_xlfn.IFS(calls[[#This Row],[Duration]]&lt;=10,"under 10 mins",calls[[#This Row],[Duration]]&lt;=30,"10 to 30mins",calls[[#This Row],[Duration]]&lt;=60,"60 to 30mins",calls[[#This Row],[Duration]]&lt;=120,"1 to 2hrs",TRUE,"More than 2 hrs")</f>
        <v>60 to 30mins</v>
      </c>
      <c r="M21">
        <f>ROUND(calls[[#This Row],[Satisfaction Rating]],0)</f>
        <v>4</v>
      </c>
      <c r="N21">
        <f>COUNTIF(calls[Customer ID], calls[[#This Row],[Customer ID]])</f>
        <v>62</v>
      </c>
      <c r="O21">
        <f>SUMIF(calls[Customer ID], calls[[#This Row],[Customer ID]], calls[Purchase Amount])</f>
        <v>6176</v>
      </c>
      <c r="P21">
        <f>calls[[#This Row],[call count]]/calls[[#This Row],[Purchase Amount]]</f>
        <v>2.0666666666666669</v>
      </c>
      <c r="Q21">
        <f>COUNTIF(calls[Customer ID],calls[[#This Row],[Customer ID]])</f>
        <v>62</v>
      </c>
      <c r="R21">
        <f>calls[[#This Row],[call count]]/calls[[#This Row],[Purchase Amount]]</f>
        <v>2.0666666666666669</v>
      </c>
      <c r="W21" s="14" t="s">
        <v>11</v>
      </c>
      <c r="X21" s="13" t="s">
        <v>1080</v>
      </c>
      <c r="Y21" s="12">
        <v>38</v>
      </c>
      <c r="Z21" s="15" t="s">
        <v>1077</v>
      </c>
    </row>
    <row r="22" spans="1:26" x14ac:dyDescent="0.4">
      <c r="A22" t="s">
        <v>46</v>
      </c>
      <c r="B22" t="s">
        <v>6</v>
      </c>
      <c r="C22">
        <v>128</v>
      </c>
      <c r="D22" s="4" t="s">
        <v>2</v>
      </c>
      <c r="E22" s="5">
        <v>44932</v>
      </c>
      <c r="F22">
        <v>72</v>
      </c>
      <c r="G22">
        <f>AVERAGEIF(calls[Representative], calls[[#This Row],[Representative]], calls[Satisfaction Rating])</f>
        <v>3.8824999999999998</v>
      </c>
      <c r="H22" t="str">
        <f>IF(AVERAGEIF(calls[Representative],calls[[#This Row],[Representative]],calls[Satisfaction Rating])&lt;3.5,"Needs Training","OK")</f>
        <v>OK</v>
      </c>
      <c r="I22">
        <v>5</v>
      </c>
      <c r="J22">
        <f>IF(MONTH(calls[[#This Row],[Date of Call]])&lt;=6, YEAR(calls[[#This Row],[Date of Call]]), YEAR(calls[[#This Row],[Date of Call]])+1)</f>
        <v>2023</v>
      </c>
      <c r="K22" t="str">
        <f>TEXT(calls[[#This Row],[Date of Call]],"DDDD")</f>
        <v>Friday</v>
      </c>
      <c r="L22" t="str" cm="1">
        <f t="array" ref="L22">_xlfn.IFS(calls[[#This Row],[Duration]]&lt;=10,"under 10 mins",calls[[#This Row],[Duration]]&lt;=30,"10 to 30mins",calls[[#This Row],[Duration]]&lt;=60,"60 to 30mins",calls[[#This Row],[Duration]]&lt;=120,"1 to 2hrs",TRUE,"More than 2 hrs")</f>
        <v>More than 2 hrs</v>
      </c>
      <c r="M22">
        <f>ROUND(calls[[#This Row],[Satisfaction Rating]],0)</f>
        <v>5</v>
      </c>
      <c r="N22">
        <f>COUNTIF(calls[Customer ID], calls[[#This Row],[Customer ID]])</f>
        <v>82</v>
      </c>
      <c r="O22">
        <f>SUMIF(calls[Customer ID], calls[[#This Row],[Customer ID]], calls[Purchase Amount])</f>
        <v>7689</v>
      </c>
      <c r="P22">
        <f>calls[[#This Row],[call count]]/calls[[#This Row],[Purchase Amount]]</f>
        <v>1.1388888888888888</v>
      </c>
      <c r="Q22">
        <f>COUNTIF(calls[Customer ID],calls[[#This Row],[Customer ID]])</f>
        <v>82</v>
      </c>
      <c r="R22">
        <f>calls[[#This Row],[call count]]/calls[[#This Row],[Purchase Amount]]</f>
        <v>1.1388888888888888</v>
      </c>
    </row>
    <row r="23" spans="1:26" x14ac:dyDescent="0.4">
      <c r="A23" t="s">
        <v>47</v>
      </c>
      <c r="B23" t="s">
        <v>6</v>
      </c>
      <c r="C23">
        <v>38</v>
      </c>
      <c r="D23" s="4" t="s">
        <v>23</v>
      </c>
      <c r="E23" s="5">
        <v>44933</v>
      </c>
      <c r="F23">
        <v>92</v>
      </c>
      <c r="G23">
        <f>AVERAGEIF(calls[Representative], calls[[#This Row],[Representative]], calls[Satisfaction Rating])</f>
        <v>3.8973118279569863</v>
      </c>
      <c r="H23" t="str">
        <f>IF(AVERAGEIF(calls[Representative],calls[[#This Row],[Representative]],calls[Satisfaction Rating])&lt;3.5,"Needs Training","OK")</f>
        <v>OK</v>
      </c>
      <c r="I23">
        <v>4.9000000000000004</v>
      </c>
      <c r="J23">
        <f>IF(MONTH(calls[[#This Row],[Date of Call]])&lt;=6, YEAR(calls[[#This Row],[Date of Call]]), YEAR(calls[[#This Row],[Date of Call]])+1)</f>
        <v>2023</v>
      </c>
      <c r="K23" t="str">
        <f>TEXT(calls[[#This Row],[Date of Call]],"DDDD")</f>
        <v>Saturday</v>
      </c>
      <c r="L23" t="str" cm="1">
        <f t="array" ref="L23">_xlfn.IFS(calls[[#This Row],[Duration]]&lt;=10,"under 10 mins",calls[[#This Row],[Duration]]&lt;=30,"10 to 30mins",calls[[#This Row],[Duration]]&lt;=60,"60 to 30mins",calls[[#This Row],[Duration]]&lt;=120,"1 to 2hrs",TRUE,"More than 2 hrs")</f>
        <v>60 to 30mins</v>
      </c>
      <c r="M23">
        <f>ROUND(calls[[#This Row],[Satisfaction Rating]],0)</f>
        <v>5</v>
      </c>
      <c r="N23">
        <f>COUNTIF(calls[Customer ID], calls[[#This Row],[Customer ID]])</f>
        <v>82</v>
      </c>
      <c r="O23">
        <f>SUMIF(calls[Customer ID], calls[[#This Row],[Customer ID]], calls[Purchase Amount])</f>
        <v>7689</v>
      </c>
      <c r="P23">
        <f>calls[[#This Row],[call count]]/calls[[#This Row],[Purchase Amount]]</f>
        <v>0.89130434782608692</v>
      </c>
      <c r="Q23">
        <f>COUNTIF(calls[Customer ID],calls[[#This Row],[Customer ID]])</f>
        <v>82</v>
      </c>
      <c r="R23">
        <f>calls[[#This Row],[call count]]/calls[[#This Row],[Purchase Amount]]</f>
        <v>0.89130434782608692</v>
      </c>
    </row>
    <row r="24" spans="1:26" x14ac:dyDescent="0.4">
      <c r="A24" t="s">
        <v>49</v>
      </c>
      <c r="B24" t="s">
        <v>1</v>
      </c>
      <c r="C24">
        <v>67</v>
      </c>
      <c r="D24" s="4" t="s">
        <v>23</v>
      </c>
      <c r="E24" s="5">
        <v>44934</v>
      </c>
      <c r="F24">
        <v>165</v>
      </c>
      <c r="G24">
        <f>AVERAGEIF(calls[Representative], calls[[#This Row],[Representative]], calls[Satisfaction Rating])</f>
        <v>3.8973118279569863</v>
      </c>
      <c r="H24" t="str">
        <f>IF(AVERAGEIF(calls[Representative],calls[[#This Row],[Representative]],calls[Satisfaction Rating])&lt;3.5,"Needs Training","OK")</f>
        <v>OK</v>
      </c>
      <c r="I24">
        <v>4.5</v>
      </c>
      <c r="J24">
        <f>IF(MONTH(calls[[#This Row],[Date of Call]])&lt;=6, YEAR(calls[[#This Row],[Date of Call]]), YEAR(calls[[#This Row],[Date of Call]])+1)</f>
        <v>2023</v>
      </c>
      <c r="K24" t="str">
        <f>TEXT(calls[[#This Row],[Date of Call]],"DDDD")</f>
        <v>Sunday</v>
      </c>
      <c r="L24" t="str" cm="1">
        <f t="array" ref="L24">_xlfn.IFS(calls[[#This Row],[Duration]]&lt;=10,"under 10 mins",calls[[#This Row],[Duration]]&lt;=30,"10 to 30mins",calls[[#This Row],[Duration]]&lt;=60,"60 to 30mins",calls[[#This Row],[Duration]]&lt;=120,"1 to 2hrs",TRUE,"More than 2 hrs")</f>
        <v>1 to 2hrs</v>
      </c>
      <c r="M24">
        <f>ROUND(calls[[#This Row],[Satisfaction Rating]],0)</f>
        <v>5</v>
      </c>
      <c r="N24">
        <f>COUNTIF(calls[Customer ID], calls[[#This Row],[Customer ID]])</f>
        <v>50</v>
      </c>
      <c r="O24">
        <f>SUMIF(calls[Customer ID], calls[[#This Row],[Customer ID]], calls[Purchase Amount])</f>
        <v>4804</v>
      </c>
      <c r="P24">
        <f>calls[[#This Row],[call count]]/calls[[#This Row],[Purchase Amount]]</f>
        <v>0.30303030303030304</v>
      </c>
      <c r="Q24">
        <f>COUNTIF(calls[Customer ID],calls[[#This Row],[Customer ID]])</f>
        <v>50</v>
      </c>
      <c r="R24">
        <f>calls[[#This Row],[call count]]/calls[[#This Row],[Purchase Amount]]</f>
        <v>0.30303030303030304</v>
      </c>
    </row>
    <row r="25" spans="1:26" x14ac:dyDescent="0.4">
      <c r="A25" t="s">
        <v>50</v>
      </c>
      <c r="B25" t="s">
        <v>51</v>
      </c>
      <c r="C25">
        <v>58</v>
      </c>
      <c r="D25" s="4" t="s">
        <v>9</v>
      </c>
      <c r="E25" s="5">
        <v>44934</v>
      </c>
      <c r="F25">
        <v>140</v>
      </c>
      <c r="G25">
        <f>AVERAGEIF(calls[Representative], calls[[#This Row],[Representative]], calls[Satisfaction Rating])</f>
        <v>3.8706422018348627</v>
      </c>
      <c r="H25" t="str">
        <f>IF(AVERAGEIF(calls[Representative],calls[[#This Row],[Representative]],calls[Satisfaction Rating])&lt;3.5,"Needs Training","OK")</f>
        <v>OK</v>
      </c>
      <c r="I25">
        <v>2.1</v>
      </c>
      <c r="J25">
        <f>IF(MONTH(calls[[#This Row],[Date of Call]])&lt;=6, YEAR(calls[[#This Row],[Date of Call]]), YEAR(calls[[#This Row],[Date of Call]])+1)</f>
        <v>2023</v>
      </c>
      <c r="K25" t="str">
        <f>TEXT(calls[[#This Row],[Date of Call]],"DDDD")</f>
        <v>Sunday</v>
      </c>
      <c r="L25" t="str" cm="1">
        <f t="array" ref="L25">_xlfn.IFS(calls[[#This Row],[Duration]]&lt;=10,"under 10 mins",calls[[#This Row],[Duration]]&lt;=30,"10 to 30mins",calls[[#This Row],[Duration]]&lt;=60,"60 to 30mins",calls[[#This Row],[Duration]]&lt;=120,"1 to 2hrs",TRUE,"More than 2 hrs")</f>
        <v>60 to 30mins</v>
      </c>
      <c r="M25">
        <f>ROUND(calls[[#This Row],[Satisfaction Rating]],0)</f>
        <v>2</v>
      </c>
      <c r="N25">
        <f>COUNTIF(calls[Customer ID], calls[[#This Row],[Customer ID]])</f>
        <v>59</v>
      </c>
      <c r="O25">
        <f>SUMIF(calls[Customer ID], calls[[#This Row],[Customer ID]], calls[Purchase Amount])</f>
        <v>6518</v>
      </c>
      <c r="P25">
        <f>calls[[#This Row],[call count]]/calls[[#This Row],[Purchase Amount]]</f>
        <v>0.42142857142857143</v>
      </c>
      <c r="Q25">
        <f>COUNTIF(calls[Customer ID],calls[[#This Row],[Customer ID]])</f>
        <v>59</v>
      </c>
      <c r="R25">
        <f>calls[[#This Row],[call count]]/calls[[#This Row],[Purchase Amount]]</f>
        <v>0.42142857142857143</v>
      </c>
    </row>
    <row r="26" spans="1:26" x14ac:dyDescent="0.4">
      <c r="A26" t="s">
        <v>52</v>
      </c>
      <c r="B26" t="s">
        <v>26</v>
      </c>
      <c r="C26">
        <v>54</v>
      </c>
      <c r="D26" s="4" t="s">
        <v>14</v>
      </c>
      <c r="E26" s="5">
        <v>44934</v>
      </c>
      <c r="F26">
        <v>111</v>
      </c>
      <c r="G26">
        <f>AVERAGEIF(calls[Representative], calls[[#This Row],[Representative]], calls[Satisfaction Rating])</f>
        <v>3.9227513227513247</v>
      </c>
      <c r="H26" t="str">
        <f>IF(AVERAGEIF(calls[Representative],calls[[#This Row],[Representative]],calls[Satisfaction Rating])&lt;3.5,"Needs Training","OK")</f>
        <v>OK</v>
      </c>
      <c r="I26">
        <v>3.3</v>
      </c>
      <c r="J26">
        <f>IF(MONTH(calls[[#This Row],[Date of Call]])&lt;=6, YEAR(calls[[#This Row],[Date of Call]]), YEAR(calls[[#This Row],[Date of Call]])+1)</f>
        <v>2023</v>
      </c>
      <c r="K26" t="str">
        <f>TEXT(calls[[#This Row],[Date of Call]],"DDDD")</f>
        <v>Sunday</v>
      </c>
      <c r="L26" t="str" cm="1">
        <f t="array" ref="L26">_xlfn.IFS(calls[[#This Row],[Duration]]&lt;=10,"under 10 mins",calls[[#This Row],[Duration]]&lt;=30,"10 to 30mins",calls[[#This Row],[Duration]]&lt;=60,"60 to 30mins",calls[[#This Row],[Duration]]&lt;=120,"1 to 2hrs",TRUE,"More than 2 hrs")</f>
        <v>60 to 30mins</v>
      </c>
      <c r="M26">
        <f>ROUND(calls[[#This Row],[Satisfaction Rating]],0)</f>
        <v>3</v>
      </c>
      <c r="N26">
        <f>COUNTIF(calls[Customer ID], calls[[#This Row],[Customer ID]])</f>
        <v>72</v>
      </c>
      <c r="O26">
        <f>SUMIF(calls[Customer ID], calls[[#This Row],[Customer ID]], calls[Purchase Amount])</f>
        <v>6242</v>
      </c>
      <c r="P26">
        <f>calls[[#This Row],[call count]]/calls[[#This Row],[Purchase Amount]]</f>
        <v>0.64864864864864868</v>
      </c>
      <c r="Q26">
        <f>COUNTIF(calls[Customer ID],calls[[#This Row],[Customer ID]])</f>
        <v>72</v>
      </c>
      <c r="R26">
        <f>calls[[#This Row],[call count]]/calls[[#This Row],[Purchase Amount]]</f>
        <v>0.64864864864864868</v>
      </c>
    </row>
    <row r="27" spans="1:26" x14ac:dyDescent="0.4">
      <c r="A27" t="s">
        <v>53</v>
      </c>
      <c r="B27" t="s">
        <v>54</v>
      </c>
      <c r="C27">
        <v>28</v>
      </c>
      <c r="D27" s="4" t="s">
        <v>2</v>
      </c>
      <c r="E27" s="5">
        <v>44935</v>
      </c>
      <c r="F27">
        <v>63</v>
      </c>
      <c r="G27">
        <f>AVERAGEIF(calls[Representative], calls[[#This Row],[Representative]], calls[Satisfaction Rating])</f>
        <v>3.8824999999999998</v>
      </c>
      <c r="H27" t="str">
        <f>IF(AVERAGEIF(calls[Representative],calls[[#This Row],[Representative]],calls[Satisfaction Rating])&lt;3.5,"Needs Training","OK")</f>
        <v>OK</v>
      </c>
      <c r="I27">
        <v>4.0999999999999996</v>
      </c>
      <c r="J27">
        <f>IF(MONTH(calls[[#This Row],[Date of Call]])&lt;=6, YEAR(calls[[#This Row],[Date of Call]]), YEAR(calls[[#This Row],[Date of Call]])+1)</f>
        <v>2023</v>
      </c>
      <c r="K27" t="str">
        <f>TEXT(calls[[#This Row],[Date of Call]],"DDDD")</f>
        <v>Monday</v>
      </c>
      <c r="L27" t="str" cm="1">
        <f t="array" ref="L27">_xlfn.IFS(calls[[#This Row],[Duration]]&lt;=10,"under 10 mins",calls[[#This Row],[Duration]]&lt;=30,"10 to 30mins",calls[[#This Row],[Duration]]&lt;=60,"60 to 30mins",calls[[#This Row],[Duration]]&lt;=120,"1 to 2hrs",TRUE,"More than 2 hrs")</f>
        <v>10 to 30mins</v>
      </c>
      <c r="M27">
        <f>ROUND(calls[[#This Row],[Satisfaction Rating]],0)</f>
        <v>4</v>
      </c>
      <c r="N27">
        <f>COUNTIF(calls[Customer ID], calls[[#This Row],[Customer ID]])</f>
        <v>70</v>
      </c>
      <c r="O27">
        <f>SUMIF(calls[Customer ID], calls[[#This Row],[Customer ID]], calls[Purchase Amount])</f>
        <v>6819</v>
      </c>
      <c r="P27">
        <f>calls[[#This Row],[call count]]/calls[[#This Row],[Purchase Amount]]</f>
        <v>1.1111111111111112</v>
      </c>
      <c r="Q27">
        <f>COUNTIF(calls[Customer ID],calls[[#This Row],[Customer ID]])</f>
        <v>70</v>
      </c>
      <c r="R27">
        <f>calls[[#This Row],[call count]]/calls[[#This Row],[Purchase Amount]]</f>
        <v>1.1111111111111112</v>
      </c>
    </row>
    <row r="28" spans="1:26" x14ac:dyDescent="0.4">
      <c r="A28" t="s">
        <v>55</v>
      </c>
      <c r="B28" t="s">
        <v>32</v>
      </c>
      <c r="C28">
        <v>73</v>
      </c>
      <c r="D28" s="4" t="s">
        <v>2</v>
      </c>
      <c r="E28" s="5">
        <v>44935</v>
      </c>
      <c r="F28">
        <v>80</v>
      </c>
      <c r="G28">
        <f>AVERAGEIF(calls[Representative], calls[[#This Row],[Representative]], calls[Satisfaction Rating])</f>
        <v>3.8824999999999998</v>
      </c>
      <c r="H28" t="str">
        <f>IF(AVERAGEIF(calls[Representative],calls[[#This Row],[Representative]],calls[Satisfaction Rating])&lt;3.5,"Needs Training","OK")</f>
        <v>OK</v>
      </c>
      <c r="I28">
        <v>4.2</v>
      </c>
      <c r="J28">
        <f>IF(MONTH(calls[[#This Row],[Date of Call]])&lt;=6, YEAR(calls[[#This Row],[Date of Call]]), YEAR(calls[[#This Row],[Date of Call]])+1)</f>
        <v>2023</v>
      </c>
      <c r="K28" t="str">
        <f>TEXT(calls[[#This Row],[Date of Call]],"DDDD")</f>
        <v>Monday</v>
      </c>
      <c r="L28" t="str" cm="1">
        <f t="array" ref="L28">_xlfn.IFS(calls[[#This Row],[Duration]]&lt;=10,"under 10 mins",calls[[#This Row],[Duration]]&lt;=30,"10 to 30mins",calls[[#This Row],[Duration]]&lt;=60,"60 to 30mins",calls[[#This Row],[Duration]]&lt;=120,"1 to 2hrs",TRUE,"More than 2 hrs")</f>
        <v>1 to 2hrs</v>
      </c>
      <c r="M28">
        <f>ROUND(calls[[#This Row],[Satisfaction Rating]],0)</f>
        <v>4</v>
      </c>
      <c r="N28">
        <f>COUNTIF(calls[Customer ID], calls[[#This Row],[Customer ID]])</f>
        <v>63</v>
      </c>
      <c r="O28">
        <f>SUMIF(calls[Customer ID], calls[[#This Row],[Customer ID]], calls[Purchase Amount])</f>
        <v>5634</v>
      </c>
      <c r="P28">
        <f>calls[[#This Row],[call count]]/calls[[#This Row],[Purchase Amount]]</f>
        <v>0.78749999999999998</v>
      </c>
      <c r="Q28">
        <f>COUNTIF(calls[Customer ID],calls[[#This Row],[Customer ID]])</f>
        <v>63</v>
      </c>
      <c r="R28">
        <f>calls[[#This Row],[call count]]/calls[[#This Row],[Purchase Amount]]</f>
        <v>0.78749999999999998</v>
      </c>
    </row>
    <row r="29" spans="1:26" x14ac:dyDescent="0.4">
      <c r="A29" t="s">
        <v>56</v>
      </c>
      <c r="B29" t="s">
        <v>13</v>
      </c>
      <c r="C29">
        <v>81</v>
      </c>
      <c r="D29" s="4" t="s">
        <v>2</v>
      </c>
      <c r="E29" s="5">
        <v>44936</v>
      </c>
      <c r="F29">
        <v>50</v>
      </c>
      <c r="G29">
        <f>AVERAGEIF(calls[Representative], calls[[#This Row],[Representative]], calls[Satisfaction Rating])</f>
        <v>3.8824999999999998</v>
      </c>
      <c r="H29" t="str">
        <f>IF(AVERAGEIF(calls[Representative],calls[[#This Row],[Representative]],calls[Satisfaction Rating])&lt;3.5,"Needs Training","OK")</f>
        <v>OK</v>
      </c>
      <c r="I29">
        <v>4.5999999999999996</v>
      </c>
      <c r="J29">
        <f>IF(MONTH(calls[[#This Row],[Date of Call]])&lt;=6, YEAR(calls[[#This Row],[Date of Call]]), YEAR(calls[[#This Row],[Date of Call]])+1)</f>
        <v>2023</v>
      </c>
      <c r="K29" t="str">
        <f>TEXT(calls[[#This Row],[Date of Call]],"DDDD")</f>
        <v>Tuesday</v>
      </c>
      <c r="L29" t="str" cm="1">
        <f t="array" ref="L29">_xlfn.IFS(calls[[#This Row],[Duration]]&lt;=10,"under 10 mins",calls[[#This Row],[Duration]]&lt;=30,"10 to 30mins",calls[[#This Row],[Duration]]&lt;=60,"60 to 30mins",calls[[#This Row],[Duration]]&lt;=120,"1 to 2hrs",TRUE,"More than 2 hrs")</f>
        <v>1 to 2hrs</v>
      </c>
      <c r="M29">
        <f>ROUND(calls[[#This Row],[Satisfaction Rating]],0)</f>
        <v>5</v>
      </c>
      <c r="N29">
        <f>COUNTIF(calls[Customer ID], calls[[#This Row],[Customer ID]])</f>
        <v>74</v>
      </c>
      <c r="O29">
        <f>SUMIF(calls[Customer ID], calls[[#This Row],[Customer ID]], calls[Purchase Amount])</f>
        <v>6749</v>
      </c>
      <c r="P29">
        <f>calls[[#This Row],[call count]]/calls[[#This Row],[Purchase Amount]]</f>
        <v>1.48</v>
      </c>
      <c r="Q29">
        <f>COUNTIF(calls[Customer ID],calls[[#This Row],[Customer ID]])</f>
        <v>74</v>
      </c>
      <c r="R29">
        <f>calls[[#This Row],[call count]]/calls[[#This Row],[Purchase Amount]]</f>
        <v>1.48</v>
      </c>
    </row>
    <row r="30" spans="1:26" x14ac:dyDescent="0.4">
      <c r="A30" t="s">
        <v>57</v>
      </c>
      <c r="B30" t="s">
        <v>40</v>
      </c>
      <c r="C30">
        <v>31</v>
      </c>
      <c r="D30" s="4" t="s">
        <v>23</v>
      </c>
      <c r="E30" s="5">
        <v>44936</v>
      </c>
      <c r="F30">
        <v>123</v>
      </c>
      <c r="G30">
        <f>AVERAGEIF(calls[Representative], calls[[#This Row],[Representative]], calls[Satisfaction Rating])</f>
        <v>3.8973118279569863</v>
      </c>
      <c r="H30" t="str">
        <f>IF(AVERAGEIF(calls[Representative],calls[[#This Row],[Representative]],calls[Satisfaction Rating])&lt;3.5,"Needs Training","OK")</f>
        <v>OK</v>
      </c>
      <c r="I30">
        <v>2.9</v>
      </c>
      <c r="J30">
        <f>IF(MONTH(calls[[#This Row],[Date of Call]])&lt;=6, YEAR(calls[[#This Row],[Date of Call]]), YEAR(calls[[#This Row],[Date of Call]])+1)</f>
        <v>2023</v>
      </c>
      <c r="K30" t="str">
        <f>TEXT(calls[[#This Row],[Date of Call]],"DDDD")</f>
        <v>Tuesday</v>
      </c>
      <c r="L30" t="str" cm="1">
        <f t="array" ref="L30">_xlfn.IFS(calls[[#This Row],[Duration]]&lt;=10,"under 10 mins",calls[[#This Row],[Duration]]&lt;=30,"10 to 30mins",calls[[#This Row],[Duration]]&lt;=60,"60 to 30mins",calls[[#This Row],[Duration]]&lt;=120,"1 to 2hrs",TRUE,"More than 2 hrs")</f>
        <v>60 to 30mins</v>
      </c>
      <c r="M30">
        <f>ROUND(calls[[#This Row],[Satisfaction Rating]],0)</f>
        <v>3</v>
      </c>
      <c r="N30">
        <f>COUNTIF(calls[Customer ID], calls[[#This Row],[Customer ID]])</f>
        <v>69</v>
      </c>
      <c r="O30">
        <f>SUMIF(calls[Customer ID], calls[[#This Row],[Customer ID]], calls[Purchase Amount])</f>
        <v>6601</v>
      </c>
      <c r="P30">
        <f>calls[[#This Row],[call count]]/calls[[#This Row],[Purchase Amount]]</f>
        <v>0.56097560975609762</v>
      </c>
      <c r="Q30">
        <f>COUNTIF(calls[Customer ID],calls[[#This Row],[Customer ID]])</f>
        <v>69</v>
      </c>
      <c r="R30">
        <f>calls[[#This Row],[call count]]/calls[[#This Row],[Purchase Amount]]</f>
        <v>0.56097560975609762</v>
      </c>
    </row>
    <row r="31" spans="1:26" x14ac:dyDescent="0.4">
      <c r="A31" t="s">
        <v>58</v>
      </c>
      <c r="B31" t="s">
        <v>51</v>
      </c>
      <c r="C31">
        <v>155</v>
      </c>
      <c r="D31" s="4" t="s">
        <v>14</v>
      </c>
      <c r="E31" s="5">
        <v>44936</v>
      </c>
      <c r="F31">
        <v>110</v>
      </c>
      <c r="G31">
        <f>AVERAGEIF(calls[Representative], calls[[#This Row],[Representative]], calls[Satisfaction Rating])</f>
        <v>3.9227513227513247</v>
      </c>
      <c r="H31" t="str">
        <f>IF(AVERAGEIF(calls[Representative],calls[[#This Row],[Representative]],calls[Satisfaction Rating])&lt;3.5,"Needs Training","OK")</f>
        <v>OK</v>
      </c>
      <c r="I31">
        <v>4.8</v>
      </c>
      <c r="J31">
        <f>IF(MONTH(calls[[#This Row],[Date of Call]])&lt;=6, YEAR(calls[[#This Row],[Date of Call]]), YEAR(calls[[#This Row],[Date of Call]])+1)</f>
        <v>2023</v>
      </c>
      <c r="K31" t="str">
        <f>TEXT(calls[[#This Row],[Date of Call]],"DDDD")</f>
        <v>Tuesday</v>
      </c>
      <c r="L31" t="str" cm="1">
        <f t="array" ref="L31">_xlfn.IFS(calls[[#This Row],[Duration]]&lt;=10,"under 10 mins",calls[[#This Row],[Duration]]&lt;=30,"10 to 30mins",calls[[#This Row],[Duration]]&lt;=60,"60 to 30mins",calls[[#This Row],[Duration]]&lt;=120,"1 to 2hrs",TRUE,"More than 2 hrs")</f>
        <v>More than 2 hrs</v>
      </c>
      <c r="M31">
        <f>ROUND(calls[[#This Row],[Satisfaction Rating]],0)</f>
        <v>5</v>
      </c>
      <c r="N31">
        <f>COUNTIF(calls[Customer ID], calls[[#This Row],[Customer ID]])</f>
        <v>59</v>
      </c>
      <c r="O31">
        <f>SUMIF(calls[Customer ID], calls[[#This Row],[Customer ID]], calls[Purchase Amount])</f>
        <v>6518</v>
      </c>
      <c r="P31">
        <f>calls[[#This Row],[call count]]/calls[[#This Row],[Purchase Amount]]</f>
        <v>0.53636363636363638</v>
      </c>
      <c r="Q31">
        <f>COUNTIF(calls[Customer ID],calls[[#This Row],[Customer ID]])</f>
        <v>59</v>
      </c>
      <c r="R31">
        <f>calls[[#This Row],[call count]]/calls[[#This Row],[Purchase Amount]]</f>
        <v>0.53636363636363638</v>
      </c>
    </row>
    <row r="32" spans="1:26" x14ac:dyDescent="0.4">
      <c r="A32" t="s">
        <v>59</v>
      </c>
      <c r="B32" t="s">
        <v>40</v>
      </c>
      <c r="C32">
        <v>80</v>
      </c>
      <c r="D32" s="4" t="s">
        <v>2</v>
      </c>
      <c r="E32" s="5">
        <v>44936</v>
      </c>
      <c r="F32">
        <v>140</v>
      </c>
      <c r="G32">
        <f>AVERAGEIF(calls[Representative], calls[[#This Row],[Representative]], calls[Satisfaction Rating])</f>
        <v>3.8824999999999998</v>
      </c>
      <c r="H32" t="str">
        <f>IF(AVERAGEIF(calls[Representative],calls[[#This Row],[Representative]],calls[Satisfaction Rating])&lt;3.5,"Needs Training","OK")</f>
        <v>OK</v>
      </c>
      <c r="I32">
        <v>4.2</v>
      </c>
      <c r="J32">
        <f>IF(MONTH(calls[[#This Row],[Date of Call]])&lt;=6, YEAR(calls[[#This Row],[Date of Call]]), YEAR(calls[[#This Row],[Date of Call]])+1)</f>
        <v>2023</v>
      </c>
      <c r="K32" t="str">
        <f>TEXT(calls[[#This Row],[Date of Call]],"DDDD")</f>
        <v>Tuesday</v>
      </c>
      <c r="L32" t="str" cm="1">
        <f t="array" ref="L32">_xlfn.IFS(calls[[#This Row],[Duration]]&lt;=10,"under 10 mins",calls[[#This Row],[Duration]]&lt;=30,"10 to 30mins",calls[[#This Row],[Duration]]&lt;=60,"60 to 30mins",calls[[#This Row],[Duration]]&lt;=120,"1 to 2hrs",TRUE,"More than 2 hrs")</f>
        <v>1 to 2hrs</v>
      </c>
      <c r="M32">
        <f>ROUND(calls[[#This Row],[Satisfaction Rating]],0)</f>
        <v>4</v>
      </c>
      <c r="N32">
        <f>COUNTIF(calls[Customer ID], calls[[#This Row],[Customer ID]])</f>
        <v>69</v>
      </c>
      <c r="O32">
        <f>SUMIF(calls[Customer ID], calls[[#This Row],[Customer ID]], calls[Purchase Amount])</f>
        <v>6601</v>
      </c>
      <c r="P32">
        <f>calls[[#This Row],[call count]]/calls[[#This Row],[Purchase Amount]]</f>
        <v>0.49285714285714288</v>
      </c>
      <c r="Q32">
        <f>COUNTIF(calls[Customer ID],calls[[#This Row],[Customer ID]])</f>
        <v>69</v>
      </c>
      <c r="R32">
        <f>calls[[#This Row],[call count]]/calls[[#This Row],[Purchase Amount]]</f>
        <v>0.49285714285714288</v>
      </c>
    </row>
    <row r="33" spans="1:18" x14ac:dyDescent="0.4">
      <c r="A33" t="s">
        <v>60</v>
      </c>
      <c r="B33" t="s">
        <v>13</v>
      </c>
      <c r="C33">
        <v>82</v>
      </c>
      <c r="D33" s="4" t="s">
        <v>2</v>
      </c>
      <c r="E33" s="5">
        <v>44938</v>
      </c>
      <c r="F33">
        <v>42</v>
      </c>
      <c r="G33">
        <f>AVERAGEIF(calls[Representative], calls[[#This Row],[Representative]], calls[Satisfaction Rating])</f>
        <v>3.8824999999999998</v>
      </c>
      <c r="H33" t="str">
        <f>IF(AVERAGEIF(calls[Representative],calls[[#This Row],[Representative]],calls[Satisfaction Rating])&lt;3.5,"Needs Training","OK")</f>
        <v>OK</v>
      </c>
      <c r="I33">
        <v>3.7</v>
      </c>
      <c r="J33">
        <f>IF(MONTH(calls[[#This Row],[Date of Call]])&lt;=6, YEAR(calls[[#This Row],[Date of Call]]), YEAR(calls[[#This Row],[Date of Call]])+1)</f>
        <v>2023</v>
      </c>
      <c r="K33" t="str">
        <f>TEXT(calls[[#This Row],[Date of Call]],"DDDD")</f>
        <v>Thursday</v>
      </c>
      <c r="L33" t="str" cm="1">
        <f t="array" ref="L33">_xlfn.IFS(calls[[#This Row],[Duration]]&lt;=10,"under 10 mins",calls[[#This Row],[Duration]]&lt;=30,"10 to 30mins",calls[[#This Row],[Duration]]&lt;=60,"60 to 30mins",calls[[#This Row],[Duration]]&lt;=120,"1 to 2hrs",TRUE,"More than 2 hrs")</f>
        <v>1 to 2hrs</v>
      </c>
      <c r="M33">
        <f>ROUND(calls[[#This Row],[Satisfaction Rating]],0)</f>
        <v>4</v>
      </c>
      <c r="N33">
        <f>COUNTIF(calls[Customer ID], calls[[#This Row],[Customer ID]])</f>
        <v>74</v>
      </c>
      <c r="O33">
        <f>SUMIF(calls[Customer ID], calls[[#This Row],[Customer ID]], calls[Purchase Amount])</f>
        <v>6749</v>
      </c>
      <c r="P33">
        <f>calls[[#This Row],[call count]]/calls[[#This Row],[Purchase Amount]]</f>
        <v>1.7619047619047619</v>
      </c>
      <c r="Q33">
        <f>COUNTIF(calls[Customer ID],calls[[#This Row],[Customer ID]])</f>
        <v>74</v>
      </c>
      <c r="R33">
        <f>calls[[#This Row],[call count]]/calls[[#This Row],[Purchase Amount]]</f>
        <v>1.7619047619047619</v>
      </c>
    </row>
    <row r="34" spans="1:18" x14ac:dyDescent="0.4">
      <c r="A34" t="s">
        <v>61</v>
      </c>
      <c r="B34" t="s">
        <v>13</v>
      </c>
      <c r="C34">
        <v>29</v>
      </c>
      <c r="D34" s="4" t="s">
        <v>14</v>
      </c>
      <c r="E34" s="5">
        <v>44938</v>
      </c>
      <c r="F34">
        <v>170</v>
      </c>
      <c r="G34">
        <f>AVERAGEIF(calls[Representative], calls[[#This Row],[Representative]], calls[Satisfaction Rating])</f>
        <v>3.9227513227513247</v>
      </c>
      <c r="H34" t="str">
        <f>IF(AVERAGEIF(calls[Representative],calls[[#This Row],[Representative]],calls[Satisfaction Rating])&lt;3.5,"Needs Training","OK")</f>
        <v>OK</v>
      </c>
      <c r="I34">
        <v>5</v>
      </c>
      <c r="J34">
        <f>IF(MONTH(calls[[#This Row],[Date of Call]])&lt;=6, YEAR(calls[[#This Row],[Date of Call]]), YEAR(calls[[#This Row],[Date of Call]])+1)</f>
        <v>2023</v>
      </c>
      <c r="K34" t="str">
        <f>TEXT(calls[[#This Row],[Date of Call]],"DDDD")</f>
        <v>Thursday</v>
      </c>
      <c r="L34" t="str" cm="1">
        <f t="array" ref="L34">_xlfn.IFS(calls[[#This Row],[Duration]]&lt;=10,"under 10 mins",calls[[#This Row],[Duration]]&lt;=30,"10 to 30mins",calls[[#This Row],[Duration]]&lt;=60,"60 to 30mins",calls[[#This Row],[Duration]]&lt;=120,"1 to 2hrs",TRUE,"More than 2 hrs")</f>
        <v>10 to 30mins</v>
      </c>
      <c r="M34">
        <f>ROUND(calls[[#This Row],[Satisfaction Rating]],0)</f>
        <v>5</v>
      </c>
      <c r="N34">
        <f>COUNTIF(calls[Customer ID], calls[[#This Row],[Customer ID]])</f>
        <v>74</v>
      </c>
      <c r="O34">
        <f>SUMIF(calls[Customer ID], calls[[#This Row],[Customer ID]], calls[Purchase Amount])</f>
        <v>6749</v>
      </c>
      <c r="P34">
        <f>calls[[#This Row],[call count]]/calls[[#This Row],[Purchase Amount]]</f>
        <v>0.43529411764705883</v>
      </c>
      <c r="Q34">
        <f>COUNTIF(calls[Customer ID],calls[[#This Row],[Customer ID]])</f>
        <v>74</v>
      </c>
      <c r="R34">
        <f>calls[[#This Row],[call count]]/calls[[#This Row],[Purchase Amount]]</f>
        <v>0.43529411764705883</v>
      </c>
    </row>
    <row r="35" spans="1:18" x14ac:dyDescent="0.4">
      <c r="A35" t="s">
        <v>62</v>
      </c>
      <c r="B35" t="s">
        <v>44</v>
      </c>
      <c r="C35">
        <v>160</v>
      </c>
      <c r="D35" s="4" t="s">
        <v>9</v>
      </c>
      <c r="E35" s="5">
        <v>44940</v>
      </c>
      <c r="F35">
        <v>105</v>
      </c>
      <c r="G35">
        <f>AVERAGEIF(calls[Representative], calls[[#This Row],[Representative]], calls[Satisfaction Rating])</f>
        <v>3.8706422018348627</v>
      </c>
      <c r="H35" t="str">
        <f>IF(AVERAGEIF(calls[Representative],calls[[#This Row],[Representative]],calls[Satisfaction Rating])&lt;3.5,"Needs Training","OK")</f>
        <v>OK</v>
      </c>
      <c r="I35">
        <v>5</v>
      </c>
      <c r="J35">
        <f>IF(MONTH(calls[[#This Row],[Date of Call]])&lt;=6, YEAR(calls[[#This Row],[Date of Call]]), YEAR(calls[[#This Row],[Date of Call]])+1)</f>
        <v>2023</v>
      </c>
      <c r="K35" t="str">
        <f>TEXT(calls[[#This Row],[Date of Call]],"DDDD")</f>
        <v>Saturday</v>
      </c>
      <c r="L35" t="str" cm="1">
        <f t="array" ref="L35">_xlfn.IFS(calls[[#This Row],[Duration]]&lt;=10,"under 10 mins",calls[[#This Row],[Duration]]&lt;=30,"10 to 30mins",calls[[#This Row],[Duration]]&lt;=60,"60 to 30mins",calls[[#This Row],[Duration]]&lt;=120,"1 to 2hrs",TRUE,"More than 2 hrs")</f>
        <v>More than 2 hrs</v>
      </c>
      <c r="M35">
        <f>ROUND(calls[[#This Row],[Satisfaction Rating]],0)</f>
        <v>5</v>
      </c>
      <c r="N35">
        <f>COUNTIF(calls[Customer ID], calls[[#This Row],[Customer ID]])</f>
        <v>62</v>
      </c>
      <c r="O35">
        <f>SUMIF(calls[Customer ID], calls[[#This Row],[Customer ID]], calls[Purchase Amount])</f>
        <v>6176</v>
      </c>
      <c r="P35">
        <f>calls[[#This Row],[call count]]/calls[[#This Row],[Purchase Amount]]</f>
        <v>0.59047619047619049</v>
      </c>
      <c r="Q35">
        <f>COUNTIF(calls[Customer ID],calls[[#This Row],[Customer ID]])</f>
        <v>62</v>
      </c>
      <c r="R35">
        <f>calls[[#This Row],[call count]]/calls[[#This Row],[Purchase Amount]]</f>
        <v>0.59047619047619049</v>
      </c>
    </row>
    <row r="36" spans="1:18" x14ac:dyDescent="0.4">
      <c r="A36" t="s">
        <v>63</v>
      </c>
      <c r="B36" t="s">
        <v>64</v>
      </c>
      <c r="C36">
        <v>105</v>
      </c>
      <c r="D36" s="4" t="s">
        <v>2</v>
      </c>
      <c r="E36" s="5">
        <v>44941</v>
      </c>
      <c r="F36">
        <v>125</v>
      </c>
      <c r="G36">
        <f>AVERAGEIF(calls[Representative], calls[[#This Row],[Representative]], calls[Satisfaction Rating])</f>
        <v>3.8824999999999998</v>
      </c>
      <c r="H36" t="str">
        <f>IF(AVERAGEIF(calls[Representative],calls[[#This Row],[Representative]],calls[Satisfaction Rating])&lt;3.5,"Needs Training","OK")</f>
        <v>OK</v>
      </c>
      <c r="I36">
        <v>4.8</v>
      </c>
      <c r="J36">
        <f>IF(MONTH(calls[[#This Row],[Date of Call]])&lt;=6, YEAR(calls[[#This Row],[Date of Call]]), YEAR(calls[[#This Row],[Date of Call]])+1)</f>
        <v>2023</v>
      </c>
      <c r="K36" t="str">
        <f>TEXT(calls[[#This Row],[Date of Call]],"DDDD")</f>
        <v>Sunday</v>
      </c>
      <c r="L36" t="str" cm="1">
        <f t="array" ref="L36">_xlfn.IFS(calls[[#This Row],[Duration]]&lt;=10,"under 10 mins",calls[[#This Row],[Duration]]&lt;=30,"10 to 30mins",calls[[#This Row],[Duration]]&lt;=60,"60 to 30mins",calls[[#This Row],[Duration]]&lt;=120,"1 to 2hrs",TRUE,"More than 2 hrs")</f>
        <v>1 to 2hrs</v>
      </c>
      <c r="M36">
        <f>ROUND(calls[[#This Row],[Satisfaction Rating]],0)</f>
        <v>5</v>
      </c>
      <c r="N36">
        <f>COUNTIF(calls[Customer ID], calls[[#This Row],[Customer ID]])</f>
        <v>65</v>
      </c>
      <c r="O36">
        <f>SUMIF(calls[Customer ID], calls[[#This Row],[Customer ID]], calls[Purchase Amount])</f>
        <v>6785</v>
      </c>
      <c r="P36">
        <f>calls[[#This Row],[call count]]/calls[[#This Row],[Purchase Amount]]</f>
        <v>0.52</v>
      </c>
      <c r="Q36">
        <f>COUNTIF(calls[Customer ID],calls[[#This Row],[Customer ID]])</f>
        <v>65</v>
      </c>
      <c r="R36">
        <f>calls[[#This Row],[call count]]/calls[[#This Row],[Purchase Amount]]</f>
        <v>0.52</v>
      </c>
    </row>
    <row r="37" spans="1:18" x14ac:dyDescent="0.4">
      <c r="A37" t="s">
        <v>65</v>
      </c>
      <c r="B37" t="s">
        <v>40</v>
      </c>
      <c r="C37">
        <v>75</v>
      </c>
      <c r="D37" s="4" t="s">
        <v>27</v>
      </c>
      <c r="E37" s="5">
        <v>44941</v>
      </c>
      <c r="F37">
        <v>26</v>
      </c>
      <c r="G37">
        <f>AVERAGEIF(calls[Representative], calls[[#This Row],[Representative]], calls[Satisfaction Rating])</f>
        <v>3.8589371980676304</v>
      </c>
      <c r="H37" t="str">
        <f>IF(AVERAGEIF(calls[Representative],calls[[#This Row],[Representative]],calls[Satisfaction Rating])&lt;3.5,"Needs Training","OK")</f>
        <v>OK</v>
      </c>
      <c r="I37">
        <v>2.4</v>
      </c>
      <c r="J37">
        <f>IF(MONTH(calls[[#This Row],[Date of Call]])&lt;=6, YEAR(calls[[#This Row],[Date of Call]]), YEAR(calls[[#This Row],[Date of Call]])+1)</f>
        <v>2023</v>
      </c>
      <c r="K37" t="str">
        <f>TEXT(calls[[#This Row],[Date of Call]],"DDDD")</f>
        <v>Sunday</v>
      </c>
      <c r="L37" t="str" cm="1">
        <f t="array" ref="L37">_xlfn.IFS(calls[[#This Row],[Duration]]&lt;=10,"under 10 mins",calls[[#This Row],[Duration]]&lt;=30,"10 to 30mins",calls[[#This Row],[Duration]]&lt;=60,"60 to 30mins",calls[[#This Row],[Duration]]&lt;=120,"1 to 2hrs",TRUE,"More than 2 hrs")</f>
        <v>1 to 2hrs</v>
      </c>
      <c r="M37">
        <f>ROUND(calls[[#This Row],[Satisfaction Rating]],0)</f>
        <v>2</v>
      </c>
      <c r="N37">
        <f>COUNTIF(calls[Customer ID], calls[[#This Row],[Customer ID]])</f>
        <v>69</v>
      </c>
      <c r="O37">
        <f>SUMIF(calls[Customer ID], calls[[#This Row],[Customer ID]], calls[Purchase Amount])</f>
        <v>6601</v>
      </c>
      <c r="P37">
        <f>calls[[#This Row],[call count]]/calls[[#This Row],[Purchase Amount]]</f>
        <v>2.6538461538461537</v>
      </c>
      <c r="Q37">
        <f>COUNTIF(calls[Customer ID],calls[[#This Row],[Customer ID]])</f>
        <v>69</v>
      </c>
      <c r="R37">
        <f>calls[[#This Row],[call count]]/calls[[#This Row],[Purchase Amount]]</f>
        <v>2.6538461538461537</v>
      </c>
    </row>
    <row r="38" spans="1:18" x14ac:dyDescent="0.4">
      <c r="A38" t="s">
        <v>66</v>
      </c>
      <c r="B38" t="s">
        <v>51</v>
      </c>
      <c r="C38">
        <v>94</v>
      </c>
      <c r="D38" s="4" t="s">
        <v>27</v>
      </c>
      <c r="E38" s="5">
        <v>44942</v>
      </c>
      <c r="F38">
        <v>120</v>
      </c>
      <c r="G38">
        <f>AVERAGEIF(calls[Representative], calls[[#This Row],[Representative]], calls[Satisfaction Rating])</f>
        <v>3.8589371980676304</v>
      </c>
      <c r="H38" t="str">
        <f>IF(AVERAGEIF(calls[Representative],calls[[#This Row],[Representative]],calls[Satisfaction Rating])&lt;3.5,"Needs Training","OK")</f>
        <v>OK</v>
      </c>
      <c r="I38">
        <v>3.1</v>
      </c>
      <c r="J38">
        <f>IF(MONTH(calls[[#This Row],[Date of Call]])&lt;=6, YEAR(calls[[#This Row],[Date of Call]]), YEAR(calls[[#This Row],[Date of Call]])+1)</f>
        <v>2023</v>
      </c>
      <c r="K38" t="str">
        <f>TEXT(calls[[#This Row],[Date of Call]],"DDDD")</f>
        <v>Monday</v>
      </c>
      <c r="L38" t="str" cm="1">
        <f t="array" ref="L38">_xlfn.IFS(calls[[#This Row],[Duration]]&lt;=10,"under 10 mins",calls[[#This Row],[Duration]]&lt;=30,"10 to 30mins",calls[[#This Row],[Duration]]&lt;=60,"60 to 30mins",calls[[#This Row],[Duration]]&lt;=120,"1 to 2hrs",TRUE,"More than 2 hrs")</f>
        <v>1 to 2hrs</v>
      </c>
      <c r="M38">
        <f>ROUND(calls[[#This Row],[Satisfaction Rating]],0)</f>
        <v>3</v>
      </c>
      <c r="N38">
        <f>COUNTIF(calls[Customer ID], calls[[#This Row],[Customer ID]])</f>
        <v>59</v>
      </c>
      <c r="O38">
        <f>SUMIF(calls[Customer ID], calls[[#This Row],[Customer ID]], calls[Purchase Amount])</f>
        <v>6518</v>
      </c>
      <c r="P38">
        <f>calls[[#This Row],[call count]]/calls[[#This Row],[Purchase Amount]]</f>
        <v>0.49166666666666664</v>
      </c>
      <c r="Q38">
        <f>COUNTIF(calls[Customer ID],calls[[#This Row],[Customer ID]])</f>
        <v>59</v>
      </c>
      <c r="R38">
        <f>calls[[#This Row],[call count]]/calls[[#This Row],[Purchase Amount]]</f>
        <v>0.49166666666666664</v>
      </c>
    </row>
    <row r="39" spans="1:18" x14ac:dyDescent="0.4">
      <c r="A39" t="s">
        <v>67</v>
      </c>
      <c r="B39" t="s">
        <v>6</v>
      </c>
      <c r="C39">
        <v>90</v>
      </c>
      <c r="D39" s="4" t="s">
        <v>9</v>
      </c>
      <c r="E39" s="5">
        <v>44942</v>
      </c>
      <c r="F39">
        <v>132</v>
      </c>
      <c r="G39">
        <f>AVERAGEIF(calls[Representative], calls[[#This Row],[Representative]], calls[Satisfaction Rating])</f>
        <v>3.8706422018348627</v>
      </c>
      <c r="H39" t="str">
        <f>IF(AVERAGEIF(calls[Representative],calls[[#This Row],[Representative]],calls[Satisfaction Rating])&lt;3.5,"Needs Training","OK")</f>
        <v>OK</v>
      </c>
      <c r="I39">
        <v>3.2</v>
      </c>
      <c r="J39">
        <f>IF(MONTH(calls[[#This Row],[Date of Call]])&lt;=6, YEAR(calls[[#This Row],[Date of Call]]), YEAR(calls[[#This Row],[Date of Call]])+1)</f>
        <v>2023</v>
      </c>
      <c r="K39" t="str">
        <f>TEXT(calls[[#This Row],[Date of Call]],"DDDD")</f>
        <v>Monday</v>
      </c>
      <c r="L39" t="str" cm="1">
        <f t="array" ref="L39">_xlfn.IFS(calls[[#This Row],[Duration]]&lt;=10,"under 10 mins",calls[[#This Row],[Duration]]&lt;=30,"10 to 30mins",calls[[#This Row],[Duration]]&lt;=60,"60 to 30mins",calls[[#This Row],[Duration]]&lt;=120,"1 to 2hrs",TRUE,"More than 2 hrs")</f>
        <v>1 to 2hrs</v>
      </c>
      <c r="M39">
        <f>ROUND(calls[[#This Row],[Satisfaction Rating]],0)</f>
        <v>3</v>
      </c>
      <c r="N39">
        <f>COUNTIF(calls[Customer ID], calls[[#This Row],[Customer ID]])</f>
        <v>82</v>
      </c>
      <c r="O39">
        <f>SUMIF(calls[Customer ID], calls[[#This Row],[Customer ID]], calls[Purchase Amount])</f>
        <v>7689</v>
      </c>
      <c r="P39">
        <f>calls[[#This Row],[call count]]/calls[[#This Row],[Purchase Amount]]</f>
        <v>0.62121212121212122</v>
      </c>
      <c r="Q39">
        <f>COUNTIF(calls[Customer ID],calls[[#This Row],[Customer ID]])</f>
        <v>82</v>
      </c>
      <c r="R39">
        <f>calls[[#This Row],[call count]]/calls[[#This Row],[Purchase Amount]]</f>
        <v>0.62121212121212122</v>
      </c>
    </row>
    <row r="40" spans="1:18" x14ac:dyDescent="0.4">
      <c r="A40" t="s">
        <v>68</v>
      </c>
      <c r="B40" t="s">
        <v>51</v>
      </c>
      <c r="C40">
        <v>81</v>
      </c>
      <c r="D40" s="4" t="s">
        <v>23</v>
      </c>
      <c r="E40" s="5">
        <v>44943</v>
      </c>
      <c r="F40">
        <v>86</v>
      </c>
      <c r="G40">
        <f>AVERAGEIF(calls[Representative], calls[[#This Row],[Representative]], calls[Satisfaction Rating])</f>
        <v>3.8973118279569863</v>
      </c>
      <c r="H40" t="str">
        <f>IF(AVERAGEIF(calls[Representative],calls[[#This Row],[Representative]],calls[Satisfaction Rating])&lt;3.5,"Needs Training","OK")</f>
        <v>OK</v>
      </c>
      <c r="I40">
        <v>2.4</v>
      </c>
      <c r="J40">
        <f>IF(MONTH(calls[[#This Row],[Date of Call]])&lt;=6, YEAR(calls[[#This Row],[Date of Call]]), YEAR(calls[[#This Row],[Date of Call]])+1)</f>
        <v>2023</v>
      </c>
      <c r="K40" t="str">
        <f>TEXT(calls[[#This Row],[Date of Call]],"DDDD")</f>
        <v>Tuesday</v>
      </c>
      <c r="L40" t="str" cm="1">
        <f t="array" ref="L40">_xlfn.IFS(calls[[#This Row],[Duration]]&lt;=10,"under 10 mins",calls[[#This Row],[Duration]]&lt;=30,"10 to 30mins",calls[[#This Row],[Duration]]&lt;=60,"60 to 30mins",calls[[#This Row],[Duration]]&lt;=120,"1 to 2hrs",TRUE,"More than 2 hrs")</f>
        <v>1 to 2hrs</v>
      </c>
      <c r="M40">
        <f>ROUND(calls[[#This Row],[Satisfaction Rating]],0)</f>
        <v>2</v>
      </c>
      <c r="N40">
        <f>COUNTIF(calls[Customer ID], calls[[#This Row],[Customer ID]])</f>
        <v>59</v>
      </c>
      <c r="O40">
        <f>SUMIF(calls[Customer ID], calls[[#This Row],[Customer ID]], calls[Purchase Amount])</f>
        <v>6518</v>
      </c>
      <c r="P40">
        <f>calls[[#This Row],[call count]]/calls[[#This Row],[Purchase Amount]]</f>
        <v>0.68604651162790697</v>
      </c>
      <c r="Q40">
        <f>COUNTIF(calls[Customer ID],calls[[#This Row],[Customer ID]])</f>
        <v>59</v>
      </c>
      <c r="R40">
        <f>calls[[#This Row],[call count]]/calls[[#This Row],[Purchase Amount]]</f>
        <v>0.68604651162790697</v>
      </c>
    </row>
    <row r="41" spans="1:18" x14ac:dyDescent="0.4">
      <c r="A41" t="s">
        <v>69</v>
      </c>
      <c r="B41" t="s">
        <v>40</v>
      </c>
      <c r="C41">
        <v>106</v>
      </c>
      <c r="D41" s="4" t="s">
        <v>2</v>
      </c>
      <c r="E41" s="5">
        <v>44943</v>
      </c>
      <c r="F41">
        <v>108</v>
      </c>
      <c r="G41">
        <f>AVERAGEIF(calls[Representative], calls[[#This Row],[Representative]], calls[Satisfaction Rating])</f>
        <v>3.8824999999999998</v>
      </c>
      <c r="H41" t="str">
        <f>IF(AVERAGEIF(calls[Representative],calls[[#This Row],[Representative]],calls[Satisfaction Rating])&lt;3.5,"Needs Training","OK")</f>
        <v>OK</v>
      </c>
      <c r="I41">
        <v>5</v>
      </c>
      <c r="J41">
        <f>IF(MONTH(calls[[#This Row],[Date of Call]])&lt;=6, YEAR(calls[[#This Row],[Date of Call]]), YEAR(calls[[#This Row],[Date of Call]])+1)</f>
        <v>2023</v>
      </c>
      <c r="K41" t="str">
        <f>TEXT(calls[[#This Row],[Date of Call]],"DDDD")</f>
        <v>Tuesday</v>
      </c>
      <c r="L41" t="str" cm="1">
        <f t="array" ref="L41">_xlfn.IFS(calls[[#This Row],[Duration]]&lt;=10,"under 10 mins",calls[[#This Row],[Duration]]&lt;=30,"10 to 30mins",calls[[#This Row],[Duration]]&lt;=60,"60 to 30mins",calls[[#This Row],[Duration]]&lt;=120,"1 to 2hrs",TRUE,"More than 2 hrs")</f>
        <v>1 to 2hrs</v>
      </c>
      <c r="M41">
        <f>ROUND(calls[[#This Row],[Satisfaction Rating]],0)</f>
        <v>5</v>
      </c>
      <c r="N41">
        <f>COUNTIF(calls[Customer ID], calls[[#This Row],[Customer ID]])</f>
        <v>69</v>
      </c>
      <c r="O41">
        <f>SUMIF(calls[Customer ID], calls[[#This Row],[Customer ID]], calls[Purchase Amount])</f>
        <v>6601</v>
      </c>
      <c r="P41">
        <f>calls[[#This Row],[call count]]/calls[[#This Row],[Purchase Amount]]</f>
        <v>0.63888888888888884</v>
      </c>
      <c r="Q41">
        <f>COUNTIF(calls[Customer ID],calls[[#This Row],[Customer ID]])</f>
        <v>69</v>
      </c>
      <c r="R41">
        <f>calls[[#This Row],[call count]]/calls[[#This Row],[Purchase Amount]]</f>
        <v>0.63888888888888884</v>
      </c>
    </row>
    <row r="42" spans="1:18" x14ac:dyDescent="0.4">
      <c r="A42" t="s">
        <v>70</v>
      </c>
      <c r="B42" t="s">
        <v>6</v>
      </c>
      <c r="C42">
        <v>74</v>
      </c>
      <c r="D42" s="4" t="s">
        <v>23</v>
      </c>
      <c r="E42" s="5">
        <v>44943</v>
      </c>
      <c r="F42">
        <v>96</v>
      </c>
      <c r="G42">
        <f>AVERAGEIF(calls[Representative], calls[[#This Row],[Representative]], calls[Satisfaction Rating])</f>
        <v>3.8973118279569863</v>
      </c>
      <c r="H42" t="str">
        <f>IF(AVERAGEIF(calls[Representative],calls[[#This Row],[Representative]],calls[Satisfaction Rating])&lt;3.5,"Needs Training","OK")</f>
        <v>OK</v>
      </c>
      <c r="I42">
        <v>4.7</v>
      </c>
      <c r="J42">
        <f>IF(MONTH(calls[[#This Row],[Date of Call]])&lt;=6, YEAR(calls[[#This Row],[Date of Call]]), YEAR(calls[[#This Row],[Date of Call]])+1)</f>
        <v>2023</v>
      </c>
      <c r="K42" t="str">
        <f>TEXT(calls[[#This Row],[Date of Call]],"DDDD")</f>
        <v>Tuesday</v>
      </c>
      <c r="L42" t="str" cm="1">
        <f t="array" ref="L42">_xlfn.IFS(calls[[#This Row],[Duration]]&lt;=10,"under 10 mins",calls[[#This Row],[Duration]]&lt;=30,"10 to 30mins",calls[[#This Row],[Duration]]&lt;=60,"60 to 30mins",calls[[#This Row],[Duration]]&lt;=120,"1 to 2hrs",TRUE,"More than 2 hrs")</f>
        <v>1 to 2hrs</v>
      </c>
      <c r="M42">
        <f>ROUND(calls[[#This Row],[Satisfaction Rating]],0)</f>
        <v>5</v>
      </c>
      <c r="N42">
        <f>COUNTIF(calls[Customer ID], calls[[#This Row],[Customer ID]])</f>
        <v>82</v>
      </c>
      <c r="O42">
        <f>SUMIF(calls[Customer ID], calls[[#This Row],[Customer ID]], calls[Purchase Amount])</f>
        <v>7689</v>
      </c>
      <c r="P42">
        <f>calls[[#This Row],[call count]]/calls[[#This Row],[Purchase Amount]]</f>
        <v>0.85416666666666663</v>
      </c>
      <c r="Q42">
        <f>COUNTIF(calls[Customer ID],calls[[#This Row],[Customer ID]])</f>
        <v>82</v>
      </c>
      <c r="R42">
        <f>calls[[#This Row],[call count]]/calls[[#This Row],[Purchase Amount]]</f>
        <v>0.85416666666666663</v>
      </c>
    </row>
    <row r="43" spans="1:18" x14ac:dyDescent="0.4">
      <c r="A43" t="s">
        <v>71</v>
      </c>
      <c r="B43" t="s">
        <v>26</v>
      </c>
      <c r="C43">
        <v>105</v>
      </c>
      <c r="D43" s="4" t="s">
        <v>9</v>
      </c>
      <c r="E43" s="5">
        <v>44944</v>
      </c>
      <c r="F43">
        <v>80</v>
      </c>
      <c r="G43">
        <f>AVERAGEIF(calls[Representative], calls[[#This Row],[Representative]], calls[Satisfaction Rating])</f>
        <v>3.8706422018348627</v>
      </c>
      <c r="H43" t="str">
        <f>IF(AVERAGEIF(calls[Representative],calls[[#This Row],[Representative]],calls[Satisfaction Rating])&lt;3.5,"Needs Training","OK")</f>
        <v>OK</v>
      </c>
      <c r="I43">
        <v>4.7</v>
      </c>
      <c r="J43">
        <f>IF(MONTH(calls[[#This Row],[Date of Call]])&lt;=6, YEAR(calls[[#This Row],[Date of Call]]), YEAR(calls[[#This Row],[Date of Call]])+1)</f>
        <v>2023</v>
      </c>
      <c r="K43" t="str">
        <f>TEXT(calls[[#This Row],[Date of Call]],"DDDD")</f>
        <v>Wednesday</v>
      </c>
      <c r="L43" t="str" cm="1">
        <f t="array" ref="L43">_xlfn.IFS(calls[[#This Row],[Duration]]&lt;=10,"under 10 mins",calls[[#This Row],[Duration]]&lt;=30,"10 to 30mins",calls[[#This Row],[Duration]]&lt;=60,"60 to 30mins",calls[[#This Row],[Duration]]&lt;=120,"1 to 2hrs",TRUE,"More than 2 hrs")</f>
        <v>1 to 2hrs</v>
      </c>
      <c r="M43">
        <f>ROUND(calls[[#This Row],[Satisfaction Rating]],0)</f>
        <v>5</v>
      </c>
      <c r="N43">
        <f>COUNTIF(calls[Customer ID], calls[[#This Row],[Customer ID]])</f>
        <v>72</v>
      </c>
      <c r="O43">
        <f>SUMIF(calls[Customer ID], calls[[#This Row],[Customer ID]], calls[Purchase Amount])</f>
        <v>6242</v>
      </c>
      <c r="P43">
        <f>calls[[#This Row],[call count]]/calls[[#This Row],[Purchase Amount]]</f>
        <v>0.9</v>
      </c>
      <c r="Q43">
        <f>COUNTIF(calls[Customer ID],calls[[#This Row],[Customer ID]])</f>
        <v>72</v>
      </c>
      <c r="R43">
        <f>calls[[#This Row],[call count]]/calls[[#This Row],[Purchase Amount]]</f>
        <v>0.9</v>
      </c>
    </row>
    <row r="44" spans="1:18" x14ac:dyDescent="0.4">
      <c r="A44" t="s">
        <v>72</v>
      </c>
      <c r="B44" t="s">
        <v>40</v>
      </c>
      <c r="C44">
        <v>89</v>
      </c>
      <c r="D44" s="4" t="s">
        <v>2</v>
      </c>
      <c r="E44" s="5">
        <v>44944</v>
      </c>
      <c r="F44">
        <v>155</v>
      </c>
      <c r="G44">
        <f>AVERAGEIF(calls[Representative], calls[[#This Row],[Representative]], calls[Satisfaction Rating])</f>
        <v>3.8824999999999998</v>
      </c>
      <c r="H44" t="str">
        <f>IF(AVERAGEIF(calls[Representative],calls[[#This Row],[Representative]],calls[Satisfaction Rating])&lt;3.5,"Needs Training","OK")</f>
        <v>OK</v>
      </c>
      <c r="I44">
        <v>4.0999999999999996</v>
      </c>
      <c r="J44">
        <f>IF(MONTH(calls[[#This Row],[Date of Call]])&lt;=6, YEAR(calls[[#This Row],[Date of Call]]), YEAR(calls[[#This Row],[Date of Call]])+1)</f>
        <v>2023</v>
      </c>
      <c r="K44" t="str">
        <f>TEXT(calls[[#This Row],[Date of Call]],"DDDD")</f>
        <v>Wednesday</v>
      </c>
      <c r="L44" t="str" cm="1">
        <f t="array" ref="L44">_xlfn.IFS(calls[[#This Row],[Duration]]&lt;=10,"under 10 mins",calls[[#This Row],[Duration]]&lt;=30,"10 to 30mins",calls[[#This Row],[Duration]]&lt;=60,"60 to 30mins",calls[[#This Row],[Duration]]&lt;=120,"1 to 2hrs",TRUE,"More than 2 hrs")</f>
        <v>1 to 2hrs</v>
      </c>
      <c r="M44">
        <f>ROUND(calls[[#This Row],[Satisfaction Rating]],0)</f>
        <v>4</v>
      </c>
      <c r="N44">
        <f>COUNTIF(calls[Customer ID], calls[[#This Row],[Customer ID]])</f>
        <v>69</v>
      </c>
      <c r="O44">
        <f>SUMIF(calls[Customer ID], calls[[#This Row],[Customer ID]], calls[Purchase Amount])</f>
        <v>6601</v>
      </c>
      <c r="P44">
        <f>calls[[#This Row],[call count]]/calls[[#This Row],[Purchase Amount]]</f>
        <v>0.44516129032258067</v>
      </c>
      <c r="Q44">
        <f>COUNTIF(calls[Customer ID],calls[[#This Row],[Customer ID]])</f>
        <v>69</v>
      </c>
      <c r="R44">
        <f>calls[[#This Row],[call count]]/calls[[#This Row],[Purchase Amount]]</f>
        <v>0.44516129032258067</v>
      </c>
    </row>
    <row r="45" spans="1:18" x14ac:dyDescent="0.4">
      <c r="A45" t="s">
        <v>73</v>
      </c>
      <c r="B45" t="s">
        <v>30</v>
      </c>
      <c r="C45">
        <v>132</v>
      </c>
      <c r="D45" s="4" t="s">
        <v>27</v>
      </c>
      <c r="E45" s="5">
        <v>44944</v>
      </c>
      <c r="F45">
        <v>168</v>
      </c>
      <c r="G45">
        <f>AVERAGEIF(calls[Representative], calls[[#This Row],[Representative]], calls[Satisfaction Rating])</f>
        <v>3.8589371980676304</v>
      </c>
      <c r="H45" t="str">
        <f>IF(AVERAGEIF(calls[Representative],calls[[#This Row],[Representative]],calls[Satisfaction Rating])&lt;3.5,"Needs Training","OK")</f>
        <v>OK</v>
      </c>
      <c r="I45">
        <v>4.0999999999999996</v>
      </c>
      <c r="J45">
        <f>IF(MONTH(calls[[#This Row],[Date of Call]])&lt;=6, YEAR(calls[[#This Row],[Date of Call]]), YEAR(calls[[#This Row],[Date of Call]])+1)</f>
        <v>2023</v>
      </c>
      <c r="K45" t="str">
        <f>TEXT(calls[[#This Row],[Date of Call]],"DDDD")</f>
        <v>Wednesday</v>
      </c>
      <c r="L45" t="str" cm="1">
        <f t="array" ref="L45">_xlfn.IFS(calls[[#This Row],[Duration]]&lt;=10,"under 10 mins",calls[[#This Row],[Duration]]&lt;=30,"10 to 30mins",calls[[#This Row],[Duration]]&lt;=60,"60 to 30mins",calls[[#This Row],[Duration]]&lt;=120,"1 to 2hrs",TRUE,"More than 2 hrs")</f>
        <v>More than 2 hrs</v>
      </c>
      <c r="M45">
        <f>ROUND(calls[[#This Row],[Satisfaction Rating]],0)</f>
        <v>4</v>
      </c>
      <c r="N45">
        <f>COUNTIF(calls[Customer ID], calls[[#This Row],[Customer ID]])</f>
        <v>69</v>
      </c>
      <c r="O45">
        <f>SUMIF(calls[Customer ID], calls[[#This Row],[Customer ID]], calls[Purchase Amount])</f>
        <v>7230</v>
      </c>
      <c r="P45">
        <f>calls[[#This Row],[call count]]/calls[[#This Row],[Purchase Amount]]</f>
        <v>0.4107142857142857</v>
      </c>
      <c r="Q45">
        <f>COUNTIF(calls[Customer ID],calls[[#This Row],[Customer ID]])</f>
        <v>69</v>
      </c>
      <c r="R45">
        <f>calls[[#This Row],[call count]]/calls[[#This Row],[Purchase Amount]]</f>
        <v>0.4107142857142857</v>
      </c>
    </row>
    <row r="46" spans="1:18" x14ac:dyDescent="0.4">
      <c r="A46" t="s">
        <v>74</v>
      </c>
      <c r="B46" t="s">
        <v>64</v>
      </c>
      <c r="C46">
        <v>105</v>
      </c>
      <c r="D46" s="4" t="s">
        <v>14</v>
      </c>
      <c r="E46" s="5">
        <v>44944</v>
      </c>
      <c r="F46">
        <v>56</v>
      </c>
      <c r="G46">
        <f>AVERAGEIF(calls[Representative], calls[[#This Row],[Representative]], calls[Satisfaction Rating])</f>
        <v>3.9227513227513247</v>
      </c>
      <c r="H46" t="str">
        <f>IF(AVERAGEIF(calls[Representative],calls[[#This Row],[Representative]],calls[Satisfaction Rating])&lt;3.5,"Needs Training","OK")</f>
        <v>OK</v>
      </c>
      <c r="I46">
        <v>3.6</v>
      </c>
      <c r="J46">
        <f>IF(MONTH(calls[[#This Row],[Date of Call]])&lt;=6, YEAR(calls[[#This Row],[Date of Call]]), YEAR(calls[[#This Row],[Date of Call]])+1)</f>
        <v>2023</v>
      </c>
      <c r="K46" t="str">
        <f>TEXT(calls[[#This Row],[Date of Call]],"DDDD")</f>
        <v>Wednesday</v>
      </c>
      <c r="L46" t="str" cm="1">
        <f t="array" ref="L46">_xlfn.IFS(calls[[#This Row],[Duration]]&lt;=10,"under 10 mins",calls[[#This Row],[Duration]]&lt;=30,"10 to 30mins",calls[[#This Row],[Duration]]&lt;=60,"60 to 30mins",calls[[#This Row],[Duration]]&lt;=120,"1 to 2hrs",TRUE,"More than 2 hrs")</f>
        <v>1 to 2hrs</v>
      </c>
      <c r="M46">
        <f>ROUND(calls[[#This Row],[Satisfaction Rating]],0)</f>
        <v>4</v>
      </c>
      <c r="N46">
        <f>COUNTIF(calls[Customer ID], calls[[#This Row],[Customer ID]])</f>
        <v>65</v>
      </c>
      <c r="O46">
        <f>SUMIF(calls[Customer ID], calls[[#This Row],[Customer ID]], calls[Purchase Amount])</f>
        <v>6785</v>
      </c>
      <c r="P46">
        <f>calls[[#This Row],[call count]]/calls[[#This Row],[Purchase Amount]]</f>
        <v>1.1607142857142858</v>
      </c>
      <c r="Q46">
        <f>COUNTIF(calls[Customer ID],calls[[#This Row],[Customer ID]])</f>
        <v>65</v>
      </c>
      <c r="R46">
        <f>calls[[#This Row],[call count]]/calls[[#This Row],[Purchase Amount]]</f>
        <v>1.1607142857142858</v>
      </c>
    </row>
    <row r="47" spans="1:18" x14ac:dyDescent="0.4">
      <c r="A47" t="s">
        <v>75</v>
      </c>
      <c r="B47" t="s">
        <v>13</v>
      </c>
      <c r="C47">
        <v>9</v>
      </c>
      <c r="D47" s="4" t="s">
        <v>27</v>
      </c>
      <c r="E47" s="5">
        <v>44945</v>
      </c>
      <c r="F47">
        <v>32</v>
      </c>
      <c r="G47">
        <f>AVERAGEIF(calls[Representative], calls[[#This Row],[Representative]], calls[Satisfaction Rating])</f>
        <v>3.8589371980676304</v>
      </c>
      <c r="H47" t="str">
        <f>IF(AVERAGEIF(calls[Representative],calls[[#This Row],[Representative]],calls[Satisfaction Rating])&lt;3.5,"Needs Training","OK")</f>
        <v>OK</v>
      </c>
      <c r="I47">
        <v>4.4000000000000004</v>
      </c>
      <c r="J47">
        <f>IF(MONTH(calls[[#This Row],[Date of Call]])&lt;=6, YEAR(calls[[#This Row],[Date of Call]]), YEAR(calls[[#This Row],[Date of Call]])+1)</f>
        <v>2023</v>
      </c>
      <c r="K47" t="str">
        <f>TEXT(calls[[#This Row],[Date of Call]],"DDDD")</f>
        <v>Thursday</v>
      </c>
      <c r="L47" t="str" cm="1">
        <f t="array" ref="L47">_xlfn.IFS(calls[[#This Row],[Duration]]&lt;=10,"under 10 mins",calls[[#This Row],[Duration]]&lt;=30,"10 to 30mins",calls[[#This Row],[Duration]]&lt;=60,"60 to 30mins",calls[[#This Row],[Duration]]&lt;=120,"1 to 2hrs",TRUE,"More than 2 hrs")</f>
        <v>under 10 mins</v>
      </c>
      <c r="M47">
        <f>ROUND(calls[[#This Row],[Satisfaction Rating]],0)</f>
        <v>4</v>
      </c>
      <c r="N47">
        <f>COUNTIF(calls[Customer ID], calls[[#This Row],[Customer ID]])</f>
        <v>74</v>
      </c>
      <c r="O47">
        <f>SUMIF(calls[Customer ID], calls[[#This Row],[Customer ID]], calls[Purchase Amount])</f>
        <v>6749</v>
      </c>
      <c r="P47">
        <f>calls[[#This Row],[call count]]/calls[[#This Row],[Purchase Amount]]</f>
        <v>2.3125</v>
      </c>
      <c r="Q47">
        <f>COUNTIF(calls[Customer ID],calls[[#This Row],[Customer ID]])</f>
        <v>74</v>
      </c>
      <c r="R47">
        <f>calls[[#This Row],[call count]]/calls[[#This Row],[Purchase Amount]]</f>
        <v>2.3125</v>
      </c>
    </row>
    <row r="48" spans="1:18" x14ac:dyDescent="0.4">
      <c r="A48" t="s">
        <v>76</v>
      </c>
      <c r="B48" t="s">
        <v>11</v>
      </c>
      <c r="C48">
        <v>131</v>
      </c>
      <c r="D48" s="4" t="s">
        <v>14</v>
      </c>
      <c r="E48" s="5">
        <v>44945</v>
      </c>
      <c r="F48">
        <v>78</v>
      </c>
      <c r="G48">
        <f>AVERAGEIF(calls[Representative], calls[[#This Row],[Representative]], calls[Satisfaction Rating])</f>
        <v>3.9227513227513247</v>
      </c>
      <c r="H48" t="str">
        <f>IF(AVERAGEIF(calls[Representative],calls[[#This Row],[Representative]],calls[Satisfaction Rating])&lt;3.5,"Needs Training","OK")</f>
        <v>OK</v>
      </c>
      <c r="I48">
        <v>4.4000000000000004</v>
      </c>
      <c r="J48">
        <f>IF(MONTH(calls[[#This Row],[Date of Call]])&lt;=6, YEAR(calls[[#This Row],[Date of Call]]), YEAR(calls[[#This Row],[Date of Call]])+1)</f>
        <v>2023</v>
      </c>
      <c r="K48" t="str">
        <f>TEXT(calls[[#This Row],[Date of Call]],"DDDD")</f>
        <v>Thursday</v>
      </c>
      <c r="L48" t="str" cm="1">
        <f t="array" ref="L48">_xlfn.IFS(calls[[#This Row],[Duration]]&lt;=10,"under 10 mins",calls[[#This Row],[Duration]]&lt;=30,"10 to 30mins",calls[[#This Row],[Duration]]&lt;=60,"60 to 30mins",calls[[#This Row],[Duration]]&lt;=120,"1 to 2hrs",TRUE,"More than 2 hrs")</f>
        <v>More than 2 hrs</v>
      </c>
      <c r="M48">
        <f>ROUND(calls[[#This Row],[Satisfaction Rating]],0)</f>
        <v>4</v>
      </c>
      <c r="N48">
        <f>COUNTIF(calls[Customer ID], calls[[#This Row],[Customer ID]])</f>
        <v>60</v>
      </c>
      <c r="O48">
        <f>SUMIF(calls[Customer ID], calls[[#This Row],[Customer ID]], calls[Purchase Amount])</f>
        <v>5404</v>
      </c>
      <c r="P48">
        <f>calls[[#This Row],[call count]]/calls[[#This Row],[Purchase Amount]]</f>
        <v>0.76923076923076927</v>
      </c>
      <c r="Q48">
        <f>COUNTIF(calls[Customer ID],calls[[#This Row],[Customer ID]])</f>
        <v>60</v>
      </c>
      <c r="R48">
        <f>calls[[#This Row],[call count]]/calls[[#This Row],[Purchase Amount]]</f>
        <v>0.76923076923076927</v>
      </c>
    </row>
    <row r="49" spans="1:18" x14ac:dyDescent="0.4">
      <c r="A49" t="s">
        <v>77</v>
      </c>
      <c r="B49" t="s">
        <v>6</v>
      </c>
      <c r="C49">
        <v>104</v>
      </c>
      <c r="D49" s="4" t="s">
        <v>2</v>
      </c>
      <c r="E49" s="5">
        <v>44945</v>
      </c>
      <c r="F49">
        <v>86</v>
      </c>
      <c r="G49">
        <f>AVERAGEIF(calls[Representative], calls[[#This Row],[Representative]], calls[Satisfaction Rating])</f>
        <v>3.8824999999999998</v>
      </c>
      <c r="H49" t="str">
        <f>IF(AVERAGEIF(calls[Representative],calls[[#This Row],[Representative]],calls[Satisfaction Rating])&lt;3.5,"Needs Training","OK")</f>
        <v>OK</v>
      </c>
      <c r="I49">
        <v>4</v>
      </c>
      <c r="J49">
        <f>IF(MONTH(calls[[#This Row],[Date of Call]])&lt;=6, YEAR(calls[[#This Row],[Date of Call]]), YEAR(calls[[#This Row],[Date of Call]])+1)</f>
        <v>2023</v>
      </c>
      <c r="K49" t="str">
        <f>TEXT(calls[[#This Row],[Date of Call]],"DDDD")</f>
        <v>Thursday</v>
      </c>
      <c r="L49" t="str" cm="1">
        <f t="array" ref="L49">_xlfn.IFS(calls[[#This Row],[Duration]]&lt;=10,"under 10 mins",calls[[#This Row],[Duration]]&lt;=30,"10 to 30mins",calls[[#This Row],[Duration]]&lt;=60,"60 to 30mins",calls[[#This Row],[Duration]]&lt;=120,"1 to 2hrs",TRUE,"More than 2 hrs")</f>
        <v>1 to 2hrs</v>
      </c>
      <c r="M49">
        <f>ROUND(calls[[#This Row],[Satisfaction Rating]],0)</f>
        <v>4</v>
      </c>
      <c r="N49">
        <f>COUNTIF(calls[Customer ID], calls[[#This Row],[Customer ID]])</f>
        <v>82</v>
      </c>
      <c r="O49">
        <f>SUMIF(calls[Customer ID], calls[[#This Row],[Customer ID]], calls[Purchase Amount])</f>
        <v>7689</v>
      </c>
      <c r="P49">
        <f>calls[[#This Row],[call count]]/calls[[#This Row],[Purchase Amount]]</f>
        <v>0.95348837209302328</v>
      </c>
      <c r="Q49">
        <f>COUNTIF(calls[Customer ID],calls[[#This Row],[Customer ID]])</f>
        <v>82</v>
      </c>
      <c r="R49">
        <f>calls[[#This Row],[call count]]/calls[[#This Row],[Purchase Amount]]</f>
        <v>0.95348837209302328</v>
      </c>
    </row>
    <row r="50" spans="1:18" x14ac:dyDescent="0.4">
      <c r="A50" t="s">
        <v>78</v>
      </c>
      <c r="B50" t="s">
        <v>1</v>
      </c>
      <c r="C50">
        <v>90</v>
      </c>
      <c r="D50" s="4" t="s">
        <v>9</v>
      </c>
      <c r="E50" s="5">
        <v>44946</v>
      </c>
      <c r="F50">
        <v>64</v>
      </c>
      <c r="G50">
        <f>AVERAGEIF(calls[Representative], calls[[#This Row],[Representative]], calls[Satisfaction Rating])</f>
        <v>3.8706422018348627</v>
      </c>
      <c r="H50" t="str">
        <f>IF(AVERAGEIF(calls[Representative],calls[[#This Row],[Representative]],calls[Satisfaction Rating])&lt;3.5,"Needs Training","OK")</f>
        <v>OK</v>
      </c>
      <c r="I50">
        <v>3.8</v>
      </c>
      <c r="J50">
        <f>IF(MONTH(calls[[#This Row],[Date of Call]])&lt;=6, YEAR(calls[[#This Row],[Date of Call]]), YEAR(calls[[#This Row],[Date of Call]])+1)</f>
        <v>2023</v>
      </c>
      <c r="K50" t="str">
        <f>TEXT(calls[[#This Row],[Date of Call]],"DDDD")</f>
        <v>Friday</v>
      </c>
      <c r="L50" t="str" cm="1">
        <f t="array" ref="L50">_xlfn.IFS(calls[[#This Row],[Duration]]&lt;=10,"under 10 mins",calls[[#This Row],[Duration]]&lt;=30,"10 to 30mins",calls[[#This Row],[Duration]]&lt;=60,"60 to 30mins",calls[[#This Row],[Duration]]&lt;=120,"1 to 2hrs",TRUE,"More than 2 hrs")</f>
        <v>1 to 2hrs</v>
      </c>
      <c r="M50">
        <f>ROUND(calls[[#This Row],[Satisfaction Rating]],0)</f>
        <v>4</v>
      </c>
      <c r="N50">
        <f>COUNTIF(calls[Customer ID], calls[[#This Row],[Customer ID]])</f>
        <v>50</v>
      </c>
      <c r="O50">
        <f>SUMIF(calls[Customer ID], calls[[#This Row],[Customer ID]], calls[Purchase Amount])</f>
        <v>4804</v>
      </c>
      <c r="P50">
        <f>calls[[#This Row],[call count]]/calls[[#This Row],[Purchase Amount]]</f>
        <v>0.78125</v>
      </c>
      <c r="Q50">
        <f>COUNTIF(calls[Customer ID],calls[[#This Row],[Customer ID]])</f>
        <v>50</v>
      </c>
      <c r="R50">
        <f>calls[[#This Row],[call count]]/calls[[#This Row],[Purchase Amount]]</f>
        <v>0.78125</v>
      </c>
    </row>
    <row r="51" spans="1:18" x14ac:dyDescent="0.4">
      <c r="A51" t="s">
        <v>79</v>
      </c>
      <c r="B51" t="s">
        <v>54</v>
      </c>
      <c r="C51">
        <v>37</v>
      </c>
      <c r="D51" s="4" t="s">
        <v>9</v>
      </c>
      <c r="E51" s="5">
        <v>44946</v>
      </c>
      <c r="F51">
        <v>96</v>
      </c>
      <c r="G51">
        <f>AVERAGEIF(calls[Representative], calls[[#This Row],[Representative]], calls[Satisfaction Rating])</f>
        <v>3.8706422018348627</v>
      </c>
      <c r="H51" t="str">
        <f>IF(AVERAGEIF(calls[Representative],calls[[#This Row],[Representative]],calls[Satisfaction Rating])&lt;3.5,"Needs Training","OK")</f>
        <v>OK</v>
      </c>
      <c r="I51">
        <v>3.6</v>
      </c>
      <c r="J51">
        <f>IF(MONTH(calls[[#This Row],[Date of Call]])&lt;=6, YEAR(calls[[#This Row],[Date of Call]]), YEAR(calls[[#This Row],[Date of Call]])+1)</f>
        <v>2023</v>
      </c>
      <c r="K51" t="str">
        <f>TEXT(calls[[#This Row],[Date of Call]],"DDDD")</f>
        <v>Friday</v>
      </c>
      <c r="L51" t="str" cm="1">
        <f t="array" ref="L51">_xlfn.IFS(calls[[#This Row],[Duration]]&lt;=10,"under 10 mins",calls[[#This Row],[Duration]]&lt;=30,"10 to 30mins",calls[[#This Row],[Duration]]&lt;=60,"60 to 30mins",calls[[#This Row],[Duration]]&lt;=120,"1 to 2hrs",TRUE,"More than 2 hrs")</f>
        <v>60 to 30mins</v>
      </c>
      <c r="M51">
        <f>ROUND(calls[[#This Row],[Satisfaction Rating]],0)</f>
        <v>4</v>
      </c>
      <c r="N51">
        <f>COUNTIF(calls[Customer ID], calls[[#This Row],[Customer ID]])</f>
        <v>70</v>
      </c>
      <c r="O51">
        <f>SUMIF(calls[Customer ID], calls[[#This Row],[Customer ID]], calls[Purchase Amount])</f>
        <v>6819</v>
      </c>
      <c r="P51">
        <f>calls[[#This Row],[call count]]/calls[[#This Row],[Purchase Amount]]</f>
        <v>0.72916666666666663</v>
      </c>
      <c r="Q51">
        <f>COUNTIF(calls[Customer ID],calls[[#This Row],[Customer ID]])</f>
        <v>70</v>
      </c>
      <c r="R51">
        <f>calls[[#This Row],[call count]]/calls[[#This Row],[Purchase Amount]]</f>
        <v>0.72916666666666663</v>
      </c>
    </row>
    <row r="52" spans="1:18" x14ac:dyDescent="0.4">
      <c r="A52" t="s">
        <v>80</v>
      </c>
      <c r="B52" t="s">
        <v>32</v>
      </c>
      <c r="C52">
        <v>149</v>
      </c>
      <c r="D52" s="4" t="s">
        <v>14</v>
      </c>
      <c r="E52" s="5">
        <v>44946</v>
      </c>
      <c r="F52">
        <v>72</v>
      </c>
      <c r="G52">
        <f>AVERAGEIF(calls[Representative], calls[[#This Row],[Representative]], calls[Satisfaction Rating])</f>
        <v>3.9227513227513247</v>
      </c>
      <c r="H52" t="str">
        <f>IF(AVERAGEIF(calls[Representative],calls[[#This Row],[Representative]],calls[Satisfaction Rating])&lt;3.5,"Needs Training","OK")</f>
        <v>OK</v>
      </c>
      <c r="I52">
        <v>4.3</v>
      </c>
      <c r="J52">
        <f>IF(MONTH(calls[[#This Row],[Date of Call]])&lt;=6, YEAR(calls[[#This Row],[Date of Call]]), YEAR(calls[[#This Row],[Date of Call]])+1)</f>
        <v>2023</v>
      </c>
      <c r="K52" t="str">
        <f>TEXT(calls[[#This Row],[Date of Call]],"DDDD")</f>
        <v>Friday</v>
      </c>
      <c r="L52" t="str" cm="1">
        <f t="array" ref="L52">_xlfn.IFS(calls[[#This Row],[Duration]]&lt;=10,"under 10 mins",calls[[#This Row],[Duration]]&lt;=30,"10 to 30mins",calls[[#This Row],[Duration]]&lt;=60,"60 to 30mins",calls[[#This Row],[Duration]]&lt;=120,"1 to 2hrs",TRUE,"More than 2 hrs")</f>
        <v>More than 2 hrs</v>
      </c>
      <c r="M52">
        <f>ROUND(calls[[#This Row],[Satisfaction Rating]],0)</f>
        <v>4</v>
      </c>
      <c r="N52">
        <f>COUNTIF(calls[Customer ID], calls[[#This Row],[Customer ID]])</f>
        <v>63</v>
      </c>
      <c r="O52">
        <f>SUMIF(calls[Customer ID], calls[[#This Row],[Customer ID]], calls[Purchase Amount])</f>
        <v>5634</v>
      </c>
      <c r="P52">
        <f>calls[[#This Row],[call count]]/calls[[#This Row],[Purchase Amount]]</f>
        <v>0.875</v>
      </c>
      <c r="Q52">
        <f>COUNTIF(calls[Customer ID],calls[[#This Row],[Customer ID]])</f>
        <v>63</v>
      </c>
      <c r="R52">
        <f>calls[[#This Row],[call count]]/calls[[#This Row],[Purchase Amount]]</f>
        <v>0.875</v>
      </c>
    </row>
    <row r="53" spans="1:18" x14ac:dyDescent="0.4">
      <c r="A53" t="s">
        <v>81</v>
      </c>
      <c r="B53" t="s">
        <v>30</v>
      </c>
      <c r="C53">
        <v>100</v>
      </c>
      <c r="D53" s="4" t="s">
        <v>23</v>
      </c>
      <c r="E53" s="5">
        <v>44947</v>
      </c>
      <c r="F53">
        <v>135</v>
      </c>
      <c r="G53">
        <f>AVERAGEIF(calls[Representative], calls[[#This Row],[Representative]], calls[Satisfaction Rating])</f>
        <v>3.8973118279569863</v>
      </c>
      <c r="H53" t="str">
        <f>IF(AVERAGEIF(calls[Representative],calls[[#This Row],[Representative]],calls[Satisfaction Rating])&lt;3.5,"Needs Training","OK")</f>
        <v>OK</v>
      </c>
      <c r="I53">
        <v>3.8</v>
      </c>
      <c r="J53">
        <f>IF(MONTH(calls[[#This Row],[Date of Call]])&lt;=6, YEAR(calls[[#This Row],[Date of Call]]), YEAR(calls[[#This Row],[Date of Call]])+1)</f>
        <v>2023</v>
      </c>
      <c r="K53" t="str">
        <f>TEXT(calls[[#This Row],[Date of Call]],"DDDD")</f>
        <v>Saturday</v>
      </c>
      <c r="L53" t="str" cm="1">
        <f t="array" ref="L53">_xlfn.IFS(calls[[#This Row],[Duration]]&lt;=10,"under 10 mins",calls[[#This Row],[Duration]]&lt;=30,"10 to 30mins",calls[[#This Row],[Duration]]&lt;=60,"60 to 30mins",calls[[#This Row],[Duration]]&lt;=120,"1 to 2hrs",TRUE,"More than 2 hrs")</f>
        <v>1 to 2hrs</v>
      </c>
      <c r="M53">
        <f>ROUND(calls[[#This Row],[Satisfaction Rating]],0)</f>
        <v>4</v>
      </c>
      <c r="N53">
        <f>COUNTIF(calls[Customer ID], calls[[#This Row],[Customer ID]])</f>
        <v>69</v>
      </c>
      <c r="O53">
        <f>SUMIF(calls[Customer ID], calls[[#This Row],[Customer ID]], calls[Purchase Amount])</f>
        <v>7230</v>
      </c>
      <c r="P53">
        <f>calls[[#This Row],[call count]]/calls[[#This Row],[Purchase Amount]]</f>
        <v>0.51111111111111107</v>
      </c>
      <c r="Q53">
        <f>COUNTIF(calls[Customer ID],calls[[#This Row],[Customer ID]])</f>
        <v>69</v>
      </c>
      <c r="R53">
        <f>calls[[#This Row],[call count]]/calls[[#This Row],[Purchase Amount]]</f>
        <v>0.51111111111111107</v>
      </c>
    </row>
    <row r="54" spans="1:18" x14ac:dyDescent="0.4">
      <c r="A54" t="s">
        <v>82</v>
      </c>
      <c r="B54" t="s">
        <v>30</v>
      </c>
      <c r="C54">
        <v>79</v>
      </c>
      <c r="D54" s="4" t="s">
        <v>27</v>
      </c>
      <c r="E54" s="5">
        <v>44947</v>
      </c>
      <c r="F54">
        <v>140</v>
      </c>
      <c r="G54">
        <f>AVERAGEIF(calls[Representative], calls[[#This Row],[Representative]], calls[Satisfaction Rating])</f>
        <v>3.8589371980676304</v>
      </c>
      <c r="H54" t="str">
        <f>IF(AVERAGEIF(calls[Representative],calls[[#This Row],[Representative]],calls[Satisfaction Rating])&lt;3.5,"Needs Training","OK")</f>
        <v>OK</v>
      </c>
      <c r="I54">
        <v>4.5</v>
      </c>
      <c r="J54">
        <f>IF(MONTH(calls[[#This Row],[Date of Call]])&lt;=6, YEAR(calls[[#This Row],[Date of Call]]), YEAR(calls[[#This Row],[Date of Call]])+1)</f>
        <v>2023</v>
      </c>
      <c r="K54" t="str">
        <f>TEXT(calls[[#This Row],[Date of Call]],"DDDD")</f>
        <v>Saturday</v>
      </c>
      <c r="L54" t="str" cm="1">
        <f t="array" ref="L54">_xlfn.IFS(calls[[#This Row],[Duration]]&lt;=10,"under 10 mins",calls[[#This Row],[Duration]]&lt;=30,"10 to 30mins",calls[[#This Row],[Duration]]&lt;=60,"60 to 30mins",calls[[#This Row],[Duration]]&lt;=120,"1 to 2hrs",TRUE,"More than 2 hrs")</f>
        <v>1 to 2hrs</v>
      </c>
      <c r="M54">
        <f>ROUND(calls[[#This Row],[Satisfaction Rating]],0)</f>
        <v>5</v>
      </c>
      <c r="N54">
        <f>COUNTIF(calls[Customer ID], calls[[#This Row],[Customer ID]])</f>
        <v>69</v>
      </c>
      <c r="O54">
        <f>SUMIF(calls[Customer ID], calls[[#This Row],[Customer ID]], calls[Purchase Amount])</f>
        <v>7230</v>
      </c>
      <c r="P54">
        <f>calls[[#This Row],[call count]]/calls[[#This Row],[Purchase Amount]]</f>
        <v>0.49285714285714288</v>
      </c>
      <c r="Q54">
        <f>COUNTIF(calls[Customer ID],calls[[#This Row],[Customer ID]])</f>
        <v>69</v>
      </c>
      <c r="R54">
        <f>calls[[#This Row],[call count]]/calls[[#This Row],[Purchase Amount]]</f>
        <v>0.49285714285714288</v>
      </c>
    </row>
    <row r="55" spans="1:18" x14ac:dyDescent="0.4">
      <c r="A55" t="s">
        <v>83</v>
      </c>
      <c r="B55" t="s">
        <v>84</v>
      </c>
      <c r="C55">
        <v>157</v>
      </c>
      <c r="D55" s="4" t="s">
        <v>14</v>
      </c>
      <c r="E55" s="5">
        <v>44947</v>
      </c>
      <c r="F55">
        <v>69</v>
      </c>
      <c r="G55">
        <f>AVERAGEIF(calls[Representative], calls[[#This Row],[Representative]], calls[Satisfaction Rating])</f>
        <v>3.9227513227513247</v>
      </c>
      <c r="H55" t="str">
        <f>IF(AVERAGEIF(calls[Representative],calls[[#This Row],[Representative]],calls[Satisfaction Rating])&lt;3.5,"Needs Training","OK")</f>
        <v>OK</v>
      </c>
      <c r="I55">
        <v>4.5</v>
      </c>
      <c r="J55">
        <f>IF(MONTH(calls[[#This Row],[Date of Call]])&lt;=6, YEAR(calls[[#This Row],[Date of Call]]), YEAR(calls[[#This Row],[Date of Call]])+1)</f>
        <v>2023</v>
      </c>
      <c r="K55" t="str">
        <f>TEXT(calls[[#This Row],[Date of Call]],"DDDD")</f>
        <v>Saturday</v>
      </c>
      <c r="L55" t="str" cm="1">
        <f t="array" ref="L55">_xlfn.IFS(calls[[#This Row],[Duration]]&lt;=10,"under 10 mins",calls[[#This Row],[Duration]]&lt;=30,"10 to 30mins",calls[[#This Row],[Duration]]&lt;=60,"60 to 30mins",calls[[#This Row],[Duration]]&lt;=120,"1 to 2hrs",TRUE,"More than 2 hrs")</f>
        <v>More than 2 hrs</v>
      </c>
      <c r="M55">
        <f>ROUND(calls[[#This Row],[Satisfaction Rating]],0)</f>
        <v>5</v>
      </c>
      <c r="N55">
        <f>COUNTIF(calls[Customer ID], calls[[#This Row],[Customer ID]])</f>
        <v>59</v>
      </c>
      <c r="O55">
        <f>SUMIF(calls[Customer ID], calls[[#This Row],[Customer ID]], calls[Purchase Amount])</f>
        <v>5009</v>
      </c>
      <c r="P55">
        <f>calls[[#This Row],[call count]]/calls[[#This Row],[Purchase Amount]]</f>
        <v>0.85507246376811596</v>
      </c>
      <c r="Q55">
        <f>COUNTIF(calls[Customer ID],calls[[#This Row],[Customer ID]])</f>
        <v>59</v>
      </c>
      <c r="R55">
        <f>calls[[#This Row],[call count]]/calls[[#This Row],[Purchase Amount]]</f>
        <v>0.85507246376811596</v>
      </c>
    </row>
    <row r="56" spans="1:18" x14ac:dyDescent="0.4">
      <c r="A56" t="s">
        <v>85</v>
      </c>
      <c r="B56" t="s">
        <v>30</v>
      </c>
      <c r="C56">
        <v>59</v>
      </c>
      <c r="D56" s="4" t="s">
        <v>2</v>
      </c>
      <c r="E56" s="5">
        <v>44948</v>
      </c>
      <c r="F56">
        <v>136</v>
      </c>
      <c r="G56">
        <f>AVERAGEIF(calls[Representative], calls[[#This Row],[Representative]], calls[Satisfaction Rating])</f>
        <v>3.8824999999999998</v>
      </c>
      <c r="H56" t="str">
        <f>IF(AVERAGEIF(calls[Representative],calls[[#This Row],[Representative]],calls[Satisfaction Rating])&lt;3.5,"Needs Training","OK")</f>
        <v>OK</v>
      </c>
      <c r="I56">
        <v>4.5999999999999996</v>
      </c>
      <c r="J56">
        <f>IF(MONTH(calls[[#This Row],[Date of Call]])&lt;=6, YEAR(calls[[#This Row],[Date of Call]]), YEAR(calls[[#This Row],[Date of Call]])+1)</f>
        <v>2023</v>
      </c>
      <c r="K56" t="str">
        <f>TEXT(calls[[#This Row],[Date of Call]],"DDDD")</f>
        <v>Sunday</v>
      </c>
      <c r="L56" t="str" cm="1">
        <f t="array" ref="L56">_xlfn.IFS(calls[[#This Row],[Duration]]&lt;=10,"under 10 mins",calls[[#This Row],[Duration]]&lt;=30,"10 to 30mins",calls[[#This Row],[Duration]]&lt;=60,"60 to 30mins",calls[[#This Row],[Duration]]&lt;=120,"1 to 2hrs",TRUE,"More than 2 hrs")</f>
        <v>60 to 30mins</v>
      </c>
      <c r="M56">
        <f>ROUND(calls[[#This Row],[Satisfaction Rating]],0)</f>
        <v>5</v>
      </c>
      <c r="N56">
        <f>COUNTIF(calls[Customer ID], calls[[#This Row],[Customer ID]])</f>
        <v>69</v>
      </c>
      <c r="O56">
        <f>SUMIF(calls[Customer ID], calls[[#This Row],[Customer ID]], calls[Purchase Amount])</f>
        <v>7230</v>
      </c>
      <c r="P56">
        <f>calls[[#This Row],[call count]]/calls[[#This Row],[Purchase Amount]]</f>
        <v>0.50735294117647056</v>
      </c>
      <c r="Q56">
        <f>COUNTIF(calls[Customer ID],calls[[#This Row],[Customer ID]])</f>
        <v>69</v>
      </c>
      <c r="R56">
        <f>calls[[#This Row],[call count]]/calls[[#This Row],[Purchase Amount]]</f>
        <v>0.50735294117647056</v>
      </c>
    </row>
    <row r="57" spans="1:18" x14ac:dyDescent="0.4">
      <c r="A57" t="s">
        <v>86</v>
      </c>
      <c r="B57" t="s">
        <v>54</v>
      </c>
      <c r="C57">
        <v>83</v>
      </c>
      <c r="D57" s="4" t="s">
        <v>14</v>
      </c>
      <c r="E57" s="5">
        <v>44948</v>
      </c>
      <c r="F57">
        <v>28</v>
      </c>
      <c r="G57">
        <f>AVERAGEIF(calls[Representative], calls[[#This Row],[Representative]], calls[Satisfaction Rating])</f>
        <v>3.9227513227513247</v>
      </c>
      <c r="H57" t="str">
        <f>IF(AVERAGEIF(calls[Representative],calls[[#This Row],[Representative]],calls[Satisfaction Rating])&lt;3.5,"Needs Training","OK")</f>
        <v>OK</v>
      </c>
      <c r="I57">
        <v>4.5</v>
      </c>
      <c r="J57">
        <f>IF(MONTH(calls[[#This Row],[Date of Call]])&lt;=6, YEAR(calls[[#This Row],[Date of Call]]), YEAR(calls[[#This Row],[Date of Call]])+1)</f>
        <v>2023</v>
      </c>
      <c r="K57" t="str">
        <f>TEXT(calls[[#This Row],[Date of Call]],"DDDD")</f>
        <v>Sunday</v>
      </c>
      <c r="L57" t="str" cm="1">
        <f t="array" ref="L57">_xlfn.IFS(calls[[#This Row],[Duration]]&lt;=10,"under 10 mins",calls[[#This Row],[Duration]]&lt;=30,"10 to 30mins",calls[[#This Row],[Duration]]&lt;=60,"60 to 30mins",calls[[#This Row],[Duration]]&lt;=120,"1 to 2hrs",TRUE,"More than 2 hrs")</f>
        <v>1 to 2hrs</v>
      </c>
      <c r="M57">
        <f>ROUND(calls[[#This Row],[Satisfaction Rating]],0)</f>
        <v>5</v>
      </c>
      <c r="N57">
        <f>COUNTIF(calls[Customer ID], calls[[#This Row],[Customer ID]])</f>
        <v>70</v>
      </c>
      <c r="O57">
        <f>SUMIF(calls[Customer ID], calls[[#This Row],[Customer ID]], calls[Purchase Amount])</f>
        <v>6819</v>
      </c>
      <c r="P57">
        <f>calls[[#This Row],[call count]]/calls[[#This Row],[Purchase Amount]]</f>
        <v>2.5</v>
      </c>
      <c r="Q57">
        <f>COUNTIF(calls[Customer ID],calls[[#This Row],[Customer ID]])</f>
        <v>70</v>
      </c>
      <c r="R57">
        <f>calls[[#This Row],[call count]]/calls[[#This Row],[Purchase Amount]]</f>
        <v>2.5</v>
      </c>
    </row>
    <row r="58" spans="1:18" x14ac:dyDescent="0.4">
      <c r="A58" t="s">
        <v>87</v>
      </c>
      <c r="B58" t="s">
        <v>84</v>
      </c>
      <c r="C58">
        <v>58</v>
      </c>
      <c r="D58" s="4" t="s">
        <v>9</v>
      </c>
      <c r="E58" s="5">
        <v>44949</v>
      </c>
      <c r="F58">
        <v>135</v>
      </c>
      <c r="G58">
        <f>AVERAGEIF(calls[Representative], calls[[#This Row],[Representative]], calls[Satisfaction Rating])</f>
        <v>3.8706422018348627</v>
      </c>
      <c r="H58" t="str">
        <f>IF(AVERAGEIF(calls[Representative],calls[[#This Row],[Representative]],calls[Satisfaction Rating])&lt;3.5,"Needs Training","OK")</f>
        <v>OK</v>
      </c>
      <c r="I58">
        <v>3.3</v>
      </c>
      <c r="J58">
        <f>IF(MONTH(calls[[#This Row],[Date of Call]])&lt;=6, YEAR(calls[[#This Row],[Date of Call]]), YEAR(calls[[#This Row],[Date of Call]])+1)</f>
        <v>2023</v>
      </c>
      <c r="K58" t="str">
        <f>TEXT(calls[[#This Row],[Date of Call]],"DDDD")</f>
        <v>Monday</v>
      </c>
      <c r="L58" t="str" cm="1">
        <f t="array" ref="L58">_xlfn.IFS(calls[[#This Row],[Duration]]&lt;=10,"under 10 mins",calls[[#This Row],[Duration]]&lt;=30,"10 to 30mins",calls[[#This Row],[Duration]]&lt;=60,"60 to 30mins",calls[[#This Row],[Duration]]&lt;=120,"1 to 2hrs",TRUE,"More than 2 hrs")</f>
        <v>60 to 30mins</v>
      </c>
      <c r="M58">
        <f>ROUND(calls[[#This Row],[Satisfaction Rating]],0)</f>
        <v>3</v>
      </c>
      <c r="N58">
        <f>COUNTIF(calls[Customer ID], calls[[#This Row],[Customer ID]])</f>
        <v>59</v>
      </c>
      <c r="O58">
        <f>SUMIF(calls[Customer ID], calls[[#This Row],[Customer ID]], calls[Purchase Amount])</f>
        <v>5009</v>
      </c>
      <c r="P58">
        <f>calls[[#This Row],[call count]]/calls[[#This Row],[Purchase Amount]]</f>
        <v>0.43703703703703706</v>
      </c>
      <c r="Q58">
        <f>COUNTIF(calls[Customer ID],calls[[#This Row],[Customer ID]])</f>
        <v>59</v>
      </c>
      <c r="R58">
        <f>calls[[#This Row],[call count]]/calls[[#This Row],[Purchase Amount]]</f>
        <v>0.43703703703703706</v>
      </c>
    </row>
    <row r="59" spans="1:18" x14ac:dyDescent="0.4">
      <c r="A59" t="s">
        <v>88</v>
      </c>
      <c r="B59" t="s">
        <v>51</v>
      </c>
      <c r="C59">
        <v>118</v>
      </c>
      <c r="D59" s="4" t="s">
        <v>9</v>
      </c>
      <c r="E59" s="5">
        <v>44949</v>
      </c>
      <c r="F59">
        <v>126</v>
      </c>
      <c r="G59">
        <f>AVERAGEIF(calls[Representative], calls[[#This Row],[Representative]], calls[Satisfaction Rating])</f>
        <v>3.8706422018348627</v>
      </c>
      <c r="H59" t="str">
        <f>IF(AVERAGEIF(calls[Representative],calls[[#This Row],[Representative]],calls[Satisfaction Rating])&lt;3.5,"Needs Training","OK")</f>
        <v>OK</v>
      </c>
      <c r="I59">
        <v>2.2999999999999998</v>
      </c>
      <c r="J59">
        <f>IF(MONTH(calls[[#This Row],[Date of Call]])&lt;=6, YEAR(calls[[#This Row],[Date of Call]]), YEAR(calls[[#This Row],[Date of Call]])+1)</f>
        <v>2023</v>
      </c>
      <c r="K59" t="str">
        <f>TEXT(calls[[#This Row],[Date of Call]],"DDDD")</f>
        <v>Monday</v>
      </c>
      <c r="L59" t="str" cm="1">
        <f t="array" ref="L59">_xlfn.IFS(calls[[#This Row],[Duration]]&lt;=10,"under 10 mins",calls[[#This Row],[Duration]]&lt;=30,"10 to 30mins",calls[[#This Row],[Duration]]&lt;=60,"60 to 30mins",calls[[#This Row],[Duration]]&lt;=120,"1 to 2hrs",TRUE,"More than 2 hrs")</f>
        <v>1 to 2hrs</v>
      </c>
      <c r="M59">
        <f>ROUND(calls[[#This Row],[Satisfaction Rating]],0)</f>
        <v>2</v>
      </c>
      <c r="N59">
        <f>COUNTIF(calls[Customer ID], calls[[#This Row],[Customer ID]])</f>
        <v>59</v>
      </c>
      <c r="O59">
        <f>SUMIF(calls[Customer ID], calls[[#This Row],[Customer ID]], calls[Purchase Amount])</f>
        <v>6518</v>
      </c>
      <c r="P59">
        <f>calls[[#This Row],[call count]]/calls[[#This Row],[Purchase Amount]]</f>
        <v>0.46825396825396826</v>
      </c>
      <c r="Q59">
        <f>COUNTIF(calls[Customer ID],calls[[#This Row],[Customer ID]])</f>
        <v>59</v>
      </c>
      <c r="R59">
        <f>calls[[#This Row],[call count]]/calls[[#This Row],[Purchase Amount]]</f>
        <v>0.46825396825396826</v>
      </c>
    </row>
    <row r="60" spans="1:18" x14ac:dyDescent="0.4">
      <c r="A60" t="s">
        <v>89</v>
      </c>
      <c r="B60" t="s">
        <v>13</v>
      </c>
      <c r="C60">
        <v>63</v>
      </c>
      <c r="D60" s="4" t="s">
        <v>2</v>
      </c>
      <c r="E60" s="5">
        <v>44949</v>
      </c>
      <c r="F60">
        <v>160</v>
      </c>
      <c r="G60">
        <f>AVERAGEIF(calls[Representative], calls[[#This Row],[Representative]], calls[Satisfaction Rating])</f>
        <v>3.8824999999999998</v>
      </c>
      <c r="H60" t="str">
        <f>IF(AVERAGEIF(calls[Representative],calls[[#This Row],[Representative]],calls[Satisfaction Rating])&lt;3.5,"Needs Training","OK")</f>
        <v>OK</v>
      </c>
      <c r="I60">
        <v>4.3</v>
      </c>
      <c r="J60">
        <f>IF(MONTH(calls[[#This Row],[Date of Call]])&lt;=6, YEAR(calls[[#This Row],[Date of Call]]), YEAR(calls[[#This Row],[Date of Call]])+1)</f>
        <v>2023</v>
      </c>
      <c r="K60" t="str">
        <f>TEXT(calls[[#This Row],[Date of Call]],"DDDD")</f>
        <v>Monday</v>
      </c>
      <c r="L60" t="str" cm="1">
        <f t="array" ref="L60">_xlfn.IFS(calls[[#This Row],[Duration]]&lt;=10,"under 10 mins",calls[[#This Row],[Duration]]&lt;=30,"10 to 30mins",calls[[#This Row],[Duration]]&lt;=60,"60 to 30mins",calls[[#This Row],[Duration]]&lt;=120,"1 to 2hrs",TRUE,"More than 2 hrs")</f>
        <v>1 to 2hrs</v>
      </c>
      <c r="M60">
        <f>ROUND(calls[[#This Row],[Satisfaction Rating]],0)</f>
        <v>4</v>
      </c>
      <c r="N60">
        <f>COUNTIF(calls[Customer ID], calls[[#This Row],[Customer ID]])</f>
        <v>74</v>
      </c>
      <c r="O60">
        <f>SUMIF(calls[Customer ID], calls[[#This Row],[Customer ID]], calls[Purchase Amount])</f>
        <v>6749</v>
      </c>
      <c r="P60">
        <f>calls[[#This Row],[call count]]/calls[[#This Row],[Purchase Amount]]</f>
        <v>0.46250000000000002</v>
      </c>
      <c r="Q60">
        <f>COUNTIF(calls[Customer ID],calls[[#This Row],[Customer ID]])</f>
        <v>74</v>
      </c>
      <c r="R60">
        <f>calls[[#This Row],[call count]]/calls[[#This Row],[Purchase Amount]]</f>
        <v>0.46250000000000002</v>
      </c>
    </row>
    <row r="61" spans="1:18" x14ac:dyDescent="0.4">
      <c r="A61" t="s">
        <v>90</v>
      </c>
      <c r="B61" t="s">
        <v>84</v>
      </c>
      <c r="C61">
        <v>95</v>
      </c>
      <c r="D61" s="4" t="s">
        <v>9</v>
      </c>
      <c r="E61" s="5">
        <v>44950</v>
      </c>
      <c r="F61">
        <v>48</v>
      </c>
      <c r="G61">
        <f>AVERAGEIF(calls[Representative], calls[[#This Row],[Representative]], calls[Satisfaction Rating])</f>
        <v>3.8706422018348627</v>
      </c>
      <c r="H61" t="str">
        <f>IF(AVERAGEIF(calls[Representative],calls[[#This Row],[Representative]],calls[Satisfaction Rating])&lt;3.5,"Needs Training","OK")</f>
        <v>OK</v>
      </c>
      <c r="I61">
        <v>4.5999999999999996</v>
      </c>
      <c r="J61">
        <f>IF(MONTH(calls[[#This Row],[Date of Call]])&lt;=6, YEAR(calls[[#This Row],[Date of Call]]), YEAR(calls[[#This Row],[Date of Call]])+1)</f>
        <v>2023</v>
      </c>
      <c r="K61" t="str">
        <f>TEXT(calls[[#This Row],[Date of Call]],"DDDD")</f>
        <v>Tuesday</v>
      </c>
      <c r="L61" t="str" cm="1">
        <f t="array" ref="L61">_xlfn.IFS(calls[[#This Row],[Duration]]&lt;=10,"under 10 mins",calls[[#This Row],[Duration]]&lt;=30,"10 to 30mins",calls[[#This Row],[Duration]]&lt;=60,"60 to 30mins",calls[[#This Row],[Duration]]&lt;=120,"1 to 2hrs",TRUE,"More than 2 hrs")</f>
        <v>1 to 2hrs</v>
      </c>
      <c r="M61">
        <f>ROUND(calls[[#This Row],[Satisfaction Rating]],0)</f>
        <v>5</v>
      </c>
      <c r="N61">
        <f>COUNTIF(calls[Customer ID], calls[[#This Row],[Customer ID]])</f>
        <v>59</v>
      </c>
      <c r="O61">
        <f>SUMIF(calls[Customer ID], calls[[#This Row],[Customer ID]], calls[Purchase Amount])</f>
        <v>5009</v>
      </c>
      <c r="P61">
        <f>calls[[#This Row],[call count]]/calls[[#This Row],[Purchase Amount]]</f>
        <v>1.2291666666666667</v>
      </c>
      <c r="Q61">
        <f>COUNTIF(calls[Customer ID],calls[[#This Row],[Customer ID]])</f>
        <v>59</v>
      </c>
      <c r="R61">
        <f>calls[[#This Row],[call count]]/calls[[#This Row],[Purchase Amount]]</f>
        <v>1.2291666666666667</v>
      </c>
    </row>
    <row r="62" spans="1:18" x14ac:dyDescent="0.4">
      <c r="A62" t="s">
        <v>91</v>
      </c>
      <c r="B62" t="s">
        <v>30</v>
      </c>
      <c r="C62">
        <v>74</v>
      </c>
      <c r="D62" s="4" t="s">
        <v>14</v>
      </c>
      <c r="E62" s="5">
        <v>44950</v>
      </c>
      <c r="F62">
        <v>66</v>
      </c>
      <c r="G62">
        <f>AVERAGEIF(calls[Representative], calls[[#This Row],[Representative]], calls[Satisfaction Rating])</f>
        <v>3.9227513227513247</v>
      </c>
      <c r="H62" t="str">
        <f>IF(AVERAGEIF(calls[Representative],calls[[#This Row],[Representative]],calls[Satisfaction Rating])&lt;3.5,"Needs Training","OK")</f>
        <v>OK</v>
      </c>
      <c r="I62">
        <v>4</v>
      </c>
      <c r="J62">
        <f>IF(MONTH(calls[[#This Row],[Date of Call]])&lt;=6, YEAR(calls[[#This Row],[Date of Call]]), YEAR(calls[[#This Row],[Date of Call]])+1)</f>
        <v>2023</v>
      </c>
      <c r="K62" t="str">
        <f>TEXT(calls[[#This Row],[Date of Call]],"DDDD")</f>
        <v>Tuesday</v>
      </c>
      <c r="L62" t="str" cm="1">
        <f t="array" ref="L62">_xlfn.IFS(calls[[#This Row],[Duration]]&lt;=10,"under 10 mins",calls[[#This Row],[Duration]]&lt;=30,"10 to 30mins",calls[[#This Row],[Duration]]&lt;=60,"60 to 30mins",calls[[#This Row],[Duration]]&lt;=120,"1 to 2hrs",TRUE,"More than 2 hrs")</f>
        <v>1 to 2hrs</v>
      </c>
      <c r="M62">
        <f>ROUND(calls[[#This Row],[Satisfaction Rating]],0)</f>
        <v>4</v>
      </c>
      <c r="N62">
        <f>COUNTIF(calls[Customer ID], calls[[#This Row],[Customer ID]])</f>
        <v>69</v>
      </c>
      <c r="O62">
        <f>SUMIF(calls[Customer ID], calls[[#This Row],[Customer ID]], calls[Purchase Amount])</f>
        <v>7230</v>
      </c>
      <c r="P62">
        <f>calls[[#This Row],[call count]]/calls[[#This Row],[Purchase Amount]]</f>
        <v>1.0454545454545454</v>
      </c>
      <c r="Q62">
        <f>COUNTIF(calls[Customer ID],calls[[#This Row],[Customer ID]])</f>
        <v>69</v>
      </c>
      <c r="R62">
        <f>calls[[#This Row],[call count]]/calls[[#This Row],[Purchase Amount]]</f>
        <v>1.0454545454545454</v>
      </c>
    </row>
    <row r="63" spans="1:18" x14ac:dyDescent="0.4">
      <c r="A63" t="s">
        <v>92</v>
      </c>
      <c r="B63" t="s">
        <v>26</v>
      </c>
      <c r="C63">
        <v>130</v>
      </c>
      <c r="D63" s="4" t="s">
        <v>23</v>
      </c>
      <c r="E63" s="5">
        <v>44950</v>
      </c>
      <c r="F63">
        <v>126</v>
      </c>
      <c r="G63">
        <f>AVERAGEIF(calls[Representative], calls[[#This Row],[Representative]], calls[Satisfaction Rating])</f>
        <v>3.8973118279569863</v>
      </c>
      <c r="H63" t="str">
        <f>IF(AVERAGEIF(calls[Representative],calls[[#This Row],[Representative]],calls[Satisfaction Rating])&lt;3.5,"Needs Training","OK")</f>
        <v>OK</v>
      </c>
      <c r="I63">
        <v>2.5</v>
      </c>
      <c r="J63">
        <f>IF(MONTH(calls[[#This Row],[Date of Call]])&lt;=6, YEAR(calls[[#This Row],[Date of Call]]), YEAR(calls[[#This Row],[Date of Call]])+1)</f>
        <v>2023</v>
      </c>
      <c r="K63" t="str">
        <f>TEXT(calls[[#This Row],[Date of Call]],"DDDD")</f>
        <v>Tuesday</v>
      </c>
      <c r="L63" t="str" cm="1">
        <f t="array" ref="L63">_xlfn.IFS(calls[[#This Row],[Duration]]&lt;=10,"under 10 mins",calls[[#This Row],[Duration]]&lt;=30,"10 to 30mins",calls[[#This Row],[Duration]]&lt;=60,"60 to 30mins",calls[[#This Row],[Duration]]&lt;=120,"1 to 2hrs",TRUE,"More than 2 hrs")</f>
        <v>More than 2 hrs</v>
      </c>
      <c r="M63">
        <f>ROUND(calls[[#This Row],[Satisfaction Rating]],0)</f>
        <v>3</v>
      </c>
      <c r="N63">
        <f>COUNTIF(calls[Customer ID], calls[[#This Row],[Customer ID]])</f>
        <v>72</v>
      </c>
      <c r="O63">
        <f>SUMIF(calls[Customer ID], calls[[#This Row],[Customer ID]], calls[Purchase Amount])</f>
        <v>6242</v>
      </c>
      <c r="P63">
        <f>calls[[#This Row],[call count]]/calls[[#This Row],[Purchase Amount]]</f>
        <v>0.5714285714285714</v>
      </c>
      <c r="Q63">
        <f>COUNTIF(calls[Customer ID],calls[[#This Row],[Customer ID]])</f>
        <v>72</v>
      </c>
      <c r="R63">
        <f>calls[[#This Row],[call count]]/calls[[#This Row],[Purchase Amount]]</f>
        <v>0.5714285714285714</v>
      </c>
    </row>
    <row r="64" spans="1:18" x14ac:dyDescent="0.4">
      <c r="A64" t="s">
        <v>93</v>
      </c>
      <c r="B64" t="s">
        <v>51</v>
      </c>
      <c r="C64">
        <v>110</v>
      </c>
      <c r="D64" s="4" t="s">
        <v>27</v>
      </c>
      <c r="E64" s="5">
        <v>44950</v>
      </c>
      <c r="F64">
        <v>96</v>
      </c>
      <c r="G64">
        <f>AVERAGEIF(calls[Representative], calls[[#This Row],[Representative]], calls[Satisfaction Rating])</f>
        <v>3.8589371980676304</v>
      </c>
      <c r="H64" t="str">
        <f>IF(AVERAGEIF(calls[Representative],calls[[#This Row],[Representative]],calls[Satisfaction Rating])&lt;3.5,"Needs Training","OK")</f>
        <v>OK</v>
      </c>
      <c r="I64">
        <v>5</v>
      </c>
      <c r="J64">
        <f>IF(MONTH(calls[[#This Row],[Date of Call]])&lt;=6, YEAR(calls[[#This Row],[Date of Call]]), YEAR(calls[[#This Row],[Date of Call]])+1)</f>
        <v>2023</v>
      </c>
      <c r="K64" t="str">
        <f>TEXT(calls[[#This Row],[Date of Call]],"DDDD")</f>
        <v>Tuesday</v>
      </c>
      <c r="L64" t="str" cm="1">
        <f t="array" ref="L64">_xlfn.IFS(calls[[#This Row],[Duration]]&lt;=10,"under 10 mins",calls[[#This Row],[Duration]]&lt;=30,"10 to 30mins",calls[[#This Row],[Duration]]&lt;=60,"60 to 30mins",calls[[#This Row],[Duration]]&lt;=120,"1 to 2hrs",TRUE,"More than 2 hrs")</f>
        <v>1 to 2hrs</v>
      </c>
      <c r="M64">
        <f>ROUND(calls[[#This Row],[Satisfaction Rating]],0)</f>
        <v>5</v>
      </c>
      <c r="N64">
        <f>COUNTIF(calls[Customer ID], calls[[#This Row],[Customer ID]])</f>
        <v>59</v>
      </c>
      <c r="O64">
        <f>SUMIF(calls[Customer ID], calls[[#This Row],[Customer ID]], calls[Purchase Amount])</f>
        <v>6518</v>
      </c>
      <c r="P64">
        <f>calls[[#This Row],[call count]]/calls[[#This Row],[Purchase Amount]]</f>
        <v>0.61458333333333337</v>
      </c>
      <c r="Q64">
        <f>COUNTIF(calls[Customer ID],calls[[#This Row],[Customer ID]])</f>
        <v>59</v>
      </c>
      <c r="R64">
        <f>calls[[#This Row],[call count]]/calls[[#This Row],[Purchase Amount]]</f>
        <v>0.61458333333333337</v>
      </c>
    </row>
    <row r="65" spans="1:18" x14ac:dyDescent="0.4">
      <c r="A65" t="s">
        <v>94</v>
      </c>
      <c r="B65" t="s">
        <v>30</v>
      </c>
      <c r="C65">
        <v>71</v>
      </c>
      <c r="D65" s="4" t="s">
        <v>2</v>
      </c>
      <c r="E65" s="5">
        <v>44951</v>
      </c>
      <c r="F65">
        <v>90</v>
      </c>
      <c r="G65">
        <f>AVERAGEIF(calls[Representative], calls[[#This Row],[Representative]], calls[Satisfaction Rating])</f>
        <v>3.8824999999999998</v>
      </c>
      <c r="H65" t="str">
        <f>IF(AVERAGEIF(calls[Representative],calls[[#This Row],[Representative]],calls[Satisfaction Rating])&lt;3.5,"Needs Training","OK")</f>
        <v>OK</v>
      </c>
      <c r="I65">
        <v>3.8</v>
      </c>
      <c r="J65">
        <f>IF(MONTH(calls[[#This Row],[Date of Call]])&lt;=6, YEAR(calls[[#This Row],[Date of Call]]), YEAR(calls[[#This Row],[Date of Call]])+1)</f>
        <v>2023</v>
      </c>
      <c r="K65" t="str">
        <f>TEXT(calls[[#This Row],[Date of Call]],"DDDD")</f>
        <v>Wednesday</v>
      </c>
      <c r="L65" t="str" cm="1">
        <f t="array" ref="L65">_xlfn.IFS(calls[[#This Row],[Duration]]&lt;=10,"under 10 mins",calls[[#This Row],[Duration]]&lt;=30,"10 to 30mins",calls[[#This Row],[Duration]]&lt;=60,"60 to 30mins",calls[[#This Row],[Duration]]&lt;=120,"1 to 2hrs",TRUE,"More than 2 hrs")</f>
        <v>1 to 2hrs</v>
      </c>
      <c r="M65">
        <f>ROUND(calls[[#This Row],[Satisfaction Rating]],0)</f>
        <v>4</v>
      </c>
      <c r="N65">
        <f>COUNTIF(calls[Customer ID], calls[[#This Row],[Customer ID]])</f>
        <v>69</v>
      </c>
      <c r="O65">
        <f>SUMIF(calls[Customer ID], calls[[#This Row],[Customer ID]], calls[Purchase Amount])</f>
        <v>7230</v>
      </c>
      <c r="P65">
        <f>calls[[#This Row],[call count]]/calls[[#This Row],[Purchase Amount]]</f>
        <v>0.76666666666666672</v>
      </c>
      <c r="Q65">
        <f>COUNTIF(calls[Customer ID],calls[[#This Row],[Customer ID]])</f>
        <v>69</v>
      </c>
      <c r="R65">
        <f>calls[[#This Row],[call count]]/calls[[#This Row],[Purchase Amount]]</f>
        <v>0.76666666666666672</v>
      </c>
    </row>
    <row r="66" spans="1:18" x14ac:dyDescent="0.4">
      <c r="A66" t="s">
        <v>95</v>
      </c>
      <c r="B66" t="s">
        <v>64</v>
      </c>
      <c r="C66">
        <v>147</v>
      </c>
      <c r="D66" s="4" t="s">
        <v>23</v>
      </c>
      <c r="E66" s="5">
        <v>44951</v>
      </c>
      <c r="F66">
        <v>105</v>
      </c>
      <c r="G66">
        <f>AVERAGEIF(calls[Representative], calls[[#This Row],[Representative]], calls[Satisfaction Rating])</f>
        <v>3.8973118279569863</v>
      </c>
      <c r="H66" t="str">
        <f>IF(AVERAGEIF(calls[Representative],calls[[#This Row],[Representative]],calls[Satisfaction Rating])&lt;3.5,"Needs Training","OK")</f>
        <v>OK</v>
      </c>
      <c r="I66">
        <v>4.4000000000000004</v>
      </c>
      <c r="J66">
        <f>IF(MONTH(calls[[#This Row],[Date of Call]])&lt;=6, YEAR(calls[[#This Row],[Date of Call]]), YEAR(calls[[#This Row],[Date of Call]])+1)</f>
        <v>2023</v>
      </c>
      <c r="K66" t="str">
        <f>TEXT(calls[[#This Row],[Date of Call]],"DDDD")</f>
        <v>Wednesday</v>
      </c>
      <c r="L66" t="str" cm="1">
        <f t="array" ref="L66">_xlfn.IFS(calls[[#This Row],[Duration]]&lt;=10,"under 10 mins",calls[[#This Row],[Duration]]&lt;=30,"10 to 30mins",calls[[#This Row],[Duration]]&lt;=60,"60 to 30mins",calls[[#This Row],[Duration]]&lt;=120,"1 to 2hrs",TRUE,"More than 2 hrs")</f>
        <v>More than 2 hrs</v>
      </c>
      <c r="M66">
        <f>ROUND(calls[[#This Row],[Satisfaction Rating]],0)</f>
        <v>4</v>
      </c>
      <c r="N66">
        <f>COUNTIF(calls[Customer ID], calls[[#This Row],[Customer ID]])</f>
        <v>65</v>
      </c>
      <c r="O66">
        <f>SUMIF(calls[Customer ID], calls[[#This Row],[Customer ID]], calls[Purchase Amount])</f>
        <v>6785</v>
      </c>
      <c r="P66">
        <f>calls[[#This Row],[call count]]/calls[[#This Row],[Purchase Amount]]</f>
        <v>0.61904761904761907</v>
      </c>
      <c r="Q66">
        <f>COUNTIF(calls[Customer ID],calls[[#This Row],[Customer ID]])</f>
        <v>65</v>
      </c>
      <c r="R66">
        <f>calls[[#This Row],[call count]]/calls[[#This Row],[Purchase Amount]]</f>
        <v>0.61904761904761907</v>
      </c>
    </row>
    <row r="67" spans="1:18" x14ac:dyDescent="0.4">
      <c r="A67" t="s">
        <v>96</v>
      </c>
      <c r="B67" t="s">
        <v>6</v>
      </c>
      <c r="C67">
        <v>69</v>
      </c>
      <c r="D67" s="4" t="s">
        <v>9</v>
      </c>
      <c r="E67" s="5">
        <v>44952</v>
      </c>
      <c r="F67">
        <v>40</v>
      </c>
      <c r="G67">
        <f>AVERAGEIF(calls[Representative], calls[[#This Row],[Representative]], calls[Satisfaction Rating])</f>
        <v>3.8706422018348627</v>
      </c>
      <c r="H67" t="str">
        <f>IF(AVERAGEIF(calls[Representative],calls[[#This Row],[Representative]],calls[Satisfaction Rating])&lt;3.5,"Needs Training","OK")</f>
        <v>OK</v>
      </c>
      <c r="I67">
        <v>3.8</v>
      </c>
      <c r="J67">
        <f>IF(MONTH(calls[[#This Row],[Date of Call]])&lt;=6, YEAR(calls[[#This Row],[Date of Call]]), YEAR(calls[[#This Row],[Date of Call]])+1)</f>
        <v>2023</v>
      </c>
      <c r="K67" t="str">
        <f>TEXT(calls[[#This Row],[Date of Call]],"DDDD")</f>
        <v>Thursday</v>
      </c>
      <c r="L67" t="str" cm="1">
        <f t="array" ref="L67">_xlfn.IFS(calls[[#This Row],[Duration]]&lt;=10,"under 10 mins",calls[[#This Row],[Duration]]&lt;=30,"10 to 30mins",calls[[#This Row],[Duration]]&lt;=60,"60 to 30mins",calls[[#This Row],[Duration]]&lt;=120,"1 to 2hrs",TRUE,"More than 2 hrs")</f>
        <v>1 to 2hrs</v>
      </c>
      <c r="M67">
        <f>ROUND(calls[[#This Row],[Satisfaction Rating]],0)</f>
        <v>4</v>
      </c>
      <c r="N67">
        <f>COUNTIF(calls[Customer ID], calls[[#This Row],[Customer ID]])</f>
        <v>82</v>
      </c>
      <c r="O67">
        <f>SUMIF(calls[Customer ID], calls[[#This Row],[Customer ID]], calls[Purchase Amount])</f>
        <v>7689</v>
      </c>
      <c r="P67">
        <f>calls[[#This Row],[call count]]/calls[[#This Row],[Purchase Amount]]</f>
        <v>2.0499999999999998</v>
      </c>
      <c r="Q67">
        <f>COUNTIF(calls[Customer ID],calls[[#This Row],[Customer ID]])</f>
        <v>82</v>
      </c>
      <c r="R67">
        <f>calls[[#This Row],[call count]]/calls[[#This Row],[Purchase Amount]]</f>
        <v>2.0499999999999998</v>
      </c>
    </row>
    <row r="68" spans="1:18" x14ac:dyDescent="0.4">
      <c r="A68" t="s">
        <v>97</v>
      </c>
      <c r="B68" t="s">
        <v>51</v>
      </c>
      <c r="C68">
        <v>50</v>
      </c>
      <c r="D68" s="4" t="s">
        <v>2</v>
      </c>
      <c r="E68" s="5">
        <v>44952</v>
      </c>
      <c r="F68">
        <v>60</v>
      </c>
      <c r="G68">
        <f>AVERAGEIF(calls[Representative], calls[[#This Row],[Representative]], calls[Satisfaction Rating])</f>
        <v>3.8824999999999998</v>
      </c>
      <c r="H68" t="str">
        <f>IF(AVERAGEIF(calls[Representative],calls[[#This Row],[Representative]],calls[Satisfaction Rating])&lt;3.5,"Needs Training","OK")</f>
        <v>OK</v>
      </c>
      <c r="I68">
        <v>2</v>
      </c>
      <c r="J68">
        <f>IF(MONTH(calls[[#This Row],[Date of Call]])&lt;=6, YEAR(calls[[#This Row],[Date of Call]]), YEAR(calls[[#This Row],[Date of Call]])+1)</f>
        <v>2023</v>
      </c>
      <c r="K68" t="str">
        <f>TEXT(calls[[#This Row],[Date of Call]],"DDDD")</f>
        <v>Thursday</v>
      </c>
      <c r="L68" t="str" cm="1">
        <f t="array" ref="L68">_xlfn.IFS(calls[[#This Row],[Duration]]&lt;=10,"under 10 mins",calls[[#This Row],[Duration]]&lt;=30,"10 to 30mins",calls[[#This Row],[Duration]]&lt;=60,"60 to 30mins",calls[[#This Row],[Duration]]&lt;=120,"1 to 2hrs",TRUE,"More than 2 hrs")</f>
        <v>60 to 30mins</v>
      </c>
      <c r="M68">
        <f>ROUND(calls[[#This Row],[Satisfaction Rating]],0)</f>
        <v>2</v>
      </c>
      <c r="N68">
        <f>COUNTIF(calls[Customer ID], calls[[#This Row],[Customer ID]])</f>
        <v>59</v>
      </c>
      <c r="O68">
        <f>SUMIF(calls[Customer ID], calls[[#This Row],[Customer ID]], calls[Purchase Amount])</f>
        <v>6518</v>
      </c>
      <c r="P68">
        <f>calls[[#This Row],[call count]]/calls[[#This Row],[Purchase Amount]]</f>
        <v>0.98333333333333328</v>
      </c>
      <c r="Q68">
        <f>COUNTIF(calls[Customer ID],calls[[#This Row],[Customer ID]])</f>
        <v>59</v>
      </c>
      <c r="R68">
        <f>calls[[#This Row],[call count]]/calls[[#This Row],[Purchase Amount]]</f>
        <v>0.98333333333333328</v>
      </c>
    </row>
    <row r="69" spans="1:18" x14ac:dyDescent="0.4">
      <c r="A69" t="s">
        <v>98</v>
      </c>
      <c r="B69" t="s">
        <v>26</v>
      </c>
      <c r="C69">
        <v>124</v>
      </c>
      <c r="D69" s="4" t="s">
        <v>23</v>
      </c>
      <c r="E69" s="5">
        <v>44953</v>
      </c>
      <c r="F69">
        <v>215</v>
      </c>
      <c r="G69">
        <f>AVERAGEIF(calls[Representative], calls[[#This Row],[Representative]], calls[Satisfaction Rating])</f>
        <v>3.8973118279569863</v>
      </c>
      <c r="H69" t="str">
        <f>IF(AVERAGEIF(calls[Representative],calls[[#This Row],[Representative]],calls[Satisfaction Rating])&lt;3.5,"Needs Training","OK")</f>
        <v>OK</v>
      </c>
      <c r="I69">
        <v>4.0999999999999996</v>
      </c>
      <c r="J69">
        <f>IF(MONTH(calls[[#This Row],[Date of Call]])&lt;=6, YEAR(calls[[#This Row],[Date of Call]]), YEAR(calls[[#This Row],[Date of Call]])+1)</f>
        <v>2023</v>
      </c>
      <c r="K69" t="str">
        <f>TEXT(calls[[#This Row],[Date of Call]],"DDDD")</f>
        <v>Friday</v>
      </c>
      <c r="L69" t="str" cm="1">
        <f t="array" ref="L69">_xlfn.IFS(calls[[#This Row],[Duration]]&lt;=10,"under 10 mins",calls[[#This Row],[Duration]]&lt;=30,"10 to 30mins",calls[[#This Row],[Duration]]&lt;=60,"60 to 30mins",calls[[#This Row],[Duration]]&lt;=120,"1 to 2hrs",TRUE,"More than 2 hrs")</f>
        <v>More than 2 hrs</v>
      </c>
      <c r="M69">
        <f>ROUND(calls[[#This Row],[Satisfaction Rating]],0)</f>
        <v>4</v>
      </c>
      <c r="N69">
        <f>COUNTIF(calls[Customer ID], calls[[#This Row],[Customer ID]])</f>
        <v>72</v>
      </c>
      <c r="O69">
        <f>SUMIF(calls[Customer ID], calls[[#This Row],[Customer ID]], calls[Purchase Amount])</f>
        <v>6242</v>
      </c>
      <c r="P69">
        <f>calls[[#This Row],[call count]]/calls[[#This Row],[Purchase Amount]]</f>
        <v>0.33488372093023255</v>
      </c>
      <c r="Q69">
        <f>COUNTIF(calls[Customer ID],calls[[#This Row],[Customer ID]])</f>
        <v>72</v>
      </c>
      <c r="R69">
        <f>calls[[#This Row],[call count]]/calls[[#This Row],[Purchase Amount]]</f>
        <v>0.33488372093023255</v>
      </c>
    </row>
    <row r="70" spans="1:18" x14ac:dyDescent="0.4">
      <c r="A70" t="s">
        <v>99</v>
      </c>
      <c r="B70" t="s">
        <v>8</v>
      </c>
      <c r="C70">
        <v>81</v>
      </c>
      <c r="D70" s="4" t="s">
        <v>14</v>
      </c>
      <c r="E70" s="5">
        <v>44953</v>
      </c>
      <c r="F70">
        <v>156</v>
      </c>
      <c r="G70">
        <f>AVERAGEIF(calls[Representative], calls[[#This Row],[Representative]], calls[Satisfaction Rating])</f>
        <v>3.9227513227513247</v>
      </c>
      <c r="H70" t="str">
        <f>IF(AVERAGEIF(calls[Representative],calls[[#This Row],[Representative]],calls[Satisfaction Rating])&lt;3.5,"Needs Training","OK")</f>
        <v>OK</v>
      </c>
      <c r="I70">
        <v>2.6</v>
      </c>
      <c r="J70">
        <f>IF(MONTH(calls[[#This Row],[Date of Call]])&lt;=6, YEAR(calls[[#This Row],[Date of Call]]), YEAR(calls[[#This Row],[Date of Call]])+1)</f>
        <v>2023</v>
      </c>
      <c r="K70" t="str">
        <f>TEXT(calls[[#This Row],[Date of Call]],"DDDD")</f>
        <v>Friday</v>
      </c>
      <c r="L70" t="str" cm="1">
        <f t="array" ref="L70">_xlfn.IFS(calls[[#This Row],[Duration]]&lt;=10,"under 10 mins",calls[[#This Row],[Duration]]&lt;=30,"10 to 30mins",calls[[#This Row],[Duration]]&lt;=60,"60 to 30mins",calls[[#This Row],[Duration]]&lt;=120,"1 to 2hrs",TRUE,"More than 2 hrs")</f>
        <v>1 to 2hrs</v>
      </c>
      <c r="M70">
        <f>ROUND(calls[[#This Row],[Satisfaction Rating]],0)</f>
        <v>3</v>
      </c>
      <c r="N70">
        <f>COUNTIF(calls[Customer ID], calls[[#This Row],[Customer ID]])</f>
        <v>79</v>
      </c>
      <c r="O70">
        <f>SUMIF(calls[Customer ID], calls[[#This Row],[Customer ID]], calls[Purchase Amount])</f>
        <v>7747</v>
      </c>
      <c r="P70">
        <f>calls[[#This Row],[call count]]/calls[[#This Row],[Purchase Amount]]</f>
        <v>0.50641025641025639</v>
      </c>
      <c r="Q70">
        <f>COUNTIF(calls[Customer ID],calls[[#This Row],[Customer ID]])</f>
        <v>79</v>
      </c>
      <c r="R70">
        <f>calls[[#This Row],[call count]]/calls[[#This Row],[Purchase Amount]]</f>
        <v>0.50641025641025639</v>
      </c>
    </row>
    <row r="71" spans="1:18" x14ac:dyDescent="0.4">
      <c r="A71" t="s">
        <v>100</v>
      </c>
      <c r="B71" t="s">
        <v>44</v>
      </c>
      <c r="C71">
        <v>141</v>
      </c>
      <c r="D71" s="4" t="s">
        <v>27</v>
      </c>
      <c r="E71" s="5">
        <v>44953</v>
      </c>
      <c r="F71">
        <v>54</v>
      </c>
      <c r="G71">
        <f>AVERAGEIF(calls[Representative], calls[[#This Row],[Representative]], calls[Satisfaction Rating])</f>
        <v>3.8589371980676304</v>
      </c>
      <c r="H71" t="str">
        <f>IF(AVERAGEIF(calls[Representative],calls[[#This Row],[Representative]],calls[Satisfaction Rating])&lt;3.5,"Needs Training","OK")</f>
        <v>OK</v>
      </c>
      <c r="I71">
        <v>0</v>
      </c>
      <c r="J71">
        <f>IF(MONTH(calls[[#This Row],[Date of Call]])&lt;=6, YEAR(calls[[#This Row],[Date of Call]]), YEAR(calls[[#This Row],[Date of Call]])+1)</f>
        <v>2023</v>
      </c>
      <c r="K71" t="str">
        <f>TEXT(calls[[#This Row],[Date of Call]],"DDDD")</f>
        <v>Friday</v>
      </c>
      <c r="L71" t="str" cm="1">
        <f t="array" ref="L71">_xlfn.IFS(calls[[#This Row],[Duration]]&lt;=10,"under 10 mins",calls[[#This Row],[Duration]]&lt;=30,"10 to 30mins",calls[[#This Row],[Duration]]&lt;=60,"60 to 30mins",calls[[#This Row],[Duration]]&lt;=120,"1 to 2hrs",TRUE,"More than 2 hrs")</f>
        <v>More than 2 hrs</v>
      </c>
      <c r="M71">
        <f>ROUND(calls[[#This Row],[Satisfaction Rating]],0)</f>
        <v>0</v>
      </c>
      <c r="N71">
        <f>COUNTIF(calls[Customer ID], calls[[#This Row],[Customer ID]])</f>
        <v>62</v>
      </c>
      <c r="O71">
        <f>SUMIF(calls[Customer ID], calls[[#This Row],[Customer ID]], calls[Purchase Amount])</f>
        <v>6176</v>
      </c>
      <c r="P71">
        <f>calls[[#This Row],[call count]]/calls[[#This Row],[Purchase Amount]]</f>
        <v>1.1481481481481481</v>
      </c>
      <c r="Q71">
        <f>COUNTIF(calls[Customer ID],calls[[#This Row],[Customer ID]])</f>
        <v>62</v>
      </c>
      <c r="R71">
        <f>calls[[#This Row],[call count]]/calls[[#This Row],[Purchase Amount]]</f>
        <v>1.1481481481481481</v>
      </c>
    </row>
    <row r="72" spans="1:18" x14ac:dyDescent="0.4">
      <c r="A72" t="s">
        <v>101</v>
      </c>
      <c r="B72" t="s">
        <v>44</v>
      </c>
      <c r="C72">
        <v>168</v>
      </c>
      <c r="D72" s="4" t="s">
        <v>27</v>
      </c>
      <c r="E72" s="5">
        <v>44954</v>
      </c>
      <c r="F72">
        <v>160</v>
      </c>
      <c r="G72">
        <f>AVERAGEIF(calls[Representative], calls[[#This Row],[Representative]], calls[Satisfaction Rating])</f>
        <v>3.8589371980676304</v>
      </c>
      <c r="H72" t="str">
        <f>IF(AVERAGEIF(calls[Representative],calls[[#This Row],[Representative]],calls[Satisfaction Rating])&lt;3.5,"Needs Training","OK")</f>
        <v>OK</v>
      </c>
      <c r="I72">
        <v>3.9</v>
      </c>
      <c r="J72">
        <f>IF(MONTH(calls[[#This Row],[Date of Call]])&lt;=6, YEAR(calls[[#This Row],[Date of Call]]), YEAR(calls[[#This Row],[Date of Call]])+1)</f>
        <v>2023</v>
      </c>
      <c r="K72" t="str">
        <f>TEXT(calls[[#This Row],[Date of Call]],"DDDD")</f>
        <v>Saturday</v>
      </c>
      <c r="L72" t="str" cm="1">
        <f t="array" ref="L72">_xlfn.IFS(calls[[#This Row],[Duration]]&lt;=10,"under 10 mins",calls[[#This Row],[Duration]]&lt;=30,"10 to 30mins",calls[[#This Row],[Duration]]&lt;=60,"60 to 30mins",calls[[#This Row],[Duration]]&lt;=120,"1 to 2hrs",TRUE,"More than 2 hrs")</f>
        <v>More than 2 hrs</v>
      </c>
      <c r="M72">
        <f>ROUND(calls[[#This Row],[Satisfaction Rating]],0)</f>
        <v>4</v>
      </c>
      <c r="N72">
        <f>COUNTIF(calls[Customer ID], calls[[#This Row],[Customer ID]])</f>
        <v>62</v>
      </c>
      <c r="O72">
        <f>SUMIF(calls[Customer ID], calls[[#This Row],[Customer ID]], calls[Purchase Amount])</f>
        <v>6176</v>
      </c>
      <c r="P72">
        <f>calls[[#This Row],[call count]]/calls[[#This Row],[Purchase Amount]]</f>
        <v>0.38750000000000001</v>
      </c>
      <c r="Q72">
        <f>COUNTIF(calls[Customer ID],calls[[#This Row],[Customer ID]])</f>
        <v>62</v>
      </c>
      <c r="R72">
        <f>calls[[#This Row],[call count]]/calls[[#This Row],[Purchase Amount]]</f>
        <v>0.38750000000000001</v>
      </c>
    </row>
    <row r="73" spans="1:18" x14ac:dyDescent="0.4">
      <c r="A73" t="s">
        <v>102</v>
      </c>
      <c r="B73" t="s">
        <v>64</v>
      </c>
      <c r="C73">
        <v>101</v>
      </c>
      <c r="D73" s="4" t="s">
        <v>14</v>
      </c>
      <c r="E73" s="5">
        <v>44954</v>
      </c>
      <c r="F73">
        <v>80</v>
      </c>
      <c r="G73">
        <f>AVERAGEIF(calls[Representative], calls[[#This Row],[Representative]], calls[Satisfaction Rating])</f>
        <v>3.9227513227513247</v>
      </c>
      <c r="H73" t="str">
        <f>IF(AVERAGEIF(calls[Representative],calls[[#This Row],[Representative]],calls[Satisfaction Rating])&lt;3.5,"Needs Training","OK")</f>
        <v>OK</v>
      </c>
      <c r="I73">
        <v>4.8</v>
      </c>
      <c r="J73">
        <f>IF(MONTH(calls[[#This Row],[Date of Call]])&lt;=6, YEAR(calls[[#This Row],[Date of Call]]), YEAR(calls[[#This Row],[Date of Call]])+1)</f>
        <v>2023</v>
      </c>
      <c r="K73" t="str">
        <f>TEXT(calls[[#This Row],[Date of Call]],"DDDD")</f>
        <v>Saturday</v>
      </c>
      <c r="L73" t="str" cm="1">
        <f t="array" ref="L73">_xlfn.IFS(calls[[#This Row],[Duration]]&lt;=10,"under 10 mins",calls[[#This Row],[Duration]]&lt;=30,"10 to 30mins",calls[[#This Row],[Duration]]&lt;=60,"60 to 30mins",calls[[#This Row],[Duration]]&lt;=120,"1 to 2hrs",TRUE,"More than 2 hrs")</f>
        <v>1 to 2hrs</v>
      </c>
      <c r="M73">
        <f>ROUND(calls[[#This Row],[Satisfaction Rating]],0)</f>
        <v>5</v>
      </c>
      <c r="N73">
        <f>COUNTIF(calls[Customer ID], calls[[#This Row],[Customer ID]])</f>
        <v>65</v>
      </c>
      <c r="O73">
        <f>SUMIF(calls[Customer ID], calls[[#This Row],[Customer ID]], calls[Purchase Amount])</f>
        <v>6785</v>
      </c>
      <c r="P73">
        <f>calls[[#This Row],[call count]]/calls[[#This Row],[Purchase Amount]]</f>
        <v>0.8125</v>
      </c>
      <c r="Q73">
        <f>COUNTIF(calls[Customer ID],calls[[#This Row],[Customer ID]])</f>
        <v>65</v>
      </c>
      <c r="R73">
        <f>calls[[#This Row],[call count]]/calls[[#This Row],[Purchase Amount]]</f>
        <v>0.8125</v>
      </c>
    </row>
    <row r="74" spans="1:18" x14ac:dyDescent="0.4">
      <c r="A74" t="s">
        <v>103</v>
      </c>
      <c r="B74" t="s">
        <v>30</v>
      </c>
      <c r="C74">
        <v>67</v>
      </c>
      <c r="D74" s="4" t="s">
        <v>14</v>
      </c>
      <c r="E74" s="5">
        <v>44954</v>
      </c>
      <c r="F74">
        <v>168</v>
      </c>
      <c r="G74">
        <f>AVERAGEIF(calls[Representative], calls[[#This Row],[Representative]], calls[Satisfaction Rating])</f>
        <v>3.9227513227513247</v>
      </c>
      <c r="H74" t="str">
        <f>IF(AVERAGEIF(calls[Representative],calls[[#This Row],[Representative]],calls[Satisfaction Rating])&lt;3.5,"Needs Training","OK")</f>
        <v>OK</v>
      </c>
      <c r="I74">
        <v>2.6</v>
      </c>
      <c r="J74">
        <f>IF(MONTH(calls[[#This Row],[Date of Call]])&lt;=6, YEAR(calls[[#This Row],[Date of Call]]), YEAR(calls[[#This Row],[Date of Call]])+1)</f>
        <v>2023</v>
      </c>
      <c r="K74" t="str">
        <f>TEXT(calls[[#This Row],[Date of Call]],"DDDD")</f>
        <v>Saturday</v>
      </c>
      <c r="L74" t="str" cm="1">
        <f t="array" ref="L74">_xlfn.IFS(calls[[#This Row],[Duration]]&lt;=10,"under 10 mins",calls[[#This Row],[Duration]]&lt;=30,"10 to 30mins",calls[[#This Row],[Duration]]&lt;=60,"60 to 30mins",calls[[#This Row],[Duration]]&lt;=120,"1 to 2hrs",TRUE,"More than 2 hrs")</f>
        <v>1 to 2hrs</v>
      </c>
      <c r="M74">
        <f>ROUND(calls[[#This Row],[Satisfaction Rating]],0)</f>
        <v>3</v>
      </c>
      <c r="N74">
        <f>COUNTIF(calls[Customer ID], calls[[#This Row],[Customer ID]])</f>
        <v>69</v>
      </c>
      <c r="O74">
        <f>SUMIF(calls[Customer ID], calls[[#This Row],[Customer ID]], calls[Purchase Amount])</f>
        <v>7230</v>
      </c>
      <c r="P74">
        <f>calls[[#This Row],[call count]]/calls[[#This Row],[Purchase Amount]]</f>
        <v>0.4107142857142857</v>
      </c>
      <c r="Q74">
        <f>COUNTIF(calls[Customer ID],calls[[#This Row],[Customer ID]])</f>
        <v>69</v>
      </c>
      <c r="R74">
        <f>calls[[#This Row],[call count]]/calls[[#This Row],[Purchase Amount]]</f>
        <v>0.4107142857142857</v>
      </c>
    </row>
    <row r="75" spans="1:18" x14ac:dyDescent="0.4">
      <c r="A75" t="s">
        <v>104</v>
      </c>
      <c r="B75" t="s">
        <v>84</v>
      </c>
      <c r="C75">
        <v>114</v>
      </c>
      <c r="D75" s="4" t="s">
        <v>27</v>
      </c>
      <c r="E75" s="5">
        <v>44956</v>
      </c>
      <c r="F75">
        <v>42</v>
      </c>
      <c r="G75">
        <f>AVERAGEIF(calls[Representative], calls[[#This Row],[Representative]], calls[Satisfaction Rating])</f>
        <v>3.8589371980676304</v>
      </c>
      <c r="H75" t="str">
        <f>IF(AVERAGEIF(calls[Representative],calls[[#This Row],[Representative]],calls[Satisfaction Rating])&lt;3.5,"Needs Training","OK")</f>
        <v>OK</v>
      </c>
      <c r="I75">
        <v>2.6</v>
      </c>
      <c r="J75">
        <f>IF(MONTH(calls[[#This Row],[Date of Call]])&lt;=6, YEAR(calls[[#This Row],[Date of Call]]), YEAR(calls[[#This Row],[Date of Call]])+1)</f>
        <v>2023</v>
      </c>
      <c r="K75" t="str">
        <f>TEXT(calls[[#This Row],[Date of Call]],"DDDD")</f>
        <v>Monday</v>
      </c>
      <c r="L75" t="str" cm="1">
        <f t="array" ref="L75">_xlfn.IFS(calls[[#This Row],[Duration]]&lt;=10,"under 10 mins",calls[[#This Row],[Duration]]&lt;=30,"10 to 30mins",calls[[#This Row],[Duration]]&lt;=60,"60 to 30mins",calls[[#This Row],[Duration]]&lt;=120,"1 to 2hrs",TRUE,"More than 2 hrs")</f>
        <v>1 to 2hrs</v>
      </c>
      <c r="M75">
        <f>ROUND(calls[[#This Row],[Satisfaction Rating]],0)</f>
        <v>3</v>
      </c>
      <c r="N75">
        <f>COUNTIF(calls[Customer ID], calls[[#This Row],[Customer ID]])</f>
        <v>59</v>
      </c>
      <c r="O75">
        <f>SUMIF(calls[Customer ID], calls[[#This Row],[Customer ID]], calls[Purchase Amount])</f>
        <v>5009</v>
      </c>
      <c r="P75">
        <f>calls[[#This Row],[call count]]/calls[[#This Row],[Purchase Amount]]</f>
        <v>1.4047619047619047</v>
      </c>
      <c r="Q75">
        <f>COUNTIF(calls[Customer ID],calls[[#This Row],[Customer ID]])</f>
        <v>59</v>
      </c>
      <c r="R75">
        <f>calls[[#This Row],[call count]]/calls[[#This Row],[Purchase Amount]]</f>
        <v>1.4047619047619047</v>
      </c>
    </row>
    <row r="76" spans="1:18" x14ac:dyDescent="0.4">
      <c r="A76" t="s">
        <v>105</v>
      </c>
      <c r="B76" t="s">
        <v>8</v>
      </c>
      <c r="C76">
        <v>42</v>
      </c>
      <c r="D76" s="4" t="s">
        <v>14</v>
      </c>
      <c r="E76" s="5">
        <v>44956</v>
      </c>
      <c r="F76">
        <v>205</v>
      </c>
      <c r="G76">
        <f>AVERAGEIF(calls[Representative], calls[[#This Row],[Representative]], calls[Satisfaction Rating])</f>
        <v>3.9227513227513247</v>
      </c>
      <c r="H76" t="str">
        <f>IF(AVERAGEIF(calls[Representative],calls[[#This Row],[Representative]],calls[Satisfaction Rating])&lt;3.5,"Needs Training","OK")</f>
        <v>OK</v>
      </c>
      <c r="I76">
        <v>3.6</v>
      </c>
      <c r="J76">
        <f>IF(MONTH(calls[[#This Row],[Date of Call]])&lt;=6, YEAR(calls[[#This Row],[Date of Call]]), YEAR(calls[[#This Row],[Date of Call]])+1)</f>
        <v>2023</v>
      </c>
      <c r="K76" t="str">
        <f>TEXT(calls[[#This Row],[Date of Call]],"DDDD")</f>
        <v>Monday</v>
      </c>
      <c r="L76" t="str" cm="1">
        <f t="array" ref="L76">_xlfn.IFS(calls[[#This Row],[Duration]]&lt;=10,"under 10 mins",calls[[#This Row],[Duration]]&lt;=30,"10 to 30mins",calls[[#This Row],[Duration]]&lt;=60,"60 to 30mins",calls[[#This Row],[Duration]]&lt;=120,"1 to 2hrs",TRUE,"More than 2 hrs")</f>
        <v>60 to 30mins</v>
      </c>
      <c r="M76">
        <f>ROUND(calls[[#This Row],[Satisfaction Rating]],0)</f>
        <v>4</v>
      </c>
      <c r="N76">
        <f>COUNTIF(calls[Customer ID], calls[[#This Row],[Customer ID]])</f>
        <v>79</v>
      </c>
      <c r="O76">
        <f>SUMIF(calls[Customer ID], calls[[#This Row],[Customer ID]], calls[Purchase Amount])</f>
        <v>7747</v>
      </c>
      <c r="P76">
        <f>calls[[#This Row],[call count]]/calls[[#This Row],[Purchase Amount]]</f>
        <v>0.38536585365853659</v>
      </c>
      <c r="Q76">
        <f>COUNTIF(calls[Customer ID],calls[[#This Row],[Customer ID]])</f>
        <v>79</v>
      </c>
      <c r="R76">
        <f>calls[[#This Row],[call count]]/calls[[#This Row],[Purchase Amount]]</f>
        <v>0.38536585365853659</v>
      </c>
    </row>
    <row r="77" spans="1:18" x14ac:dyDescent="0.4">
      <c r="A77" t="s">
        <v>106</v>
      </c>
      <c r="B77" t="s">
        <v>13</v>
      </c>
      <c r="C77">
        <v>69</v>
      </c>
      <c r="D77" s="4" t="s">
        <v>27</v>
      </c>
      <c r="E77" s="5">
        <v>44956</v>
      </c>
      <c r="F77">
        <v>108</v>
      </c>
      <c r="G77">
        <f>AVERAGEIF(calls[Representative], calls[[#This Row],[Representative]], calls[Satisfaction Rating])</f>
        <v>3.8589371980676304</v>
      </c>
      <c r="H77" t="str">
        <f>IF(AVERAGEIF(calls[Representative],calls[[#This Row],[Representative]],calls[Satisfaction Rating])&lt;3.5,"Needs Training","OK")</f>
        <v>OK</v>
      </c>
      <c r="I77">
        <v>3.3</v>
      </c>
      <c r="J77">
        <f>IF(MONTH(calls[[#This Row],[Date of Call]])&lt;=6, YEAR(calls[[#This Row],[Date of Call]]), YEAR(calls[[#This Row],[Date of Call]])+1)</f>
        <v>2023</v>
      </c>
      <c r="K77" t="str">
        <f>TEXT(calls[[#This Row],[Date of Call]],"DDDD")</f>
        <v>Monday</v>
      </c>
      <c r="L77" t="str" cm="1">
        <f t="array" ref="L77">_xlfn.IFS(calls[[#This Row],[Duration]]&lt;=10,"under 10 mins",calls[[#This Row],[Duration]]&lt;=30,"10 to 30mins",calls[[#This Row],[Duration]]&lt;=60,"60 to 30mins",calls[[#This Row],[Duration]]&lt;=120,"1 to 2hrs",TRUE,"More than 2 hrs")</f>
        <v>1 to 2hrs</v>
      </c>
      <c r="M77">
        <f>ROUND(calls[[#This Row],[Satisfaction Rating]],0)</f>
        <v>3</v>
      </c>
      <c r="N77">
        <f>COUNTIF(calls[Customer ID], calls[[#This Row],[Customer ID]])</f>
        <v>74</v>
      </c>
      <c r="O77">
        <f>SUMIF(calls[Customer ID], calls[[#This Row],[Customer ID]], calls[Purchase Amount])</f>
        <v>6749</v>
      </c>
      <c r="P77">
        <f>calls[[#This Row],[call count]]/calls[[#This Row],[Purchase Amount]]</f>
        <v>0.68518518518518523</v>
      </c>
      <c r="Q77">
        <f>COUNTIF(calls[Customer ID],calls[[#This Row],[Customer ID]])</f>
        <v>74</v>
      </c>
      <c r="R77">
        <f>calls[[#This Row],[call count]]/calls[[#This Row],[Purchase Amount]]</f>
        <v>0.68518518518518523</v>
      </c>
    </row>
    <row r="78" spans="1:18" x14ac:dyDescent="0.4">
      <c r="A78" t="s">
        <v>107</v>
      </c>
      <c r="B78" t="s">
        <v>26</v>
      </c>
      <c r="C78">
        <v>145</v>
      </c>
      <c r="D78" s="4" t="s">
        <v>9</v>
      </c>
      <c r="E78" s="5">
        <v>44956</v>
      </c>
      <c r="F78">
        <v>78</v>
      </c>
      <c r="G78">
        <f>AVERAGEIF(calls[Representative], calls[[#This Row],[Representative]], calls[Satisfaction Rating])</f>
        <v>3.8706422018348627</v>
      </c>
      <c r="H78" t="str">
        <f>IF(AVERAGEIF(calls[Representative],calls[[#This Row],[Representative]],calls[Satisfaction Rating])&lt;3.5,"Needs Training","OK")</f>
        <v>OK</v>
      </c>
      <c r="I78">
        <v>1.9</v>
      </c>
      <c r="J78">
        <f>IF(MONTH(calls[[#This Row],[Date of Call]])&lt;=6, YEAR(calls[[#This Row],[Date of Call]]), YEAR(calls[[#This Row],[Date of Call]])+1)</f>
        <v>2023</v>
      </c>
      <c r="K78" t="str">
        <f>TEXT(calls[[#This Row],[Date of Call]],"DDDD")</f>
        <v>Monday</v>
      </c>
      <c r="L78" t="str" cm="1">
        <f t="array" ref="L78">_xlfn.IFS(calls[[#This Row],[Duration]]&lt;=10,"under 10 mins",calls[[#This Row],[Duration]]&lt;=30,"10 to 30mins",calls[[#This Row],[Duration]]&lt;=60,"60 to 30mins",calls[[#This Row],[Duration]]&lt;=120,"1 to 2hrs",TRUE,"More than 2 hrs")</f>
        <v>More than 2 hrs</v>
      </c>
      <c r="M78">
        <f>ROUND(calls[[#This Row],[Satisfaction Rating]],0)</f>
        <v>2</v>
      </c>
      <c r="N78">
        <f>COUNTIF(calls[Customer ID], calls[[#This Row],[Customer ID]])</f>
        <v>72</v>
      </c>
      <c r="O78">
        <f>SUMIF(calls[Customer ID], calls[[#This Row],[Customer ID]], calls[Purchase Amount])</f>
        <v>6242</v>
      </c>
      <c r="P78">
        <f>calls[[#This Row],[call count]]/calls[[#This Row],[Purchase Amount]]</f>
        <v>0.92307692307692313</v>
      </c>
      <c r="Q78">
        <f>COUNTIF(calls[Customer ID],calls[[#This Row],[Customer ID]])</f>
        <v>72</v>
      </c>
      <c r="R78">
        <f>calls[[#This Row],[call count]]/calls[[#This Row],[Purchase Amount]]</f>
        <v>0.92307692307692313</v>
      </c>
    </row>
    <row r="79" spans="1:18" x14ac:dyDescent="0.4">
      <c r="A79" t="s">
        <v>108</v>
      </c>
      <c r="B79" t="s">
        <v>6</v>
      </c>
      <c r="C79">
        <v>43</v>
      </c>
      <c r="D79" s="4" t="s">
        <v>27</v>
      </c>
      <c r="E79" s="5">
        <v>44956</v>
      </c>
      <c r="F79">
        <v>23</v>
      </c>
      <c r="G79">
        <f>AVERAGEIF(calls[Representative], calls[[#This Row],[Representative]], calls[Satisfaction Rating])</f>
        <v>3.8589371980676304</v>
      </c>
      <c r="H79" t="str">
        <f>IF(AVERAGEIF(calls[Representative],calls[[#This Row],[Representative]],calls[Satisfaction Rating])&lt;3.5,"Needs Training","OK")</f>
        <v>OK</v>
      </c>
      <c r="I79">
        <v>4.9000000000000004</v>
      </c>
      <c r="J79">
        <f>IF(MONTH(calls[[#This Row],[Date of Call]])&lt;=6, YEAR(calls[[#This Row],[Date of Call]]), YEAR(calls[[#This Row],[Date of Call]])+1)</f>
        <v>2023</v>
      </c>
      <c r="K79" t="str">
        <f>TEXT(calls[[#This Row],[Date of Call]],"DDDD")</f>
        <v>Monday</v>
      </c>
      <c r="L79" t="str" cm="1">
        <f t="array" ref="L79">_xlfn.IFS(calls[[#This Row],[Duration]]&lt;=10,"under 10 mins",calls[[#This Row],[Duration]]&lt;=30,"10 to 30mins",calls[[#This Row],[Duration]]&lt;=60,"60 to 30mins",calls[[#This Row],[Duration]]&lt;=120,"1 to 2hrs",TRUE,"More than 2 hrs")</f>
        <v>60 to 30mins</v>
      </c>
      <c r="M79">
        <f>ROUND(calls[[#This Row],[Satisfaction Rating]],0)</f>
        <v>5</v>
      </c>
      <c r="N79">
        <f>COUNTIF(calls[Customer ID], calls[[#This Row],[Customer ID]])</f>
        <v>82</v>
      </c>
      <c r="O79">
        <f>SUMIF(calls[Customer ID], calls[[#This Row],[Customer ID]], calls[Purchase Amount])</f>
        <v>7689</v>
      </c>
      <c r="P79">
        <f>calls[[#This Row],[call count]]/calls[[#This Row],[Purchase Amount]]</f>
        <v>3.5652173913043477</v>
      </c>
      <c r="Q79">
        <f>COUNTIF(calls[Customer ID],calls[[#This Row],[Customer ID]])</f>
        <v>82</v>
      </c>
      <c r="R79">
        <f>calls[[#This Row],[call count]]/calls[[#This Row],[Purchase Amount]]</f>
        <v>3.5652173913043477</v>
      </c>
    </row>
    <row r="80" spans="1:18" x14ac:dyDescent="0.4">
      <c r="A80" t="s">
        <v>109</v>
      </c>
      <c r="B80" t="s">
        <v>13</v>
      </c>
      <c r="C80">
        <v>62</v>
      </c>
      <c r="D80" s="4" t="s">
        <v>2</v>
      </c>
      <c r="E80" s="5">
        <v>44957</v>
      </c>
      <c r="F80">
        <v>99</v>
      </c>
      <c r="G80">
        <f>AVERAGEIF(calls[Representative], calls[[#This Row],[Representative]], calls[Satisfaction Rating])</f>
        <v>3.8824999999999998</v>
      </c>
      <c r="H80" t="str">
        <f>IF(AVERAGEIF(calls[Representative],calls[[#This Row],[Representative]],calls[Satisfaction Rating])&lt;3.5,"Needs Training","OK")</f>
        <v>OK</v>
      </c>
      <c r="I80">
        <v>3.6</v>
      </c>
      <c r="J80">
        <f>IF(MONTH(calls[[#This Row],[Date of Call]])&lt;=6, YEAR(calls[[#This Row],[Date of Call]]), YEAR(calls[[#This Row],[Date of Call]])+1)</f>
        <v>2023</v>
      </c>
      <c r="K80" t="str">
        <f>TEXT(calls[[#This Row],[Date of Call]],"DDDD")</f>
        <v>Tuesday</v>
      </c>
      <c r="L80" t="str" cm="1">
        <f t="array" ref="L80">_xlfn.IFS(calls[[#This Row],[Duration]]&lt;=10,"under 10 mins",calls[[#This Row],[Duration]]&lt;=30,"10 to 30mins",calls[[#This Row],[Duration]]&lt;=60,"60 to 30mins",calls[[#This Row],[Duration]]&lt;=120,"1 to 2hrs",TRUE,"More than 2 hrs")</f>
        <v>1 to 2hrs</v>
      </c>
      <c r="M80">
        <f>ROUND(calls[[#This Row],[Satisfaction Rating]],0)</f>
        <v>4</v>
      </c>
      <c r="N80">
        <f>COUNTIF(calls[Customer ID], calls[[#This Row],[Customer ID]])</f>
        <v>74</v>
      </c>
      <c r="O80">
        <f>SUMIF(calls[Customer ID], calls[[#This Row],[Customer ID]], calls[Purchase Amount])</f>
        <v>6749</v>
      </c>
      <c r="P80">
        <f>calls[[#This Row],[call count]]/calls[[#This Row],[Purchase Amount]]</f>
        <v>0.74747474747474751</v>
      </c>
      <c r="Q80">
        <f>COUNTIF(calls[Customer ID],calls[[#This Row],[Customer ID]])</f>
        <v>74</v>
      </c>
      <c r="R80">
        <f>calls[[#This Row],[call count]]/calls[[#This Row],[Purchase Amount]]</f>
        <v>0.74747474747474751</v>
      </c>
    </row>
    <row r="81" spans="1:18" x14ac:dyDescent="0.4">
      <c r="A81" t="s">
        <v>110</v>
      </c>
      <c r="B81" t="s">
        <v>40</v>
      </c>
      <c r="C81">
        <v>79</v>
      </c>
      <c r="D81" s="4" t="s">
        <v>27</v>
      </c>
      <c r="E81" s="5">
        <v>44958</v>
      </c>
      <c r="F81">
        <v>148</v>
      </c>
      <c r="G81">
        <f>AVERAGEIF(calls[Representative], calls[[#This Row],[Representative]], calls[Satisfaction Rating])</f>
        <v>3.8589371980676304</v>
      </c>
      <c r="H81" t="str">
        <f>IF(AVERAGEIF(calls[Representative],calls[[#This Row],[Representative]],calls[Satisfaction Rating])&lt;3.5,"Needs Training","OK")</f>
        <v>OK</v>
      </c>
      <c r="I81">
        <v>4.5</v>
      </c>
      <c r="J81">
        <f>IF(MONTH(calls[[#This Row],[Date of Call]])&lt;=6, YEAR(calls[[#This Row],[Date of Call]]), YEAR(calls[[#This Row],[Date of Call]])+1)</f>
        <v>2023</v>
      </c>
      <c r="K81" t="str">
        <f>TEXT(calls[[#This Row],[Date of Call]],"DDDD")</f>
        <v>Wednesday</v>
      </c>
      <c r="L81" t="str" cm="1">
        <f t="array" ref="L81">_xlfn.IFS(calls[[#This Row],[Duration]]&lt;=10,"under 10 mins",calls[[#This Row],[Duration]]&lt;=30,"10 to 30mins",calls[[#This Row],[Duration]]&lt;=60,"60 to 30mins",calls[[#This Row],[Duration]]&lt;=120,"1 to 2hrs",TRUE,"More than 2 hrs")</f>
        <v>1 to 2hrs</v>
      </c>
      <c r="M81">
        <f>ROUND(calls[[#This Row],[Satisfaction Rating]],0)</f>
        <v>5</v>
      </c>
      <c r="N81">
        <f>COUNTIF(calls[Customer ID], calls[[#This Row],[Customer ID]])</f>
        <v>69</v>
      </c>
      <c r="O81">
        <f>SUMIF(calls[Customer ID], calls[[#This Row],[Customer ID]], calls[Purchase Amount])</f>
        <v>6601</v>
      </c>
      <c r="P81">
        <f>calls[[#This Row],[call count]]/calls[[#This Row],[Purchase Amount]]</f>
        <v>0.46621621621621623</v>
      </c>
      <c r="Q81">
        <f>COUNTIF(calls[Customer ID],calls[[#This Row],[Customer ID]])</f>
        <v>69</v>
      </c>
      <c r="R81">
        <f>calls[[#This Row],[call count]]/calls[[#This Row],[Purchase Amount]]</f>
        <v>0.46621621621621623</v>
      </c>
    </row>
    <row r="82" spans="1:18" x14ac:dyDescent="0.4">
      <c r="A82" t="s">
        <v>111</v>
      </c>
      <c r="B82" t="s">
        <v>26</v>
      </c>
      <c r="C82">
        <v>45</v>
      </c>
      <c r="D82" s="4" t="s">
        <v>23</v>
      </c>
      <c r="E82" s="5">
        <v>44958</v>
      </c>
      <c r="F82">
        <v>34</v>
      </c>
      <c r="G82">
        <f>AVERAGEIF(calls[Representative], calls[[#This Row],[Representative]], calls[Satisfaction Rating])</f>
        <v>3.8973118279569863</v>
      </c>
      <c r="H82" t="str">
        <f>IF(AVERAGEIF(calls[Representative],calls[[#This Row],[Representative]],calls[Satisfaction Rating])&lt;3.5,"Needs Training","OK")</f>
        <v>OK</v>
      </c>
      <c r="I82">
        <v>3.7</v>
      </c>
      <c r="J82">
        <f>IF(MONTH(calls[[#This Row],[Date of Call]])&lt;=6, YEAR(calls[[#This Row],[Date of Call]]), YEAR(calls[[#This Row],[Date of Call]])+1)</f>
        <v>2023</v>
      </c>
      <c r="K82" t="str">
        <f>TEXT(calls[[#This Row],[Date of Call]],"DDDD")</f>
        <v>Wednesday</v>
      </c>
      <c r="L82" t="str" cm="1">
        <f t="array" ref="L82">_xlfn.IFS(calls[[#This Row],[Duration]]&lt;=10,"under 10 mins",calls[[#This Row],[Duration]]&lt;=30,"10 to 30mins",calls[[#This Row],[Duration]]&lt;=60,"60 to 30mins",calls[[#This Row],[Duration]]&lt;=120,"1 to 2hrs",TRUE,"More than 2 hrs")</f>
        <v>60 to 30mins</v>
      </c>
      <c r="M82">
        <f>ROUND(calls[[#This Row],[Satisfaction Rating]],0)</f>
        <v>4</v>
      </c>
      <c r="N82">
        <f>COUNTIF(calls[Customer ID], calls[[#This Row],[Customer ID]])</f>
        <v>72</v>
      </c>
      <c r="O82">
        <f>SUMIF(calls[Customer ID], calls[[#This Row],[Customer ID]], calls[Purchase Amount])</f>
        <v>6242</v>
      </c>
      <c r="P82">
        <f>calls[[#This Row],[call count]]/calls[[#This Row],[Purchase Amount]]</f>
        <v>2.1176470588235294</v>
      </c>
      <c r="Q82">
        <f>COUNTIF(calls[Customer ID],calls[[#This Row],[Customer ID]])</f>
        <v>72</v>
      </c>
      <c r="R82">
        <f>calls[[#This Row],[call count]]/calls[[#This Row],[Purchase Amount]]</f>
        <v>2.1176470588235294</v>
      </c>
    </row>
    <row r="83" spans="1:18" x14ac:dyDescent="0.4">
      <c r="A83" t="s">
        <v>112</v>
      </c>
      <c r="B83" t="s">
        <v>13</v>
      </c>
      <c r="C83">
        <v>137</v>
      </c>
      <c r="D83" s="4" t="s">
        <v>27</v>
      </c>
      <c r="E83" s="5">
        <v>44958</v>
      </c>
      <c r="F83">
        <v>86</v>
      </c>
      <c r="G83">
        <f>AVERAGEIF(calls[Representative], calls[[#This Row],[Representative]], calls[Satisfaction Rating])</f>
        <v>3.8589371980676304</v>
      </c>
      <c r="H83" t="str">
        <f>IF(AVERAGEIF(calls[Representative],calls[[#This Row],[Representative]],calls[Satisfaction Rating])&lt;3.5,"Needs Training","OK")</f>
        <v>OK</v>
      </c>
      <c r="I83">
        <v>4.8</v>
      </c>
      <c r="J83">
        <f>IF(MONTH(calls[[#This Row],[Date of Call]])&lt;=6, YEAR(calls[[#This Row],[Date of Call]]), YEAR(calls[[#This Row],[Date of Call]])+1)</f>
        <v>2023</v>
      </c>
      <c r="K83" t="str">
        <f>TEXT(calls[[#This Row],[Date of Call]],"DDDD")</f>
        <v>Wednesday</v>
      </c>
      <c r="L83" t="str" cm="1">
        <f t="array" ref="L83">_xlfn.IFS(calls[[#This Row],[Duration]]&lt;=10,"under 10 mins",calls[[#This Row],[Duration]]&lt;=30,"10 to 30mins",calls[[#This Row],[Duration]]&lt;=60,"60 to 30mins",calls[[#This Row],[Duration]]&lt;=120,"1 to 2hrs",TRUE,"More than 2 hrs")</f>
        <v>More than 2 hrs</v>
      </c>
      <c r="M83">
        <f>ROUND(calls[[#This Row],[Satisfaction Rating]],0)</f>
        <v>5</v>
      </c>
      <c r="N83">
        <f>COUNTIF(calls[Customer ID], calls[[#This Row],[Customer ID]])</f>
        <v>74</v>
      </c>
      <c r="O83">
        <f>SUMIF(calls[Customer ID], calls[[#This Row],[Customer ID]], calls[Purchase Amount])</f>
        <v>6749</v>
      </c>
      <c r="P83">
        <f>calls[[#This Row],[call count]]/calls[[#This Row],[Purchase Amount]]</f>
        <v>0.86046511627906974</v>
      </c>
      <c r="Q83">
        <f>COUNTIF(calls[Customer ID],calls[[#This Row],[Customer ID]])</f>
        <v>74</v>
      </c>
      <c r="R83">
        <f>calls[[#This Row],[call count]]/calls[[#This Row],[Purchase Amount]]</f>
        <v>0.86046511627906974</v>
      </c>
    </row>
    <row r="84" spans="1:18" x14ac:dyDescent="0.4">
      <c r="A84" t="s">
        <v>113</v>
      </c>
      <c r="B84" t="s">
        <v>84</v>
      </c>
      <c r="C84">
        <v>109</v>
      </c>
      <c r="D84" s="4" t="s">
        <v>2</v>
      </c>
      <c r="E84" s="5">
        <v>44958</v>
      </c>
      <c r="F84">
        <v>105</v>
      </c>
      <c r="G84">
        <f>AVERAGEIF(calls[Representative], calls[[#This Row],[Representative]], calls[Satisfaction Rating])</f>
        <v>3.8824999999999998</v>
      </c>
      <c r="H84" t="str">
        <f>IF(AVERAGEIF(calls[Representative],calls[[#This Row],[Representative]],calls[Satisfaction Rating])&lt;3.5,"Needs Training","OK")</f>
        <v>OK</v>
      </c>
      <c r="I84">
        <v>3.3</v>
      </c>
      <c r="J84">
        <f>IF(MONTH(calls[[#This Row],[Date of Call]])&lt;=6, YEAR(calls[[#This Row],[Date of Call]]), YEAR(calls[[#This Row],[Date of Call]])+1)</f>
        <v>2023</v>
      </c>
      <c r="K84" t="str">
        <f>TEXT(calls[[#This Row],[Date of Call]],"DDDD")</f>
        <v>Wednesday</v>
      </c>
      <c r="L84" t="str" cm="1">
        <f t="array" ref="L84">_xlfn.IFS(calls[[#This Row],[Duration]]&lt;=10,"under 10 mins",calls[[#This Row],[Duration]]&lt;=30,"10 to 30mins",calls[[#This Row],[Duration]]&lt;=60,"60 to 30mins",calls[[#This Row],[Duration]]&lt;=120,"1 to 2hrs",TRUE,"More than 2 hrs")</f>
        <v>1 to 2hrs</v>
      </c>
      <c r="M84">
        <f>ROUND(calls[[#This Row],[Satisfaction Rating]],0)</f>
        <v>3</v>
      </c>
      <c r="N84">
        <f>COUNTIF(calls[Customer ID], calls[[#This Row],[Customer ID]])</f>
        <v>59</v>
      </c>
      <c r="O84">
        <f>SUMIF(calls[Customer ID], calls[[#This Row],[Customer ID]], calls[Purchase Amount])</f>
        <v>5009</v>
      </c>
      <c r="P84">
        <f>calls[[#This Row],[call count]]/calls[[#This Row],[Purchase Amount]]</f>
        <v>0.56190476190476191</v>
      </c>
      <c r="Q84">
        <f>COUNTIF(calls[Customer ID],calls[[#This Row],[Customer ID]])</f>
        <v>59</v>
      </c>
      <c r="R84">
        <f>calls[[#This Row],[call count]]/calls[[#This Row],[Purchase Amount]]</f>
        <v>0.56190476190476191</v>
      </c>
    </row>
    <row r="85" spans="1:18" x14ac:dyDescent="0.4">
      <c r="A85" t="s">
        <v>114</v>
      </c>
      <c r="B85" t="s">
        <v>6</v>
      </c>
      <c r="C85">
        <v>78</v>
      </c>
      <c r="D85" s="4" t="s">
        <v>2</v>
      </c>
      <c r="E85" s="5">
        <v>44958</v>
      </c>
      <c r="F85">
        <v>62</v>
      </c>
      <c r="G85">
        <f>AVERAGEIF(calls[Representative], calls[[#This Row],[Representative]], calls[Satisfaction Rating])</f>
        <v>3.8824999999999998</v>
      </c>
      <c r="H85" t="str">
        <f>IF(AVERAGEIF(calls[Representative],calls[[#This Row],[Representative]],calls[Satisfaction Rating])&lt;3.5,"Needs Training","OK")</f>
        <v>OK</v>
      </c>
      <c r="I85">
        <v>3.1</v>
      </c>
      <c r="J85">
        <f>IF(MONTH(calls[[#This Row],[Date of Call]])&lt;=6, YEAR(calls[[#This Row],[Date of Call]]), YEAR(calls[[#This Row],[Date of Call]])+1)</f>
        <v>2023</v>
      </c>
      <c r="K85" t="str">
        <f>TEXT(calls[[#This Row],[Date of Call]],"DDDD")</f>
        <v>Wednesday</v>
      </c>
      <c r="L85" t="str" cm="1">
        <f t="array" ref="L85">_xlfn.IFS(calls[[#This Row],[Duration]]&lt;=10,"under 10 mins",calls[[#This Row],[Duration]]&lt;=30,"10 to 30mins",calls[[#This Row],[Duration]]&lt;=60,"60 to 30mins",calls[[#This Row],[Duration]]&lt;=120,"1 to 2hrs",TRUE,"More than 2 hrs")</f>
        <v>1 to 2hrs</v>
      </c>
      <c r="M85">
        <f>ROUND(calls[[#This Row],[Satisfaction Rating]],0)</f>
        <v>3</v>
      </c>
      <c r="N85">
        <f>COUNTIF(calls[Customer ID], calls[[#This Row],[Customer ID]])</f>
        <v>82</v>
      </c>
      <c r="O85">
        <f>SUMIF(calls[Customer ID], calls[[#This Row],[Customer ID]], calls[Purchase Amount])</f>
        <v>7689</v>
      </c>
      <c r="P85">
        <f>calls[[#This Row],[call count]]/calls[[#This Row],[Purchase Amount]]</f>
        <v>1.3225806451612903</v>
      </c>
      <c r="Q85">
        <f>COUNTIF(calls[Customer ID],calls[[#This Row],[Customer ID]])</f>
        <v>82</v>
      </c>
      <c r="R85">
        <f>calls[[#This Row],[call count]]/calls[[#This Row],[Purchase Amount]]</f>
        <v>1.3225806451612903</v>
      </c>
    </row>
    <row r="86" spans="1:18" x14ac:dyDescent="0.4">
      <c r="A86" t="s">
        <v>115</v>
      </c>
      <c r="B86" t="s">
        <v>13</v>
      </c>
      <c r="C86">
        <v>137</v>
      </c>
      <c r="D86" s="4" t="s">
        <v>23</v>
      </c>
      <c r="E86" s="5">
        <v>44958</v>
      </c>
      <c r="F86">
        <v>90</v>
      </c>
      <c r="G86">
        <f>AVERAGEIF(calls[Representative], calls[[#This Row],[Representative]], calls[Satisfaction Rating])</f>
        <v>3.8973118279569863</v>
      </c>
      <c r="H86" t="str">
        <f>IF(AVERAGEIF(calls[Representative],calls[[#This Row],[Representative]],calls[Satisfaction Rating])&lt;3.5,"Needs Training","OK")</f>
        <v>OK</v>
      </c>
      <c r="I86">
        <v>4.0999999999999996</v>
      </c>
      <c r="J86">
        <f>IF(MONTH(calls[[#This Row],[Date of Call]])&lt;=6, YEAR(calls[[#This Row],[Date of Call]]), YEAR(calls[[#This Row],[Date of Call]])+1)</f>
        <v>2023</v>
      </c>
      <c r="K86" t="str">
        <f>TEXT(calls[[#This Row],[Date of Call]],"DDDD")</f>
        <v>Wednesday</v>
      </c>
      <c r="L86" t="str" cm="1">
        <f t="array" ref="L86">_xlfn.IFS(calls[[#This Row],[Duration]]&lt;=10,"under 10 mins",calls[[#This Row],[Duration]]&lt;=30,"10 to 30mins",calls[[#This Row],[Duration]]&lt;=60,"60 to 30mins",calls[[#This Row],[Duration]]&lt;=120,"1 to 2hrs",TRUE,"More than 2 hrs")</f>
        <v>More than 2 hrs</v>
      </c>
      <c r="M86">
        <f>ROUND(calls[[#This Row],[Satisfaction Rating]],0)</f>
        <v>4</v>
      </c>
      <c r="N86">
        <f>COUNTIF(calls[Customer ID], calls[[#This Row],[Customer ID]])</f>
        <v>74</v>
      </c>
      <c r="O86">
        <f>SUMIF(calls[Customer ID], calls[[#This Row],[Customer ID]], calls[Purchase Amount])</f>
        <v>6749</v>
      </c>
      <c r="P86">
        <f>calls[[#This Row],[call count]]/calls[[#This Row],[Purchase Amount]]</f>
        <v>0.82222222222222219</v>
      </c>
      <c r="Q86">
        <f>COUNTIF(calls[Customer ID],calls[[#This Row],[Customer ID]])</f>
        <v>74</v>
      </c>
      <c r="R86">
        <f>calls[[#This Row],[call count]]/calls[[#This Row],[Purchase Amount]]</f>
        <v>0.82222222222222219</v>
      </c>
    </row>
    <row r="87" spans="1:18" x14ac:dyDescent="0.4">
      <c r="A87" t="s">
        <v>116</v>
      </c>
      <c r="B87" t="s">
        <v>11</v>
      </c>
      <c r="C87">
        <v>99</v>
      </c>
      <c r="D87" s="4" t="s">
        <v>2</v>
      </c>
      <c r="E87" s="5">
        <v>44959</v>
      </c>
      <c r="F87">
        <v>112</v>
      </c>
      <c r="G87">
        <f>AVERAGEIF(calls[Representative], calls[[#This Row],[Representative]], calls[Satisfaction Rating])</f>
        <v>3.8824999999999998</v>
      </c>
      <c r="H87" t="str">
        <f>IF(AVERAGEIF(calls[Representative],calls[[#This Row],[Representative]],calls[Satisfaction Rating])&lt;3.5,"Needs Training","OK")</f>
        <v>OK</v>
      </c>
      <c r="I87">
        <v>4.9000000000000004</v>
      </c>
      <c r="J87">
        <f>IF(MONTH(calls[[#This Row],[Date of Call]])&lt;=6, YEAR(calls[[#This Row],[Date of Call]]), YEAR(calls[[#This Row],[Date of Call]])+1)</f>
        <v>2023</v>
      </c>
      <c r="K87" t="str">
        <f>TEXT(calls[[#This Row],[Date of Call]],"DDDD")</f>
        <v>Thursday</v>
      </c>
      <c r="L87" t="str" cm="1">
        <f t="array" ref="L87">_xlfn.IFS(calls[[#This Row],[Duration]]&lt;=10,"under 10 mins",calls[[#This Row],[Duration]]&lt;=30,"10 to 30mins",calls[[#This Row],[Duration]]&lt;=60,"60 to 30mins",calls[[#This Row],[Duration]]&lt;=120,"1 to 2hrs",TRUE,"More than 2 hrs")</f>
        <v>1 to 2hrs</v>
      </c>
      <c r="M87">
        <f>ROUND(calls[[#This Row],[Satisfaction Rating]],0)</f>
        <v>5</v>
      </c>
      <c r="N87">
        <f>COUNTIF(calls[Customer ID], calls[[#This Row],[Customer ID]])</f>
        <v>60</v>
      </c>
      <c r="O87">
        <f>SUMIF(calls[Customer ID], calls[[#This Row],[Customer ID]], calls[Purchase Amount])</f>
        <v>5404</v>
      </c>
      <c r="P87">
        <f>calls[[#This Row],[call count]]/calls[[#This Row],[Purchase Amount]]</f>
        <v>0.5357142857142857</v>
      </c>
      <c r="Q87">
        <f>COUNTIF(calls[Customer ID],calls[[#This Row],[Customer ID]])</f>
        <v>60</v>
      </c>
      <c r="R87">
        <f>calls[[#This Row],[call count]]/calls[[#This Row],[Purchase Amount]]</f>
        <v>0.5357142857142857</v>
      </c>
    </row>
    <row r="88" spans="1:18" x14ac:dyDescent="0.4">
      <c r="A88" t="s">
        <v>117</v>
      </c>
      <c r="B88" t="s">
        <v>51</v>
      </c>
      <c r="C88">
        <v>100</v>
      </c>
      <c r="D88" s="4" t="s">
        <v>2</v>
      </c>
      <c r="E88" s="5">
        <v>44959</v>
      </c>
      <c r="F88">
        <v>135</v>
      </c>
      <c r="G88">
        <f>AVERAGEIF(calls[Representative], calls[[#This Row],[Representative]], calls[Satisfaction Rating])</f>
        <v>3.8824999999999998</v>
      </c>
      <c r="H88" t="str">
        <f>IF(AVERAGEIF(calls[Representative],calls[[#This Row],[Representative]],calls[Satisfaction Rating])&lt;3.5,"Needs Training","OK")</f>
        <v>OK</v>
      </c>
      <c r="I88">
        <v>4</v>
      </c>
      <c r="J88">
        <f>IF(MONTH(calls[[#This Row],[Date of Call]])&lt;=6, YEAR(calls[[#This Row],[Date of Call]]), YEAR(calls[[#This Row],[Date of Call]])+1)</f>
        <v>2023</v>
      </c>
      <c r="K88" t="str">
        <f>TEXT(calls[[#This Row],[Date of Call]],"DDDD")</f>
        <v>Thursday</v>
      </c>
      <c r="L88" t="str" cm="1">
        <f t="array" ref="L88">_xlfn.IFS(calls[[#This Row],[Duration]]&lt;=10,"under 10 mins",calls[[#This Row],[Duration]]&lt;=30,"10 to 30mins",calls[[#This Row],[Duration]]&lt;=60,"60 to 30mins",calls[[#This Row],[Duration]]&lt;=120,"1 to 2hrs",TRUE,"More than 2 hrs")</f>
        <v>1 to 2hrs</v>
      </c>
      <c r="M88">
        <f>ROUND(calls[[#This Row],[Satisfaction Rating]],0)</f>
        <v>4</v>
      </c>
      <c r="N88">
        <f>COUNTIF(calls[Customer ID], calls[[#This Row],[Customer ID]])</f>
        <v>59</v>
      </c>
      <c r="O88">
        <f>SUMIF(calls[Customer ID], calls[[#This Row],[Customer ID]], calls[Purchase Amount])</f>
        <v>6518</v>
      </c>
      <c r="P88">
        <f>calls[[#This Row],[call count]]/calls[[#This Row],[Purchase Amount]]</f>
        <v>0.43703703703703706</v>
      </c>
      <c r="Q88">
        <f>COUNTIF(calls[Customer ID],calls[[#This Row],[Customer ID]])</f>
        <v>59</v>
      </c>
      <c r="R88">
        <f>calls[[#This Row],[call count]]/calls[[#This Row],[Purchase Amount]]</f>
        <v>0.43703703703703706</v>
      </c>
    </row>
    <row r="89" spans="1:18" x14ac:dyDescent="0.4">
      <c r="A89" t="s">
        <v>118</v>
      </c>
      <c r="B89" t="s">
        <v>6</v>
      </c>
      <c r="C89">
        <v>47</v>
      </c>
      <c r="D89" s="4" t="s">
        <v>9</v>
      </c>
      <c r="E89" s="5">
        <v>44959</v>
      </c>
      <c r="F89">
        <v>34</v>
      </c>
      <c r="G89">
        <f>AVERAGEIF(calls[Representative], calls[[#This Row],[Representative]], calls[Satisfaction Rating])</f>
        <v>3.8706422018348627</v>
      </c>
      <c r="H89" t="str">
        <f>IF(AVERAGEIF(calls[Representative],calls[[#This Row],[Representative]],calls[Satisfaction Rating])&lt;3.5,"Needs Training","OK")</f>
        <v>OK</v>
      </c>
      <c r="I89">
        <v>2.1</v>
      </c>
      <c r="J89">
        <f>IF(MONTH(calls[[#This Row],[Date of Call]])&lt;=6, YEAR(calls[[#This Row],[Date of Call]]), YEAR(calls[[#This Row],[Date of Call]])+1)</f>
        <v>2023</v>
      </c>
      <c r="K89" t="str">
        <f>TEXT(calls[[#This Row],[Date of Call]],"DDDD")</f>
        <v>Thursday</v>
      </c>
      <c r="L89" t="str" cm="1">
        <f t="array" ref="L89">_xlfn.IFS(calls[[#This Row],[Duration]]&lt;=10,"under 10 mins",calls[[#This Row],[Duration]]&lt;=30,"10 to 30mins",calls[[#This Row],[Duration]]&lt;=60,"60 to 30mins",calls[[#This Row],[Duration]]&lt;=120,"1 to 2hrs",TRUE,"More than 2 hrs")</f>
        <v>60 to 30mins</v>
      </c>
      <c r="M89">
        <f>ROUND(calls[[#This Row],[Satisfaction Rating]],0)</f>
        <v>2</v>
      </c>
      <c r="N89">
        <f>COUNTIF(calls[Customer ID], calls[[#This Row],[Customer ID]])</f>
        <v>82</v>
      </c>
      <c r="O89">
        <f>SUMIF(calls[Customer ID], calls[[#This Row],[Customer ID]], calls[Purchase Amount])</f>
        <v>7689</v>
      </c>
      <c r="P89">
        <f>calls[[#This Row],[call count]]/calls[[#This Row],[Purchase Amount]]</f>
        <v>2.4117647058823528</v>
      </c>
      <c r="Q89">
        <f>COUNTIF(calls[Customer ID],calls[[#This Row],[Customer ID]])</f>
        <v>82</v>
      </c>
      <c r="R89">
        <f>calls[[#This Row],[call count]]/calls[[#This Row],[Purchase Amount]]</f>
        <v>2.4117647058823528</v>
      </c>
    </row>
    <row r="90" spans="1:18" x14ac:dyDescent="0.4">
      <c r="A90" t="s">
        <v>119</v>
      </c>
      <c r="B90" t="s">
        <v>84</v>
      </c>
      <c r="C90">
        <v>87</v>
      </c>
      <c r="D90" s="4" t="s">
        <v>14</v>
      </c>
      <c r="E90" s="5">
        <v>44959</v>
      </c>
      <c r="F90">
        <v>155</v>
      </c>
      <c r="G90">
        <f>AVERAGEIF(calls[Representative], calls[[#This Row],[Representative]], calls[Satisfaction Rating])</f>
        <v>3.9227513227513247</v>
      </c>
      <c r="H90" t="str">
        <f>IF(AVERAGEIF(calls[Representative],calls[[#This Row],[Representative]],calls[Satisfaction Rating])&lt;3.5,"Needs Training","OK")</f>
        <v>OK</v>
      </c>
      <c r="I90">
        <v>4.5</v>
      </c>
      <c r="J90">
        <f>IF(MONTH(calls[[#This Row],[Date of Call]])&lt;=6, YEAR(calls[[#This Row],[Date of Call]]), YEAR(calls[[#This Row],[Date of Call]])+1)</f>
        <v>2023</v>
      </c>
      <c r="K90" t="str">
        <f>TEXT(calls[[#This Row],[Date of Call]],"DDDD")</f>
        <v>Thursday</v>
      </c>
      <c r="L90" t="str" cm="1">
        <f t="array" ref="L90">_xlfn.IFS(calls[[#This Row],[Duration]]&lt;=10,"under 10 mins",calls[[#This Row],[Duration]]&lt;=30,"10 to 30mins",calls[[#This Row],[Duration]]&lt;=60,"60 to 30mins",calls[[#This Row],[Duration]]&lt;=120,"1 to 2hrs",TRUE,"More than 2 hrs")</f>
        <v>1 to 2hrs</v>
      </c>
      <c r="M90">
        <f>ROUND(calls[[#This Row],[Satisfaction Rating]],0)</f>
        <v>5</v>
      </c>
      <c r="N90">
        <f>COUNTIF(calls[Customer ID], calls[[#This Row],[Customer ID]])</f>
        <v>59</v>
      </c>
      <c r="O90">
        <f>SUMIF(calls[Customer ID], calls[[#This Row],[Customer ID]], calls[Purchase Amount])</f>
        <v>5009</v>
      </c>
      <c r="P90">
        <f>calls[[#This Row],[call count]]/calls[[#This Row],[Purchase Amount]]</f>
        <v>0.38064516129032255</v>
      </c>
      <c r="Q90">
        <f>COUNTIF(calls[Customer ID],calls[[#This Row],[Customer ID]])</f>
        <v>59</v>
      </c>
      <c r="R90">
        <f>calls[[#This Row],[call count]]/calls[[#This Row],[Purchase Amount]]</f>
        <v>0.38064516129032255</v>
      </c>
    </row>
    <row r="91" spans="1:18" x14ac:dyDescent="0.4">
      <c r="A91" t="s">
        <v>120</v>
      </c>
      <c r="B91" t="s">
        <v>11</v>
      </c>
      <c r="C91">
        <v>143</v>
      </c>
      <c r="D91" s="4" t="s">
        <v>14</v>
      </c>
      <c r="E91" s="5">
        <v>44961</v>
      </c>
      <c r="F91">
        <v>124</v>
      </c>
      <c r="G91">
        <f>AVERAGEIF(calls[Representative], calls[[#This Row],[Representative]], calls[Satisfaction Rating])</f>
        <v>3.9227513227513247</v>
      </c>
      <c r="H91" t="str">
        <f>IF(AVERAGEIF(calls[Representative],calls[[#This Row],[Representative]],calls[Satisfaction Rating])&lt;3.5,"Needs Training","OK")</f>
        <v>OK</v>
      </c>
      <c r="I91">
        <v>4.9000000000000004</v>
      </c>
      <c r="J91">
        <f>IF(MONTH(calls[[#This Row],[Date of Call]])&lt;=6, YEAR(calls[[#This Row],[Date of Call]]), YEAR(calls[[#This Row],[Date of Call]])+1)</f>
        <v>2023</v>
      </c>
      <c r="K91" t="str">
        <f>TEXT(calls[[#This Row],[Date of Call]],"DDDD")</f>
        <v>Saturday</v>
      </c>
      <c r="L91" t="str" cm="1">
        <f t="array" ref="L91">_xlfn.IFS(calls[[#This Row],[Duration]]&lt;=10,"under 10 mins",calls[[#This Row],[Duration]]&lt;=30,"10 to 30mins",calls[[#This Row],[Duration]]&lt;=60,"60 to 30mins",calls[[#This Row],[Duration]]&lt;=120,"1 to 2hrs",TRUE,"More than 2 hrs")</f>
        <v>More than 2 hrs</v>
      </c>
      <c r="M91">
        <f>ROUND(calls[[#This Row],[Satisfaction Rating]],0)</f>
        <v>5</v>
      </c>
      <c r="N91">
        <f>COUNTIF(calls[Customer ID], calls[[#This Row],[Customer ID]])</f>
        <v>60</v>
      </c>
      <c r="O91">
        <f>SUMIF(calls[Customer ID], calls[[#This Row],[Customer ID]], calls[Purchase Amount])</f>
        <v>5404</v>
      </c>
      <c r="P91">
        <f>calls[[#This Row],[call count]]/calls[[#This Row],[Purchase Amount]]</f>
        <v>0.4838709677419355</v>
      </c>
      <c r="Q91">
        <f>COUNTIF(calls[Customer ID],calls[[#This Row],[Customer ID]])</f>
        <v>60</v>
      </c>
      <c r="R91">
        <f>calls[[#This Row],[call count]]/calls[[#This Row],[Purchase Amount]]</f>
        <v>0.4838709677419355</v>
      </c>
    </row>
    <row r="92" spans="1:18" x14ac:dyDescent="0.4">
      <c r="A92" t="s">
        <v>121</v>
      </c>
      <c r="B92" t="s">
        <v>51</v>
      </c>
      <c r="C92">
        <v>84</v>
      </c>
      <c r="D92" s="4" t="s">
        <v>2</v>
      </c>
      <c r="E92" s="5">
        <v>44961</v>
      </c>
      <c r="F92">
        <v>195</v>
      </c>
      <c r="G92">
        <f>AVERAGEIF(calls[Representative], calls[[#This Row],[Representative]], calls[Satisfaction Rating])</f>
        <v>3.8824999999999998</v>
      </c>
      <c r="H92" t="str">
        <f>IF(AVERAGEIF(calls[Representative],calls[[#This Row],[Representative]],calls[Satisfaction Rating])&lt;3.5,"Needs Training","OK")</f>
        <v>OK</v>
      </c>
      <c r="I92">
        <v>4.0999999999999996</v>
      </c>
      <c r="J92">
        <f>IF(MONTH(calls[[#This Row],[Date of Call]])&lt;=6, YEAR(calls[[#This Row],[Date of Call]]), YEAR(calls[[#This Row],[Date of Call]])+1)</f>
        <v>2023</v>
      </c>
      <c r="K92" t="str">
        <f>TEXT(calls[[#This Row],[Date of Call]],"DDDD")</f>
        <v>Saturday</v>
      </c>
      <c r="L92" t="str" cm="1">
        <f t="array" ref="L92">_xlfn.IFS(calls[[#This Row],[Duration]]&lt;=10,"under 10 mins",calls[[#This Row],[Duration]]&lt;=30,"10 to 30mins",calls[[#This Row],[Duration]]&lt;=60,"60 to 30mins",calls[[#This Row],[Duration]]&lt;=120,"1 to 2hrs",TRUE,"More than 2 hrs")</f>
        <v>1 to 2hrs</v>
      </c>
      <c r="M92">
        <f>ROUND(calls[[#This Row],[Satisfaction Rating]],0)</f>
        <v>4</v>
      </c>
      <c r="N92">
        <f>COUNTIF(calls[Customer ID], calls[[#This Row],[Customer ID]])</f>
        <v>59</v>
      </c>
      <c r="O92">
        <f>SUMIF(calls[Customer ID], calls[[#This Row],[Customer ID]], calls[Purchase Amount])</f>
        <v>6518</v>
      </c>
      <c r="P92">
        <f>calls[[#This Row],[call count]]/calls[[#This Row],[Purchase Amount]]</f>
        <v>0.30256410256410254</v>
      </c>
      <c r="Q92">
        <f>COUNTIF(calls[Customer ID],calls[[#This Row],[Customer ID]])</f>
        <v>59</v>
      </c>
      <c r="R92">
        <f>calls[[#This Row],[call count]]/calls[[#This Row],[Purchase Amount]]</f>
        <v>0.30256410256410254</v>
      </c>
    </row>
    <row r="93" spans="1:18" x14ac:dyDescent="0.4">
      <c r="A93" t="s">
        <v>122</v>
      </c>
      <c r="B93" t="s">
        <v>64</v>
      </c>
      <c r="C93">
        <v>55</v>
      </c>
      <c r="D93" s="4" t="s">
        <v>14</v>
      </c>
      <c r="E93" s="5">
        <v>44962</v>
      </c>
      <c r="F93">
        <v>78</v>
      </c>
      <c r="G93">
        <f>AVERAGEIF(calls[Representative], calls[[#This Row],[Representative]], calls[Satisfaction Rating])</f>
        <v>3.9227513227513247</v>
      </c>
      <c r="H93" t="str">
        <f>IF(AVERAGEIF(calls[Representative],calls[[#This Row],[Representative]],calls[Satisfaction Rating])&lt;3.5,"Needs Training","OK")</f>
        <v>OK</v>
      </c>
      <c r="I93">
        <v>4.5</v>
      </c>
      <c r="J93">
        <f>IF(MONTH(calls[[#This Row],[Date of Call]])&lt;=6, YEAR(calls[[#This Row],[Date of Call]]), YEAR(calls[[#This Row],[Date of Call]])+1)</f>
        <v>2023</v>
      </c>
      <c r="K93" t="str">
        <f>TEXT(calls[[#This Row],[Date of Call]],"DDDD")</f>
        <v>Sunday</v>
      </c>
      <c r="L93" t="str" cm="1">
        <f t="array" ref="L93">_xlfn.IFS(calls[[#This Row],[Duration]]&lt;=10,"under 10 mins",calls[[#This Row],[Duration]]&lt;=30,"10 to 30mins",calls[[#This Row],[Duration]]&lt;=60,"60 to 30mins",calls[[#This Row],[Duration]]&lt;=120,"1 to 2hrs",TRUE,"More than 2 hrs")</f>
        <v>60 to 30mins</v>
      </c>
      <c r="M93">
        <f>ROUND(calls[[#This Row],[Satisfaction Rating]],0)</f>
        <v>5</v>
      </c>
      <c r="N93">
        <f>COUNTIF(calls[Customer ID], calls[[#This Row],[Customer ID]])</f>
        <v>65</v>
      </c>
      <c r="O93">
        <f>SUMIF(calls[Customer ID], calls[[#This Row],[Customer ID]], calls[Purchase Amount])</f>
        <v>6785</v>
      </c>
      <c r="P93">
        <f>calls[[#This Row],[call count]]/calls[[#This Row],[Purchase Amount]]</f>
        <v>0.83333333333333337</v>
      </c>
      <c r="Q93">
        <f>COUNTIF(calls[Customer ID],calls[[#This Row],[Customer ID]])</f>
        <v>65</v>
      </c>
      <c r="R93">
        <f>calls[[#This Row],[call count]]/calls[[#This Row],[Purchase Amount]]</f>
        <v>0.83333333333333337</v>
      </c>
    </row>
    <row r="94" spans="1:18" x14ac:dyDescent="0.4">
      <c r="A94" t="s">
        <v>123</v>
      </c>
      <c r="B94" t="s">
        <v>21</v>
      </c>
      <c r="C94">
        <v>135</v>
      </c>
      <c r="D94" s="4" t="s">
        <v>23</v>
      </c>
      <c r="E94" s="5">
        <v>44964</v>
      </c>
      <c r="F94">
        <v>35</v>
      </c>
      <c r="G94">
        <f>AVERAGEIF(calls[Representative], calls[[#This Row],[Representative]], calls[Satisfaction Rating])</f>
        <v>3.8973118279569863</v>
      </c>
      <c r="H94" t="str">
        <f>IF(AVERAGEIF(calls[Representative],calls[[#This Row],[Representative]],calls[Satisfaction Rating])&lt;3.5,"Needs Training","OK")</f>
        <v>OK</v>
      </c>
      <c r="I94">
        <v>4.8</v>
      </c>
      <c r="J94">
        <f>IF(MONTH(calls[[#This Row],[Date of Call]])&lt;=6, YEAR(calls[[#This Row],[Date of Call]]), YEAR(calls[[#This Row],[Date of Call]])+1)</f>
        <v>2023</v>
      </c>
      <c r="K94" t="str">
        <f>TEXT(calls[[#This Row],[Date of Call]],"DDDD")</f>
        <v>Tuesday</v>
      </c>
      <c r="L94" t="str" cm="1">
        <f t="array" ref="L94">_xlfn.IFS(calls[[#This Row],[Duration]]&lt;=10,"under 10 mins",calls[[#This Row],[Duration]]&lt;=30,"10 to 30mins",calls[[#This Row],[Duration]]&lt;=60,"60 to 30mins",calls[[#This Row],[Duration]]&lt;=120,"1 to 2hrs",TRUE,"More than 2 hrs")</f>
        <v>More than 2 hrs</v>
      </c>
      <c r="M94">
        <f>ROUND(calls[[#This Row],[Satisfaction Rating]],0)</f>
        <v>5</v>
      </c>
      <c r="N94">
        <f>COUNTIF(calls[Customer ID], calls[[#This Row],[Customer ID]])</f>
        <v>67</v>
      </c>
      <c r="O94">
        <f>SUMIF(calls[Customer ID], calls[[#This Row],[Customer ID]], calls[Purchase Amount])</f>
        <v>7216</v>
      </c>
      <c r="P94">
        <f>calls[[#This Row],[call count]]/calls[[#This Row],[Purchase Amount]]</f>
        <v>1.9142857142857144</v>
      </c>
      <c r="Q94">
        <f>COUNTIF(calls[Customer ID],calls[[#This Row],[Customer ID]])</f>
        <v>67</v>
      </c>
      <c r="R94">
        <f>calls[[#This Row],[call count]]/calls[[#This Row],[Purchase Amount]]</f>
        <v>1.9142857142857144</v>
      </c>
    </row>
    <row r="95" spans="1:18" x14ac:dyDescent="0.4">
      <c r="A95" t="s">
        <v>124</v>
      </c>
      <c r="B95" t="s">
        <v>54</v>
      </c>
      <c r="C95">
        <v>152</v>
      </c>
      <c r="D95" s="4" t="s">
        <v>9</v>
      </c>
      <c r="E95" s="5">
        <v>44964</v>
      </c>
      <c r="F95">
        <v>123</v>
      </c>
      <c r="G95">
        <f>AVERAGEIF(calls[Representative], calls[[#This Row],[Representative]], calls[Satisfaction Rating])</f>
        <v>3.8706422018348627</v>
      </c>
      <c r="H95" t="str">
        <f>IF(AVERAGEIF(calls[Representative],calls[[#This Row],[Representative]],calls[Satisfaction Rating])&lt;3.5,"Needs Training","OK")</f>
        <v>OK</v>
      </c>
      <c r="I95">
        <v>4.5999999999999996</v>
      </c>
      <c r="J95">
        <f>IF(MONTH(calls[[#This Row],[Date of Call]])&lt;=6, YEAR(calls[[#This Row],[Date of Call]]), YEAR(calls[[#This Row],[Date of Call]])+1)</f>
        <v>2023</v>
      </c>
      <c r="K95" t="str">
        <f>TEXT(calls[[#This Row],[Date of Call]],"DDDD")</f>
        <v>Tuesday</v>
      </c>
      <c r="L95" t="str" cm="1">
        <f t="array" ref="L95">_xlfn.IFS(calls[[#This Row],[Duration]]&lt;=10,"under 10 mins",calls[[#This Row],[Duration]]&lt;=30,"10 to 30mins",calls[[#This Row],[Duration]]&lt;=60,"60 to 30mins",calls[[#This Row],[Duration]]&lt;=120,"1 to 2hrs",TRUE,"More than 2 hrs")</f>
        <v>More than 2 hrs</v>
      </c>
      <c r="M95">
        <f>ROUND(calls[[#This Row],[Satisfaction Rating]],0)</f>
        <v>5</v>
      </c>
      <c r="N95">
        <f>COUNTIF(calls[Customer ID], calls[[#This Row],[Customer ID]])</f>
        <v>70</v>
      </c>
      <c r="O95">
        <f>SUMIF(calls[Customer ID], calls[[#This Row],[Customer ID]], calls[Purchase Amount])</f>
        <v>6819</v>
      </c>
      <c r="P95">
        <f>calls[[#This Row],[call count]]/calls[[#This Row],[Purchase Amount]]</f>
        <v>0.56910569105691056</v>
      </c>
      <c r="Q95">
        <f>COUNTIF(calls[Customer ID],calls[[#This Row],[Customer ID]])</f>
        <v>70</v>
      </c>
      <c r="R95">
        <f>calls[[#This Row],[call count]]/calls[[#This Row],[Purchase Amount]]</f>
        <v>0.56910569105691056</v>
      </c>
    </row>
    <row r="96" spans="1:18" x14ac:dyDescent="0.4">
      <c r="A96" t="s">
        <v>125</v>
      </c>
      <c r="B96" t="s">
        <v>8</v>
      </c>
      <c r="C96">
        <v>132</v>
      </c>
      <c r="D96" s="4" t="s">
        <v>9</v>
      </c>
      <c r="E96" s="5">
        <v>44964</v>
      </c>
      <c r="F96">
        <v>43</v>
      </c>
      <c r="G96">
        <f>AVERAGEIF(calls[Representative], calls[[#This Row],[Representative]], calls[Satisfaction Rating])</f>
        <v>3.8706422018348627</v>
      </c>
      <c r="H96" t="str">
        <f>IF(AVERAGEIF(calls[Representative],calls[[#This Row],[Representative]],calls[Satisfaction Rating])&lt;3.5,"Needs Training","OK")</f>
        <v>OK</v>
      </c>
      <c r="I96">
        <v>4.5999999999999996</v>
      </c>
      <c r="J96">
        <f>IF(MONTH(calls[[#This Row],[Date of Call]])&lt;=6, YEAR(calls[[#This Row],[Date of Call]]), YEAR(calls[[#This Row],[Date of Call]])+1)</f>
        <v>2023</v>
      </c>
      <c r="K96" t="str">
        <f>TEXT(calls[[#This Row],[Date of Call]],"DDDD")</f>
        <v>Tuesday</v>
      </c>
      <c r="L96" t="str" cm="1">
        <f t="array" ref="L96">_xlfn.IFS(calls[[#This Row],[Duration]]&lt;=10,"under 10 mins",calls[[#This Row],[Duration]]&lt;=30,"10 to 30mins",calls[[#This Row],[Duration]]&lt;=60,"60 to 30mins",calls[[#This Row],[Duration]]&lt;=120,"1 to 2hrs",TRUE,"More than 2 hrs")</f>
        <v>More than 2 hrs</v>
      </c>
      <c r="M96">
        <f>ROUND(calls[[#This Row],[Satisfaction Rating]],0)</f>
        <v>5</v>
      </c>
      <c r="N96">
        <f>COUNTIF(calls[Customer ID], calls[[#This Row],[Customer ID]])</f>
        <v>79</v>
      </c>
      <c r="O96">
        <f>SUMIF(calls[Customer ID], calls[[#This Row],[Customer ID]], calls[Purchase Amount])</f>
        <v>7747</v>
      </c>
      <c r="P96">
        <f>calls[[#This Row],[call count]]/calls[[#This Row],[Purchase Amount]]</f>
        <v>1.8372093023255813</v>
      </c>
      <c r="Q96">
        <f>COUNTIF(calls[Customer ID],calls[[#This Row],[Customer ID]])</f>
        <v>79</v>
      </c>
      <c r="R96">
        <f>calls[[#This Row],[call count]]/calls[[#This Row],[Purchase Amount]]</f>
        <v>1.8372093023255813</v>
      </c>
    </row>
    <row r="97" spans="1:18" x14ac:dyDescent="0.4">
      <c r="A97" t="s">
        <v>126</v>
      </c>
      <c r="B97" t="s">
        <v>44</v>
      </c>
      <c r="C97">
        <v>60</v>
      </c>
      <c r="D97" s="4" t="s">
        <v>2</v>
      </c>
      <c r="E97" s="5">
        <v>44965</v>
      </c>
      <c r="F97">
        <v>69</v>
      </c>
      <c r="G97">
        <f>AVERAGEIF(calls[Representative], calls[[#This Row],[Representative]], calls[Satisfaction Rating])</f>
        <v>3.8824999999999998</v>
      </c>
      <c r="H97" t="str">
        <f>IF(AVERAGEIF(calls[Representative],calls[[#This Row],[Representative]],calls[Satisfaction Rating])&lt;3.5,"Needs Training","OK")</f>
        <v>OK</v>
      </c>
      <c r="I97">
        <v>4.3</v>
      </c>
      <c r="J97">
        <f>IF(MONTH(calls[[#This Row],[Date of Call]])&lt;=6, YEAR(calls[[#This Row],[Date of Call]]), YEAR(calls[[#This Row],[Date of Call]])+1)</f>
        <v>2023</v>
      </c>
      <c r="K97" t="str">
        <f>TEXT(calls[[#This Row],[Date of Call]],"DDDD")</f>
        <v>Wednesday</v>
      </c>
      <c r="L97" t="str" cm="1">
        <f t="array" ref="L97">_xlfn.IFS(calls[[#This Row],[Duration]]&lt;=10,"under 10 mins",calls[[#This Row],[Duration]]&lt;=30,"10 to 30mins",calls[[#This Row],[Duration]]&lt;=60,"60 to 30mins",calls[[#This Row],[Duration]]&lt;=120,"1 to 2hrs",TRUE,"More than 2 hrs")</f>
        <v>60 to 30mins</v>
      </c>
      <c r="M97">
        <f>ROUND(calls[[#This Row],[Satisfaction Rating]],0)</f>
        <v>4</v>
      </c>
      <c r="N97">
        <f>COUNTIF(calls[Customer ID], calls[[#This Row],[Customer ID]])</f>
        <v>62</v>
      </c>
      <c r="O97">
        <f>SUMIF(calls[Customer ID], calls[[#This Row],[Customer ID]], calls[Purchase Amount])</f>
        <v>6176</v>
      </c>
      <c r="P97">
        <f>calls[[#This Row],[call count]]/calls[[#This Row],[Purchase Amount]]</f>
        <v>0.89855072463768115</v>
      </c>
      <c r="Q97">
        <f>COUNTIF(calls[Customer ID],calls[[#This Row],[Customer ID]])</f>
        <v>62</v>
      </c>
      <c r="R97">
        <f>calls[[#This Row],[call count]]/calls[[#This Row],[Purchase Amount]]</f>
        <v>0.89855072463768115</v>
      </c>
    </row>
    <row r="98" spans="1:18" x14ac:dyDescent="0.4">
      <c r="A98" t="s">
        <v>127</v>
      </c>
      <c r="B98" t="s">
        <v>54</v>
      </c>
      <c r="C98">
        <v>95</v>
      </c>
      <c r="D98" s="4" t="s">
        <v>9</v>
      </c>
      <c r="E98" s="5">
        <v>44965</v>
      </c>
      <c r="F98">
        <v>130</v>
      </c>
      <c r="G98">
        <f>AVERAGEIF(calls[Representative], calls[[#This Row],[Representative]], calls[Satisfaction Rating])</f>
        <v>3.8706422018348627</v>
      </c>
      <c r="H98" t="str">
        <f>IF(AVERAGEIF(calls[Representative],calls[[#This Row],[Representative]],calls[Satisfaction Rating])&lt;3.5,"Needs Training","OK")</f>
        <v>OK</v>
      </c>
      <c r="I98">
        <v>5</v>
      </c>
      <c r="J98">
        <f>IF(MONTH(calls[[#This Row],[Date of Call]])&lt;=6, YEAR(calls[[#This Row],[Date of Call]]), YEAR(calls[[#This Row],[Date of Call]])+1)</f>
        <v>2023</v>
      </c>
      <c r="K98" t="str">
        <f>TEXT(calls[[#This Row],[Date of Call]],"DDDD")</f>
        <v>Wednesday</v>
      </c>
      <c r="L98" t="str" cm="1">
        <f t="array" ref="L98">_xlfn.IFS(calls[[#This Row],[Duration]]&lt;=10,"under 10 mins",calls[[#This Row],[Duration]]&lt;=30,"10 to 30mins",calls[[#This Row],[Duration]]&lt;=60,"60 to 30mins",calls[[#This Row],[Duration]]&lt;=120,"1 to 2hrs",TRUE,"More than 2 hrs")</f>
        <v>1 to 2hrs</v>
      </c>
      <c r="M98">
        <f>ROUND(calls[[#This Row],[Satisfaction Rating]],0)</f>
        <v>5</v>
      </c>
      <c r="N98">
        <f>COUNTIF(calls[Customer ID], calls[[#This Row],[Customer ID]])</f>
        <v>70</v>
      </c>
      <c r="O98">
        <f>SUMIF(calls[Customer ID], calls[[#This Row],[Customer ID]], calls[Purchase Amount])</f>
        <v>6819</v>
      </c>
      <c r="P98">
        <f>calls[[#This Row],[call count]]/calls[[#This Row],[Purchase Amount]]</f>
        <v>0.53846153846153844</v>
      </c>
      <c r="Q98">
        <f>COUNTIF(calls[Customer ID],calls[[#This Row],[Customer ID]])</f>
        <v>70</v>
      </c>
      <c r="R98">
        <f>calls[[#This Row],[call count]]/calls[[#This Row],[Purchase Amount]]</f>
        <v>0.53846153846153844</v>
      </c>
    </row>
    <row r="99" spans="1:18" x14ac:dyDescent="0.4">
      <c r="A99" t="s">
        <v>128</v>
      </c>
      <c r="B99" t="s">
        <v>1</v>
      </c>
      <c r="C99">
        <v>96</v>
      </c>
      <c r="D99" s="4" t="s">
        <v>27</v>
      </c>
      <c r="E99" s="5">
        <v>44965</v>
      </c>
      <c r="F99">
        <v>120</v>
      </c>
      <c r="G99">
        <f>AVERAGEIF(calls[Representative], calls[[#This Row],[Representative]], calls[Satisfaction Rating])</f>
        <v>3.8589371980676304</v>
      </c>
      <c r="H99" t="str">
        <f>IF(AVERAGEIF(calls[Representative],calls[[#This Row],[Representative]],calls[Satisfaction Rating])&lt;3.5,"Needs Training","OK")</f>
        <v>OK</v>
      </c>
      <c r="I99">
        <v>4</v>
      </c>
      <c r="J99">
        <f>IF(MONTH(calls[[#This Row],[Date of Call]])&lt;=6, YEAR(calls[[#This Row],[Date of Call]]), YEAR(calls[[#This Row],[Date of Call]])+1)</f>
        <v>2023</v>
      </c>
      <c r="K99" t="str">
        <f>TEXT(calls[[#This Row],[Date of Call]],"DDDD")</f>
        <v>Wednesday</v>
      </c>
      <c r="L99" t="str" cm="1">
        <f t="array" ref="L99">_xlfn.IFS(calls[[#This Row],[Duration]]&lt;=10,"under 10 mins",calls[[#This Row],[Duration]]&lt;=30,"10 to 30mins",calls[[#This Row],[Duration]]&lt;=60,"60 to 30mins",calls[[#This Row],[Duration]]&lt;=120,"1 to 2hrs",TRUE,"More than 2 hrs")</f>
        <v>1 to 2hrs</v>
      </c>
      <c r="M99">
        <f>ROUND(calls[[#This Row],[Satisfaction Rating]],0)</f>
        <v>4</v>
      </c>
      <c r="N99">
        <f>COUNTIF(calls[Customer ID], calls[[#This Row],[Customer ID]])</f>
        <v>50</v>
      </c>
      <c r="O99">
        <f>SUMIF(calls[Customer ID], calls[[#This Row],[Customer ID]], calls[Purchase Amount])</f>
        <v>4804</v>
      </c>
      <c r="P99">
        <f>calls[[#This Row],[call count]]/calls[[#This Row],[Purchase Amount]]</f>
        <v>0.41666666666666669</v>
      </c>
      <c r="Q99">
        <f>COUNTIF(calls[Customer ID],calls[[#This Row],[Customer ID]])</f>
        <v>50</v>
      </c>
      <c r="R99">
        <f>calls[[#This Row],[call count]]/calls[[#This Row],[Purchase Amount]]</f>
        <v>0.41666666666666669</v>
      </c>
    </row>
    <row r="100" spans="1:18" x14ac:dyDescent="0.4">
      <c r="A100" t="s">
        <v>129</v>
      </c>
      <c r="B100" t="s">
        <v>64</v>
      </c>
      <c r="C100">
        <v>45</v>
      </c>
      <c r="D100" s="4" t="s">
        <v>2</v>
      </c>
      <c r="E100" s="5">
        <v>44966</v>
      </c>
      <c r="F100">
        <v>84</v>
      </c>
      <c r="G100">
        <f>AVERAGEIF(calls[Representative], calls[[#This Row],[Representative]], calls[Satisfaction Rating])</f>
        <v>3.8824999999999998</v>
      </c>
      <c r="H100" t="str">
        <f>IF(AVERAGEIF(calls[Representative],calls[[#This Row],[Representative]],calls[Satisfaction Rating])&lt;3.5,"Needs Training","OK")</f>
        <v>OK</v>
      </c>
      <c r="I100">
        <v>4.5999999999999996</v>
      </c>
      <c r="J100">
        <f>IF(MONTH(calls[[#This Row],[Date of Call]])&lt;=6, YEAR(calls[[#This Row],[Date of Call]]), YEAR(calls[[#This Row],[Date of Call]])+1)</f>
        <v>2023</v>
      </c>
      <c r="K100" t="str">
        <f>TEXT(calls[[#This Row],[Date of Call]],"DDDD")</f>
        <v>Thursday</v>
      </c>
      <c r="L100" t="str" cm="1">
        <f t="array" ref="L100">_xlfn.IFS(calls[[#This Row],[Duration]]&lt;=10,"under 10 mins",calls[[#This Row],[Duration]]&lt;=30,"10 to 30mins",calls[[#This Row],[Duration]]&lt;=60,"60 to 30mins",calls[[#This Row],[Duration]]&lt;=120,"1 to 2hrs",TRUE,"More than 2 hrs")</f>
        <v>60 to 30mins</v>
      </c>
      <c r="M100">
        <f>ROUND(calls[[#This Row],[Satisfaction Rating]],0)</f>
        <v>5</v>
      </c>
      <c r="N100">
        <f>COUNTIF(calls[Customer ID], calls[[#This Row],[Customer ID]])</f>
        <v>65</v>
      </c>
      <c r="O100">
        <f>SUMIF(calls[Customer ID], calls[[#This Row],[Customer ID]], calls[Purchase Amount])</f>
        <v>6785</v>
      </c>
      <c r="P100">
        <f>calls[[#This Row],[call count]]/calls[[#This Row],[Purchase Amount]]</f>
        <v>0.77380952380952384</v>
      </c>
      <c r="Q100">
        <f>COUNTIF(calls[Customer ID],calls[[#This Row],[Customer ID]])</f>
        <v>65</v>
      </c>
      <c r="R100">
        <f>calls[[#This Row],[call count]]/calls[[#This Row],[Purchase Amount]]</f>
        <v>0.77380952380952384</v>
      </c>
    </row>
    <row r="101" spans="1:18" x14ac:dyDescent="0.4">
      <c r="A101" t="s">
        <v>130</v>
      </c>
      <c r="B101" t="s">
        <v>1</v>
      </c>
      <c r="C101">
        <v>132</v>
      </c>
      <c r="D101" s="4" t="s">
        <v>27</v>
      </c>
      <c r="E101" s="5">
        <v>44967</v>
      </c>
      <c r="F101">
        <v>112</v>
      </c>
      <c r="G101">
        <f>AVERAGEIF(calls[Representative], calls[[#This Row],[Representative]], calls[Satisfaction Rating])</f>
        <v>3.8589371980676304</v>
      </c>
      <c r="H101" t="str">
        <f>IF(AVERAGEIF(calls[Representative],calls[[#This Row],[Representative]],calls[Satisfaction Rating])&lt;3.5,"Needs Training","OK")</f>
        <v>OK</v>
      </c>
      <c r="I101">
        <v>4.5</v>
      </c>
      <c r="J101">
        <f>IF(MONTH(calls[[#This Row],[Date of Call]])&lt;=6, YEAR(calls[[#This Row],[Date of Call]]), YEAR(calls[[#This Row],[Date of Call]])+1)</f>
        <v>2023</v>
      </c>
      <c r="K101" t="str">
        <f>TEXT(calls[[#This Row],[Date of Call]],"DDDD")</f>
        <v>Friday</v>
      </c>
      <c r="L101" t="str" cm="1">
        <f t="array" ref="L101">_xlfn.IFS(calls[[#This Row],[Duration]]&lt;=10,"under 10 mins",calls[[#This Row],[Duration]]&lt;=30,"10 to 30mins",calls[[#This Row],[Duration]]&lt;=60,"60 to 30mins",calls[[#This Row],[Duration]]&lt;=120,"1 to 2hrs",TRUE,"More than 2 hrs")</f>
        <v>More than 2 hrs</v>
      </c>
      <c r="M101">
        <f>ROUND(calls[[#This Row],[Satisfaction Rating]],0)</f>
        <v>5</v>
      </c>
      <c r="N101">
        <f>COUNTIF(calls[Customer ID], calls[[#This Row],[Customer ID]])</f>
        <v>50</v>
      </c>
      <c r="O101">
        <f>SUMIF(calls[Customer ID], calls[[#This Row],[Customer ID]], calls[Purchase Amount])</f>
        <v>4804</v>
      </c>
      <c r="P101">
        <f>calls[[#This Row],[call count]]/calls[[#This Row],[Purchase Amount]]</f>
        <v>0.44642857142857145</v>
      </c>
      <c r="Q101">
        <f>COUNTIF(calls[Customer ID],calls[[#This Row],[Customer ID]])</f>
        <v>50</v>
      </c>
      <c r="R101">
        <f>calls[[#This Row],[call count]]/calls[[#This Row],[Purchase Amount]]</f>
        <v>0.44642857142857145</v>
      </c>
    </row>
    <row r="102" spans="1:18" x14ac:dyDescent="0.4">
      <c r="A102" t="s">
        <v>131</v>
      </c>
      <c r="B102" t="s">
        <v>30</v>
      </c>
      <c r="C102">
        <v>95</v>
      </c>
      <c r="D102" s="4" t="s">
        <v>2</v>
      </c>
      <c r="E102" s="5">
        <v>44967</v>
      </c>
      <c r="F102">
        <v>66</v>
      </c>
      <c r="G102">
        <f>AVERAGEIF(calls[Representative], calls[[#This Row],[Representative]], calls[Satisfaction Rating])</f>
        <v>3.8824999999999998</v>
      </c>
      <c r="H102" t="str">
        <f>IF(AVERAGEIF(calls[Representative],calls[[#This Row],[Representative]],calls[Satisfaction Rating])&lt;3.5,"Needs Training","OK")</f>
        <v>OK</v>
      </c>
      <c r="I102">
        <v>4.5999999999999996</v>
      </c>
      <c r="J102">
        <f>IF(MONTH(calls[[#This Row],[Date of Call]])&lt;=6, YEAR(calls[[#This Row],[Date of Call]]), YEAR(calls[[#This Row],[Date of Call]])+1)</f>
        <v>2023</v>
      </c>
      <c r="K102" t="str">
        <f>TEXT(calls[[#This Row],[Date of Call]],"DDDD")</f>
        <v>Friday</v>
      </c>
      <c r="L102" t="str" cm="1">
        <f t="array" ref="L102">_xlfn.IFS(calls[[#This Row],[Duration]]&lt;=10,"under 10 mins",calls[[#This Row],[Duration]]&lt;=30,"10 to 30mins",calls[[#This Row],[Duration]]&lt;=60,"60 to 30mins",calls[[#This Row],[Duration]]&lt;=120,"1 to 2hrs",TRUE,"More than 2 hrs")</f>
        <v>1 to 2hrs</v>
      </c>
      <c r="M102">
        <f>ROUND(calls[[#This Row],[Satisfaction Rating]],0)</f>
        <v>5</v>
      </c>
      <c r="N102">
        <f>COUNTIF(calls[Customer ID], calls[[#This Row],[Customer ID]])</f>
        <v>69</v>
      </c>
      <c r="O102">
        <f>SUMIF(calls[Customer ID], calls[[#This Row],[Customer ID]], calls[Purchase Amount])</f>
        <v>7230</v>
      </c>
      <c r="P102">
        <f>calls[[#This Row],[call count]]/calls[[#This Row],[Purchase Amount]]</f>
        <v>1.0454545454545454</v>
      </c>
      <c r="Q102">
        <f>COUNTIF(calls[Customer ID],calls[[#This Row],[Customer ID]])</f>
        <v>69</v>
      </c>
      <c r="R102">
        <f>calls[[#This Row],[call count]]/calls[[#This Row],[Purchase Amount]]</f>
        <v>1.0454545454545454</v>
      </c>
    </row>
    <row r="103" spans="1:18" x14ac:dyDescent="0.4">
      <c r="A103" t="s">
        <v>132</v>
      </c>
      <c r="B103" t="s">
        <v>54</v>
      </c>
      <c r="C103">
        <v>131</v>
      </c>
      <c r="D103" s="4" t="s">
        <v>14</v>
      </c>
      <c r="E103" s="5">
        <v>44967</v>
      </c>
      <c r="F103">
        <v>172</v>
      </c>
      <c r="G103">
        <f>AVERAGEIF(calls[Representative], calls[[#This Row],[Representative]], calls[Satisfaction Rating])</f>
        <v>3.9227513227513247</v>
      </c>
      <c r="H103" t="str">
        <f>IF(AVERAGEIF(calls[Representative],calls[[#This Row],[Representative]],calls[Satisfaction Rating])&lt;3.5,"Needs Training","OK")</f>
        <v>OK</v>
      </c>
      <c r="I103">
        <v>2.6</v>
      </c>
      <c r="J103">
        <f>IF(MONTH(calls[[#This Row],[Date of Call]])&lt;=6, YEAR(calls[[#This Row],[Date of Call]]), YEAR(calls[[#This Row],[Date of Call]])+1)</f>
        <v>2023</v>
      </c>
      <c r="K103" t="str">
        <f>TEXT(calls[[#This Row],[Date of Call]],"DDDD")</f>
        <v>Friday</v>
      </c>
      <c r="L103" t="str" cm="1">
        <f t="array" ref="L103">_xlfn.IFS(calls[[#This Row],[Duration]]&lt;=10,"under 10 mins",calls[[#This Row],[Duration]]&lt;=30,"10 to 30mins",calls[[#This Row],[Duration]]&lt;=60,"60 to 30mins",calls[[#This Row],[Duration]]&lt;=120,"1 to 2hrs",TRUE,"More than 2 hrs")</f>
        <v>More than 2 hrs</v>
      </c>
      <c r="M103">
        <f>ROUND(calls[[#This Row],[Satisfaction Rating]],0)</f>
        <v>3</v>
      </c>
      <c r="N103">
        <f>COUNTIF(calls[Customer ID], calls[[#This Row],[Customer ID]])</f>
        <v>70</v>
      </c>
      <c r="O103">
        <f>SUMIF(calls[Customer ID], calls[[#This Row],[Customer ID]], calls[Purchase Amount])</f>
        <v>6819</v>
      </c>
      <c r="P103">
        <f>calls[[#This Row],[call count]]/calls[[#This Row],[Purchase Amount]]</f>
        <v>0.40697674418604651</v>
      </c>
      <c r="Q103">
        <f>COUNTIF(calls[Customer ID],calls[[#This Row],[Customer ID]])</f>
        <v>70</v>
      </c>
      <c r="R103">
        <f>calls[[#This Row],[call count]]/calls[[#This Row],[Purchase Amount]]</f>
        <v>0.40697674418604651</v>
      </c>
    </row>
    <row r="104" spans="1:18" x14ac:dyDescent="0.4">
      <c r="A104" t="s">
        <v>133</v>
      </c>
      <c r="B104" t="s">
        <v>40</v>
      </c>
      <c r="C104">
        <v>67</v>
      </c>
      <c r="D104" s="4" t="s">
        <v>23</v>
      </c>
      <c r="E104" s="5">
        <v>44968</v>
      </c>
      <c r="F104">
        <v>24</v>
      </c>
      <c r="G104">
        <f>AVERAGEIF(calls[Representative], calls[[#This Row],[Representative]], calls[Satisfaction Rating])</f>
        <v>3.8973118279569863</v>
      </c>
      <c r="H104" t="str">
        <f>IF(AVERAGEIF(calls[Representative],calls[[#This Row],[Representative]],calls[Satisfaction Rating])&lt;3.5,"Needs Training","OK")</f>
        <v>OK</v>
      </c>
      <c r="I104">
        <v>4.3</v>
      </c>
      <c r="J104">
        <f>IF(MONTH(calls[[#This Row],[Date of Call]])&lt;=6, YEAR(calls[[#This Row],[Date of Call]]), YEAR(calls[[#This Row],[Date of Call]])+1)</f>
        <v>2023</v>
      </c>
      <c r="K104" t="str">
        <f>TEXT(calls[[#This Row],[Date of Call]],"DDDD")</f>
        <v>Saturday</v>
      </c>
      <c r="L104" t="str" cm="1">
        <f t="array" ref="L104">_xlfn.IFS(calls[[#This Row],[Duration]]&lt;=10,"under 10 mins",calls[[#This Row],[Duration]]&lt;=30,"10 to 30mins",calls[[#This Row],[Duration]]&lt;=60,"60 to 30mins",calls[[#This Row],[Duration]]&lt;=120,"1 to 2hrs",TRUE,"More than 2 hrs")</f>
        <v>1 to 2hrs</v>
      </c>
      <c r="M104">
        <f>ROUND(calls[[#This Row],[Satisfaction Rating]],0)</f>
        <v>4</v>
      </c>
      <c r="N104">
        <f>COUNTIF(calls[Customer ID], calls[[#This Row],[Customer ID]])</f>
        <v>69</v>
      </c>
      <c r="O104">
        <f>SUMIF(calls[Customer ID], calls[[#This Row],[Customer ID]], calls[Purchase Amount])</f>
        <v>6601</v>
      </c>
      <c r="P104">
        <f>calls[[#This Row],[call count]]/calls[[#This Row],[Purchase Amount]]</f>
        <v>2.875</v>
      </c>
      <c r="Q104">
        <f>COUNTIF(calls[Customer ID],calls[[#This Row],[Customer ID]])</f>
        <v>69</v>
      </c>
      <c r="R104">
        <f>calls[[#This Row],[call count]]/calls[[#This Row],[Purchase Amount]]</f>
        <v>2.875</v>
      </c>
    </row>
    <row r="105" spans="1:18" x14ac:dyDescent="0.4">
      <c r="A105" t="s">
        <v>134</v>
      </c>
      <c r="B105" t="s">
        <v>11</v>
      </c>
      <c r="C105">
        <v>111</v>
      </c>
      <c r="D105" s="4" t="s">
        <v>14</v>
      </c>
      <c r="E105" s="5">
        <v>44969</v>
      </c>
      <c r="F105">
        <v>43</v>
      </c>
      <c r="G105">
        <f>AVERAGEIF(calls[Representative], calls[[#This Row],[Representative]], calls[Satisfaction Rating])</f>
        <v>3.9227513227513247</v>
      </c>
      <c r="H105" t="str">
        <f>IF(AVERAGEIF(calls[Representative],calls[[#This Row],[Representative]],calls[Satisfaction Rating])&lt;3.5,"Needs Training","OK")</f>
        <v>OK</v>
      </c>
      <c r="I105">
        <v>3.9</v>
      </c>
      <c r="J105">
        <f>IF(MONTH(calls[[#This Row],[Date of Call]])&lt;=6, YEAR(calls[[#This Row],[Date of Call]]), YEAR(calls[[#This Row],[Date of Call]])+1)</f>
        <v>2023</v>
      </c>
      <c r="K105" t="str">
        <f>TEXT(calls[[#This Row],[Date of Call]],"DDDD")</f>
        <v>Sunday</v>
      </c>
      <c r="L105" t="str" cm="1">
        <f t="array" ref="L105">_xlfn.IFS(calls[[#This Row],[Duration]]&lt;=10,"under 10 mins",calls[[#This Row],[Duration]]&lt;=30,"10 to 30mins",calls[[#This Row],[Duration]]&lt;=60,"60 to 30mins",calls[[#This Row],[Duration]]&lt;=120,"1 to 2hrs",TRUE,"More than 2 hrs")</f>
        <v>1 to 2hrs</v>
      </c>
      <c r="M105">
        <f>ROUND(calls[[#This Row],[Satisfaction Rating]],0)</f>
        <v>4</v>
      </c>
      <c r="N105">
        <f>COUNTIF(calls[Customer ID], calls[[#This Row],[Customer ID]])</f>
        <v>60</v>
      </c>
      <c r="O105">
        <f>SUMIF(calls[Customer ID], calls[[#This Row],[Customer ID]], calls[Purchase Amount])</f>
        <v>5404</v>
      </c>
      <c r="P105">
        <f>calls[[#This Row],[call count]]/calls[[#This Row],[Purchase Amount]]</f>
        <v>1.3953488372093024</v>
      </c>
      <c r="Q105">
        <f>COUNTIF(calls[Customer ID],calls[[#This Row],[Customer ID]])</f>
        <v>60</v>
      </c>
      <c r="R105">
        <f>calls[[#This Row],[call count]]/calls[[#This Row],[Purchase Amount]]</f>
        <v>1.3953488372093024</v>
      </c>
    </row>
    <row r="106" spans="1:18" x14ac:dyDescent="0.4">
      <c r="A106" t="s">
        <v>135</v>
      </c>
      <c r="B106" t="s">
        <v>8</v>
      </c>
      <c r="C106">
        <v>78</v>
      </c>
      <c r="D106" s="4" t="s">
        <v>9</v>
      </c>
      <c r="E106" s="5">
        <v>44969</v>
      </c>
      <c r="F106">
        <v>23</v>
      </c>
      <c r="G106">
        <f>AVERAGEIF(calls[Representative], calls[[#This Row],[Representative]], calls[Satisfaction Rating])</f>
        <v>3.8706422018348627</v>
      </c>
      <c r="H106" t="str">
        <f>IF(AVERAGEIF(calls[Representative],calls[[#This Row],[Representative]],calls[Satisfaction Rating])&lt;3.5,"Needs Training","OK")</f>
        <v>OK</v>
      </c>
      <c r="I106">
        <v>5</v>
      </c>
      <c r="J106">
        <f>IF(MONTH(calls[[#This Row],[Date of Call]])&lt;=6, YEAR(calls[[#This Row],[Date of Call]]), YEAR(calls[[#This Row],[Date of Call]])+1)</f>
        <v>2023</v>
      </c>
      <c r="K106" t="str">
        <f>TEXT(calls[[#This Row],[Date of Call]],"DDDD")</f>
        <v>Sunday</v>
      </c>
      <c r="L106" t="str" cm="1">
        <f t="array" ref="L106">_xlfn.IFS(calls[[#This Row],[Duration]]&lt;=10,"under 10 mins",calls[[#This Row],[Duration]]&lt;=30,"10 to 30mins",calls[[#This Row],[Duration]]&lt;=60,"60 to 30mins",calls[[#This Row],[Duration]]&lt;=120,"1 to 2hrs",TRUE,"More than 2 hrs")</f>
        <v>1 to 2hrs</v>
      </c>
      <c r="M106">
        <f>ROUND(calls[[#This Row],[Satisfaction Rating]],0)</f>
        <v>5</v>
      </c>
      <c r="N106">
        <f>COUNTIF(calls[Customer ID], calls[[#This Row],[Customer ID]])</f>
        <v>79</v>
      </c>
      <c r="O106">
        <f>SUMIF(calls[Customer ID], calls[[#This Row],[Customer ID]], calls[Purchase Amount])</f>
        <v>7747</v>
      </c>
      <c r="P106">
        <f>calls[[#This Row],[call count]]/calls[[#This Row],[Purchase Amount]]</f>
        <v>3.4347826086956523</v>
      </c>
      <c r="Q106">
        <f>COUNTIF(calls[Customer ID],calls[[#This Row],[Customer ID]])</f>
        <v>79</v>
      </c>
      <c r="R106">
        <f>calls[[#This Row],[call count]]/calls[[#This Row],[Purchase Amount]]</f>
        <v>3.4347826086956523</v>
      </c>
    </row>
    <row r="107" spans="1:18" x14ac:dyDescent="0.4">
      <c r="A107" t="s">
        <v>136</v>
      </c>
      <c r="B107" t="s">
        <v>32</v>
      </c>
      <c r="C107">
        <v>28</v>
      </c>
      <c r="D107" s="4" t="s">
        <v>27</v>
      </c>
      <c r="E107" s="5">
        <v>44969</v>
      </c>
      <c r="F107">
        <v>74</v>
      </c>
      <c r="G107">
        <f>AVERAGEIF(calls[Representative], calls[[#This Row],[Representative]], calls[Satisfaction Rating])</f>
        <v>3.8589371980676304</v>
      </c>
      <c r="H107" t="str">
        <f>IF(AVERAGEIF(calls[Representative],calls[[#This Row],[Representative]],calls[Satisfaction Rating])&lt;3.5,"Needs Training","OK")</f>
        <v>OK</v>
      </c>
      <c r="I107">
        <v>3.5</v>
      </c>
      <c r="J107">
        <f>IF(MONTH(calls[[#This Row],[Date of Call]])&lt;=6, YEAR(calls[[#This Row],[Date of Call]]), YEAR(calls[[#This Row],[Date of Call]])+1)</f>
        <v>2023</v>
      </c>
      <c r="K107" t="str">
        <f>TEXT(calls[[#This Row],[Date of Call]],"DDDD")</f>
        <v>Sunday</v>
      </c>
      <c r="L107" t="str" cm="1">
        <f t="array" ref="L107">_xlfn.IFS(calls[[#This Row],[Duration]]&lt;=10,"under 10 mins",calls[[#This Row],[Duration]]&lt;=30,"10 to 30mins",calls[[#This Row],[Duration]]&lt;=60,"60 to 30mins",calls[[#This Row],[Duration]]&lt;=120,"1 to 2hrs",TRUE,"More than 2 hrs")</f>
        <v>10 to 30mins</v>
      </c>
      <c r="M107">
        <f>ROUND(calls[[#This Row],[Satisfaction Rating]],0)</f>
        <v>4</v>
      </c>
      <c r="N107">
        <f>COUNTIF(calls[Customer ID], calls[[#This Row],[Customer ID]])</f>
        <v>63</v>
      </c>
      <c r="O107">
        <f>SUMIF(calls[Customer ID], calls[[#This Row],[Customer ID]], calls[Purchase Amount])</f>
        <v>5634</v>
      </c>
      <c r="P107">
        <f>calls[[#This Row],[call count]]/calls[[#This Row],[Purchase Amount]]</f>
        <v>0.85135135135135132</v>
      </c>
      <c r="Q107">
        <f>COUNTIF(calls[Customer ID],calls[[#This Row],[Customer ID]])</f>
        <v>63</v>
      </c>
      <c r="R107">
        <f>calls[[#This Row],[call count]]/calls[[#This Row],[Purchase Amount]]</f>
        <v>0.85135135135135132</v>
      </c>
    </row>
    <row r="108" spans="1:18" x14ac:dyDescent="0.4">
      <c r="A108" t="s">
        <v>137</v>
      </c>
      <c r="B108" t="s">
        <v>6</v>
      </c>
      <c r="C108">
        <v>127</v>
      </c>
      <c r="D108" s="4" t="s">
        <v>23</v>
      </c>
      <c r="E108" s="5">
        <v>44970</v>
      </c>
      <c r="F108">
        <v>165</v>
      </c>
      <c r="G108">
        <f>AVERAGEIF(calls[Representative], calls[[#This Row],[Representative]], calls[Satisfaction Rating])</f>
        <v>3.8973118279569863</v>
      </c>
      <c r="H108" t="str">
        <f>IF(AVERAGEIF(calls[Representative],calls[[#This Row],[Representative]],calls[Satisfaction Rating])&lt;3.5,"Needs Training","OK")</f>
        <v>OK</v>
      </c>
      <c r="I108">
        <v>4.7</v>
      </c>
      <c r="J108">
        <f>IF(MONTH(calls[[#This Row],[Date of Call]])&lt;=6, YEAR(calls[[#This Row],[Date of Call]]), YEAR(calls[[#This Row],[Date of Call]])+1)</f>
        <v>2023</v>
      </c>
      <c r="K108" t="str">
        <f>TEXT(calls[[#This Row],[Date of Call]],"DDDD")</f>
        <v>Monday</v>
      </c>
      <c r="L108" t="str" cm="1">
        <f t="array" ref="L108">_xlfn.IFS(calls[[#This Row],[Duration]]&lt;=10,"under 10 mins",calls[[#This Row],[Duration]]&lt;=30,"10 to 30mins",calls[[#This Row],[Duration]]&lt;=60,"60 to 30mins",calls[[#This Row],[Duration]]&lt;=120,"1 to 2hrs",TRUE,"More than 2 hrs")</f>
        <v>More than 2 hrs</v>
      </c>
      <c r="M108">
        <f>ROUND(calls[[#This Row],[Satisfaction Rating]],0)</f>
        <v>5</v>
      </c>
      <c r="N108">
        <f>COUNTIF(calls[Customer ID], calls[[#This Row],[Customer ID]])</f>
        <v>82</v>
      </c>
      <c r="O108">
        <f>SUMIF(calls[Customer ID], calls[[#This Row],[Customer ID]], calls[Purchase Amount])</f>
        <v>7689</v>
      </c>
      <c r="P108">
        <f>calls[[#This Row],[call count]]/calls[[#This Row],[Purchase Amount]]</f>
        <v>0.49696969696969695</v>
      </c>
      <c r="Q108">
        <f>COUNTIF(calls[Customer ID],calls[[#This Row],[Customer ID]])</f>
        <v>82</v>
      </c>
      <c r="R108">
        <f>calls[[#This Row],[call count]]/calls[[#This Row],[Purchase Amount]]</f>
        <v>0.49696969696969695</v>
      </c>
    </row>
    <row r="109" spans="1:18" x14ac:dyDescent="0.4">
      <c r="A109" t="s">
        <v>138</v>
      </c>
      <c r="B109" t="s">
        <v>51</v>
      </c>
      <c r="C109">
        <v>137</v>
      </c>
      <c r="D109" s="4" t="s">
        <v>14</v>
      </c>
      <c r="E109" s="5">
        <v>44970</v>
      </c>
      <c r="F109">
        <v>34</v>
      </c>
      <c r="G109">
        <f>AVERAGEIF(calls[Representative], calls[[#This Row],[Representative]], calls[Satisfaction Rating])</f>
        <v>3.9227513227513247</v>
      </c>
      <c r="H109" t="str">
        <f>IF(AVERAGEIF(calls[Representative],calls[[#This Row],[Representative]],calls[Satisfaction Rating])&lt;3.5,"Needs Training","OK")</f>
        <v>OK</v>
      </c>
      <c r="I109">
        <v>2.9</v>
      </c>
      <c r="J109">
        <f>IF(MONTH(calls[[#This Row],[Date of Call]])&lt;=6, YEAR(calls[[#This Row],[Date of Call]]), YEAR(calls[[#This Row],[Date of Call]])+1)</f>
        <v>2023</v>
      </c>
      <c r="K109" t="str">
        <f>TEXT(calls[[#This Row],[Date of Call]],"DDDD")</f>
        <v>Monday</v>
      </c>
      <c r="L109" t="str" cm="1">
        <f t="array" ref="L109">_xlfn.IFS(calls[[#This Row],[Duration]]&lt;=10,"under 10 mins",calls[[#This Row],[Duration]]&lt;=30,"10 to 30mins",calls[[#This Row],[Duration]]&lt;=60,"60 to 30mins",calls[[#This Row],[Duration]]&lt;=120,"1 to 2hrs",TRUE,"More than 2 hrs")</f>
        <v>More than 2 hrs</v>
      </c>
      <c r="M109">
        <f>ROUND(calls[[#This Row],[Satisfaction Rating]],0)</f>
        <v>3</v>
      </c>
      <c r="N109">
        <f>COUNTIF(calls[Customer ID], calls[[#This Row],[Customer ID]])</f>
        <v>59</v>
      </c>
      <c r="O109">
        <f>SUMIF(calls[Customer ID], calls[[#This Row],[Customer ID]], calls[Purchase Amount])</f>
        <v>6518</v>
      </c>
      <c r="P109">
        <f>calls[[#This Row],[call count]]/calls[[#This Row],[Purchase Amount]]</f>
        <v>1.7352941176470589</v>
      </c>
      <c r="Q109">
        <f>COUNTIF(calls[Customer ID],calls[[#This Row],[Customer ID]])</f>
        <v>59</v>
      </c>
      <c r="R109">
        <f>calls[[#This Row],[call count]]/calls[[#This Row],[Purchase Amount]]</f>
        <v>1.7352941176470589</v>
      </c>
    </row>
    <row r="110" spans="1:18" x14ac:dyDescent="0.4">
      <c r="A110" t="s">
        <v>139</v>
      </c>
      <c r="B110" t="s">
        <v>6</v>
      </c>
      <c r="C110">
        <v>76</v>
      </c>
      <c r="D110" s="4" t="s">
        <v>27</v>
      </c>
      <c r="E110" s="5">
        <v>44970</v>
      </c>
      <c r="F110">
        <v>64</v>
      </c>
      <c r="G110">
        <f>AVERAGEIF(calls[Representative], calls[[#This Row],[Representative]], calls[Satisfaction Rating])</f>
        <v>3.8589371980676304</v>
      </c>
      <c r="H110" t="str">
        <f>IF(AVERAGEIF(calls[Representative],calls[[#This Row],[Representative]],calls[Satisfaction Rating])&lt;3.5,"Needs Training","OK")</f>
        <v>OK</v>
      </c>
      <c r="I110">
        <v>3.4</v>
      </c>
      <c r="J110">
        <f>IF(MONTH(calls[[#This Row],[Date of Call]])&lt;=6, YEAR(calls[[#This Row],[Date of Call]]), YEAR(calls[[#This Row],[Date of Call]])+1)</f>
        <v>2023</v>
      </c>
      <c r="K110" t="str">
        <f>TEXT(calls[[#This Row],[Date of Call]],"DDDD")</f>
        <v>Monday</v>
      </c>
      <c r="L110" t="str" cm="1">
        <f t="array" ref="L110">_xlfn.IFS(calls[[#This Row],[Duration]]&lt;=10,"under 10 mins",calls[[#This Row],[Duration]]&lt;=30,"10 to 30mins",calls[[#This Row],[Duration]]&lt;=60,"60 to 30mins",calls[[#This Row],[Duration]]&lt;=120,"1 to 2hrs",TRUE,"More than 2 hrs")</f>
        <v>1 to 2hrs</v>
      </c>
      <c r="M110">
        <f>ROUND(calls[[#This Row],[Satisfaction Rating]],0)</f>
        <v>3</v>
      </c>
      <c r="N110">
        <f>COUNTIF(calls[Customer ID], calls[[#This Row],[Customer ID]])</f>
        <v>82</v>
      </c>
      <c r="O110">
        <f>SUMIF(calls[Customer ID], calls[[#This Row],[Customer ID]], calls[Purchase Amount])</f>
        <v>7689</v>
      </c>
      <c r="P110">
        <f>calls[[#This Row],[call count]]/calls[[#This Row],[Purchase Amount]]</f>
        <v>1.28125</v>
      </c>
      <c r="Q110">
        <f>COUNTIF(calls[Customer ID],calls[[#This Row],[Customer ID]])</f>
        <v>82</v>
      </c>
      <c r="R110">
        <f>calls[[#This Row],[call count]]/calls[[#This Row],[Purchase Amount]]</f>
        <v>1.28125</v>
      </c>
    </row>
    <row r="111" spans="1:18" x14ac:dyDescent="0.4">
      <c r="A111" t="s">
        <v>140</v>
      </c>
      <c r="B111" t="s">
        <v>8</v>
      </c>
      <c r="C111">
        <v>80</v>
      </c>
      <c r="D111" s="4" t="s">
        <v>23</v>
      </c>
      <c r="E111" s="5">
        <v>44971</v>
      </c>
      <c r="F111">
        <v>155</v>
      </c>
      <c r="G111">
        <f>AVERAGEIF(calls[Representative], calls[[#This Row],[Representative]], calls[Satisfaction Rating])</f>
        <v>3.8973118279569863</v>
      </c>
      <c r="H111" t="str">
        <f>IF(AVERAGEIF(calls[Representative],calls[[#This Row],[Representative]],calls[Satisfaction Rating])&lt;3.5,"Needs Training","OK")</f>
        <v>OK</v>
      </c>
      <c r="I111">
        <v>3.2</v>
      </c>
      <c r="J111">
        <f>IF(MONTH(calls[[#This Row],[Date of Call]])&lt;=6, YEAR(calls[[#This Row],[Date of Call]]), YEAR(calls[[#This Row],[Date of Call]])+1)</f>
        <v>2023</v>
      </c>
      <c r="K111" t="str">
        <f>TEXT(calls[[#This Row],[Date of Call]],"DDDD")</f>
        <v>Tuesday</v>
      </c>
      <c r="L111" t="str" cm="1">
        <f t="array" ref="L111">_xlfn.IFS(calls[[#This Row],[Duration]]&lt;=10,"under 10 mins",calls[[#This Row],[Duration]]&lt;=30,"10 to 30mins",calls[[#This Row],[Duration]]&lt;=60,"60 to 30mins",calls[[#This Row],[Duration]]&lt;=120,"1 to 2hrs",TRUE,"More than 2 hrs")</f>
        <v>1 to 2hrs</v>
      </c>
      <c r="M111">
        <f>ROUND(calls[[#This Row],[Satisfaction Rating]],0)</f>
        <v>3</v>
      </c>
      <c r="N111">
        <f>COUNTIF(calls[Customer ID], calls[[#This Row],[Customer ID]])</f>
        <v>79</v>
      </c>
      <c r="O111">
        <f>SUMIF(calls[Customer ID], calls[[#This Row],[Customer ID]], calls[Purchase Amount])</f>
        <v>7747</v>
      </c>
      <c r="P111">
        <f>calls[[#This Row],[call count]]/calls[[#This Row],[Purchase Amount]]</f>
        <v>0.50967741935483868</v>
      </c>
      <c r="Q111">
        <f>COUNTIF(calls[Customer ID],calls[[#This Row],[Customer ID]])</f>
        <v>79</v>
      </c>
      <c r="R111">
        <f>calls[[#This Row],[call count]]/calls[[#This Row],[Purchase Amount]]</f>
        <v>0.50967741935483868</v>
      </c>
    </row>
    <row r="112" spans="1:18" x14ac:dyDescent="0.4">
      <c r="A112" t="s">
        <v>141</v>
      </c>
      <c r="B112" t="s">
        <v>6</v>
      </c>
      <c r="C112">
        <v>95</v>
      </c>
      <c r="D112" s="4" t="s">
        <v>9</v>
      </c>
      <c r="E112" s="5">
        <v>44972</v>
      </c>
      <c r="F112">
        <v>120</v>
      </c>
      <c r="G112">
        <f>AVERAGEIF(calls[Representative], calls[[#This Row],[Representative]], calls[Satisfaction Rating])</f>
        <v>3.8706422018348627</v>
      </c>
      <c r="H112" t="str">
        <f>IF(AVERAGEIF(calls[Representative],calls[[#This Row],[Representative]],calls[Satisfaction Rating])&lt;3.5,"Needs Training","OK")</f>
        <v>OK</v>
      </c>
      <c r="I112">
        <v>4.8</v>
      </c>
      <c r="J112">
        <f>IF(MONTH(calls[[#This Row],[Date of Call]])&lt;=6, YEAR(calls[[#This Row],[Date of Call]]), YEAR(calls[[#This Row],[Date of Call]])+1)</f>
        <v>2023</v>
      </c>
      <c r="K112" t="str">
        <f>TEXT(calls[[#This Row],[Date of Call]],"DDDD")</f>
        <v>Wednesday</v>
      </c>
      <c r="L112" t="str" cm="1">
        <f t="array" ref="L112">_xlfn.IFS(calls[[#This Row],[Duration]]&lt;=10,"under 10 mins",calls[[#This Row],[Duration]]&lt;=30,"10 to 30mins",calls[[#This Row],[Duration]]&lt;=60,"60 to 30mins",calls[[#This Row],[Duration]]&lt;=120,"1 to 2hrs",TRUE,"More than 2 hrs")</f>
        <v>1 to 2hrs</v>
      </c>
      <c r="M112">
        <f>ROUND(calls[[#This Row],[Satisfaction Rating]],0)</f>
        <v>5</v>
      </c>
      <c r="N112">
        <f>COUNTIF(calls[Customer ID], calls[[#This Row],[Customer ID]])</f>
        <v>82</v>
      </c>
      <c r="O112">
        <f>SUMIF(calls[Customer ID], calls[[#This Row],[Customer ID]], calls[Purchase Amount])</f>
        <v>7689</v>
      </c>
      <c r="P112">
        <f>calls[[#This Row],[call count]]/calls[[#This Row],[Purchase Amount]]</f>
        <v>0.68333333333333335</v>
      </c>
      <c r="Q112">
        <f>COUNTIF(calls[Customer ID],calls[[#This Row],[Customer ID]])</f>
        <v>82</v>
      </c>
      <c r="R112">
        <f>calls[[#This Row],[call count]]/calls[[#This Row],[Purchase Amount]]</f>
        <v>0.68333333333333335</v>
      </c>
    </row>
    <row r="113" spans="1:18" x14ac:dyDescent="0.4">
      <c r="A113" t="s">
        <v>142</v>
      </c>
      <c r="B113" t="s">
        <v>44</v>
      </c>
      <c r="C113">
        <v>30</v>
      </c>
      <c r="D113" s="4" t="s">
        <v>27</v>
      </c>
      <c r="E113" s="5">
        <v>44972</v>
      </c>
      <c r="F113">
        <v>105</v>
      </c>
      <c r="G113">
        <f>AVERAGEIF(calls[Representative], calls[[#This Row],[Representative]], calls[Satisfaction Rating])</f>
        <v>3.8589371980676304</v>
      </c>
      <c r="H113" t="str">
        <f>IF(AVERAGEIF(calls[Representative],calls[[#This Row],[Representative]],calls[Satisfaction Rating])&lt;3.5,"Needs Training","OK")</f>
        <v>OK</v>
      </c>
      <c r="I113">
        <v>3.6</v>
      </c>
      <c r="J113">
        <f>IF(MONTH(calls[[#This Row],[Date of Call]])&lt;=6, YEAR(calls[[#This Row],[Date of Call]]), YEAR(calls[[#This Row],[Date of Call]])+1)</f>
        <v>2023</v>
      </c>
      <c r="K113" t="str">
        <f>TEXT(calls[[#This Row],[Date of Call]],"DDDD")</f>
        <v>Wednesday</v>
      </c>
      <c r="L113" t="str" cm="1">
        <f t="array" ref="L113">_xlfn.IFS(calls[[#This Row],[Duration]]&lt;=10,"under 10 mins",calls[[#This Row],[Duration]]&lt;=30,"10 to 30mins",calls[[#This Row],[Duration]]&lt;=60,"60 to 30mins",calls[[#This Row],[Duration]]&lt;=120,"1 to 2hrs",TRUE,"More than 2 hrs")</f>
        <v>10 to 30mins</v>
      </c>
      <c r="M113">
        <f>ROUND(calls[[#This Row],[Satisfaction Rating]],0)</f>
        <v>4</v>
      </c>
      <c r="N113">
        <f>COUNTIF(calls[Customer ID], calls[[#This Row],[Customer ID]])</f>
        <v>62</v>
      </c>
      <c r="O113">
        <f>SUMIF(calls[Customer ID], calls[[#This Row],[Customer ID]], calls[Purchase Amount])</f>
        <v>6176</v>
      </c>
      <c r="P113">
        <f>calls[[#This Row],[call count]]/calls[[#This Row],[Purchase Amount]]</f>
        <v>0.59047619047619049</v>
      </c>
      <c r="Q113">
        <f>COUNTIF(calls[Customer ID],calls[[#This Row],[Customer ID]])</f>
        <v>62</v>
      </c>
      <c r="R113">
        <f>calls[[#This Row],[call count]]/calls[[#This Row],[Purchase Amount]]</f>
        <v>0.59047619047619049</v>
      </c>
    </row>
    <row r="114" spans="1:18" x14ac:dyDescent="0.4">
      <c r="A114" t="s">
        <v>143</v>
      </c>
      <c r="B114" t="s">
        <v>13</v>
      </c>
      <c r="C114">
        <v>19</v>
      </c>
      <c r="D114" s="4" t="s">
        <v>14</v>
      </c>
      <c r="E114" s="5">
        <v>44972</v>
      </c>
      <c r="F114">
        <v>28</v>
      </c>
      <c r="G114">
        <f>AVERAGEIF(calls[Representative], calls[[#This Row],[Representative]], calls[Satisfaction Rating])</f>
        <v>3.9227513227513247</v>
      </c>
      <c r="H114" t="str">
        <f>IF(AVERAGEIF(calls[Representative],calls[[#This Row],[Representative]],calls[Satisfaction Rating])&lt;3.5,"Needs Training","OK")</f>
        <v>OK</v>
      </c>
      <c r="I114">
        <v>4.9000000000000004</v>
      </c>
      <c r="J114">
        <f>IF(MONTH(calls[[#This Row],[Date of Call]])&lt;=6, YEAR(calls[[#This Row],[Date of Call]]), YEAR(calls[[#This Row],[Date of Call]])+1)</f>
        <v>2023</v>
      </c>
      <c r="K114" t="str">
        <f>TEXT(calls[[#This Row],[Date of Call]],"DDDD")</f>
        <v>Wednesday</v>
      </c>
      <c r="L114" t="str" cm="1">
        <f t="array" ref="L114">_xlfn.IFS(calls[[#This Row],[Duration]]&lt;=10,"under 10 mins",calls[[#This Row],[Duration]]&lt;=30,"10 to 30mins",calls[[#This Row],[Duration]]&lt;=60,"60 to 30mins",calls[[#This Row],[Duration]]&lt;=120,"1 to 2hrs",TRUE,"More than 2 hrs")</f>
        <v>10 to 30mins</v>
      </c>
      <c r="M114">
        <f>ROUND(calls[[#This Row],[Satisfaction Rating]],0)</f>
        <v>5</v>
      </c>
      <c r="N114">
        <f>COUNTIF(calls[Customer ID], calls[[#This Row],[Customer ID]])</f>
        <v>74</v>
      </c>
      <c r="O114">
        <f>SUMIF(calls[Customer ID], calls[[#This Row],[Customer ID]], calls[Purchase Amount])</f>
        <v>6749</v>
      </c>
      <c r="P114">
        <f>calls[[#This Row],[call count]]/calls[[#This Row],[Purchase Amount]]</f>
        <v>2.6428571428571428</v>
      </c>
      <c r="Q114">
        <f>COUNTIF(calls[Customer ID],calls[[#This Row],[Customer ID]])</f>
        <v>74</v>
      </c>
      <c r="R114">
        <f>calls[[#This Row],[call count]]/calls[[#This Row],[Purchase Amount]]</f>
        <v>2.6428571428571428</v>
      </c>
    </row>
    <row r="115" spans="1:18" x14ac:dyDescent="0.4">
      <c r="A115" t="s">
        <v>144</v>
      </c>
      <c r="B115" t="s">
        <v>26</v>
      </c>
      <c r="C115">
        <v>38</v>
      </c>
      <c r="D115" s="4" t="s">
        <v>23</v>
      </c>
      <c r="E115" s="5">
        <v>44972</v>
      </c>
      <c r="F115">
        <v>100</v>
      </c>
      <c r="G115">
        <f>AVERAGEIF(calls[Representative], calls[[#This Row],[Representative]], calls[Satisfaction Rating])</f>
        <v>3.8973118279569863</v>
      </c>
      <c r="H115" t="str">
        <f>IF(AVERAGEIF(calls[Representative],calls[[#This Row],[Representative]],calls[Satisfaction Rating])&lt;3.5,"Needs Training","OK")</f>
        <v>OK</v>
      </c>
      <c r="I115">
        <v>4.8</v>
      </c>
      <c r="J115">
        <f>IF(MONTH(calls[[#This Row],[Date of Call]])&lt;=6, YEAR(calls[[#This Row],[Date of Call]]), YEAR(calls[[#This Row],[Date of Call]])+1)</f>
        <v>2023</v>
      </c>
      <c r="K115" t="str">
        <f>TEXT(calls[[#This Row],[Date of Call]],"DDDD")</f>
        <v>Wednesday</v>
      </c>
      <c r="L115" t="str" cm="1">
        <f t="array" ref="L115">_xlfn.IFS(calls[[#This Row],[Duration]]&lt;=10,"under 10 mins",calls[[#This Row],[Duration]]&lt;=30,"10 to 30mins",calls[[#This Row],[Duration]]&lt;=60,"60 to 30mins",calls[[#This Row],[Duration]]&lt;=120,"1 to 2hrs",TRUE,"More than 2 hrs")</f>
        <v>60 to 30mins</v>
      </c>
      <c r="M115">
        <f>ROUND(calls[[#This Row],[Satisfaction Rating]],0)</f>
        <v>5</v>
      </c>
      <c r="N115">
        <f>COUNTIF(calls[Customer ID], calls[[#This Row],[Customer ID]])</f>
        <v>72</v>
      </c>
      <c r="O115">
        <f>SUMIF(calls[Customer ID], calls[[#This Row],[Customer ID]], calls[Purchase Amount])</f>
        <v>6242</v>
      </c>
      <c r="P115">
        <f>calls[[#This Row],[call count]]/calls[[#This Row],[Purchase Amount]]</f>
        <v>0.72</v>
      </c>
      <c r="Q115">
        <f>COUNTIF(calls[Customer ID],calls[[#This Row],[Customer ID]])</f>
        <v>72</v>
      </c>
      <c r="R115">
        <f>calls[[#This Row],[call count]]/calls[[#This Row],[Purchase Amount]]</f>
        <v>0.72</v>
      </c>
    </row>
    <row r="116" spans="1:18" x14ac:dyDescent="0.4">
      <c r="A116" t="s">
        <v>145</v>
      </c>
      <c r="B116" t="s">
        <v>30</v>
      </c>
      <c r="C116">
        <v>55</v>
      </c>
      <c r="D116" s="4" t="s">
        <v>14</v>
      </c>
      <c r="E116" s="5">
        <v>44972</v>
      </c>
      <c r="F116">
        <v>23</v>
      </c>
      <c r="G116">
        <f>AVERAGEIF(calls[Representative], calls[[#This Row],[Representative]], calls[Satisfaction Rating])</f>
        <v>3.9227513227513247</v>
      </c>
      <c r="H116" t="str">
        <f>IF(AVERAGEIF(calls[Representative],calls[[#This Row],[Representative]],calls[Satisfaction Rating])&lt;3.5,"Needs Training","OK")</f>
        <v>OK</v>
      </c>
      <c r="I116">
        <v>3.6</v>
      </c>
      <c r="J116">
        <f>IF(MONTH(calls[[#This Row],[Date of Call]])&lt;=6, YEAR(calls[[#This Row],[Date of Call]]), YEAR(calls[[#This Row],[Date of Call]])+1)</f>
        <v>2023</v>
      </c>
      <c r="K116" t="str">
        <f>TEXT(calls[[#This Row],[Date of Call]],"DDDD")</f>
        <v>Wednesday</v>
      </c>
      <c r="L116" t="str" cm="1">
        <f t="array" ref="L116">_xlfn.IFS(calls[[#This Row],[Duration]]&lt;=10,"under 10 mins",calls[[#This Row],[Duration]]&lt;=30,"10 to 30mins",calls[[#This Row],[Duration]]&lt;=60,"60 to 30mins",calls[[#This Row],[Duration]]&lt;=120,"1 to 2hrs",TRUE,"More than 2 hrs")</f>
        <v>60 to 30mins</v>
      </c>
      <c r="M116">
        <f>ROUND(calls[[#This Row],[Satisfaction Rating]],0)</f>
        <v>4</v>
      </c>
      <c r="N116">
        <f>COUNTIF(calls[Customer ID], calls[[#This Row],[Customer ID]])</f>
        <v>69</v>
      </c>
      <c r="O116">
        <f>SUMIF(calls[Customer ID], calls[[#This Row],[Customer ID]], calls[Purchase Amount])</f>
        <v>7230</v>
      </c>
      <c r="P116">
        <f>calls[[#This Row],[call count]]/calls[[#This Row],[Purchase Amount]]</f>
        <v>3</v>
      </c>
      <c r="Q116">
        <f>COUNTIF(calls[Customer ID],calls[[#This Row],[Customer ID]])</f>
        <v>69</v>
      </c>
      <c r="R116">
        <f>calls[[#This Row],[call count]]/calls[[#This Row],[Purchase Amount]]</f>
        <v>3</v>
      </c>
    </row>
    <row r="117" spans="1:18" x14ac:dyDescent="0.4">
      <c r="A117" t="s">
        <v>146</v>
      </c>
      <c r="B117" t="s">
        <v>40</v>
      </c>
      <c r="C117">
        <v>27</v>
      </c>
      <c r="D117" s="4" t="s">
        <v>27</v>
      </c>
      <c r="E117" s="5">
        <v>44973</v>
      </c>
      <c r="F117">
        <v>70</v>
      </c>
      <c r="G117">
        <f>AVERAGEIF(calls[Representative], calls[[#This Row],[Representative]], calls[Satisfaction Rating])</f>
        <v>3.8589371980676304</v>
      </c>
      <c r="H117" t="str">
        <f>IF(AVERAGEIF(calls[Representative],calls[[#This Row],[Representative]],calls[Satisfaction Rating])&lt;3.5,"Needs Training","OK")</f>
        <v>OK</v>
      </c>
      <c r="I117">
        <v>3.9</v>
      </c>
      <c r="J117">
        <f>IF(MONTH(calls[[#This Row],[Date of Call]])&lt;=6, YEAR(calls[[#This Row],[Date of Call]]), YEAR(calls[[#This Row],[Date of Call]])+1)</f>
        <v>2023</v>
      </c>
      <c r="K117" t="str">
        <f>TEXT(calls[[#This Row],[Date of Call]],"DDDD")</f>
        <v>Thursday</v>
      </c>
      <c r="L117" t="str" cm="1">
        <f t="array" ref="L117">_xlfn.IFS(calls[[#This Row],[Duration]]&lt;=10,"under 10 mins",calls[[#This Row],[Duration]]&lt;=30,"10 to 30mins",calls[[#This Row],[Duration]]&lt;=60,"60 to 30mins",calls[[#This Row],[Duration]]&lt;=120,"1 to 2hrs",TRUE,"More than 2 hrs")</f>
        <v>10 to 30mins</v>
      </c>
      <c r="M117">
        <f>ROUND(calls[[#This Row],[Satisfaction Rating]],0)</f>
        <v>4</v>
      </c>
      <c r="N117">
        <f>COUNTIF(calls[Customer ID], calls[[#This Row],[Customer ID]])</f>
        <v>69</v>
      </c>
      <c r="O117">
        <f>SUMIF(calls[Customer ID], calls[[#This Row],[Customer ID]], calls[Purchase Amount])</f>
        <v>6601</v>
      </c>
      <c r="P117">
        <f>calls[[#This Row],[call count]]/calls[[#This Row],[Purchase Amount]]</f>
        <v>0.98571428571428577</v>
      </c>
      <c r="Q117">
        <f>COUNTIF(calls[Customer ID],calls[[#This Row],[Customer ID]])</f>
        <v>69</v>
      </c>
      <c r="R117">
        <f>calls[[#This Row],[call count]]/calls[[#This Row],[Purchase Amount]]</f>
        <v>0.98571428571428577</v>
      </c>
    </row>
    <row r="118" spans="1:18" x14ac:dyDescent="0.4">
      <c r="A118" t="s">
        <v>147</v>
      </c>
      <c r="B118" t="s">
        <v>40</v>
      </c>
      <c r="C118">
        <v>32</v>
      </c>
      <c r="D118" s="4" t="s">
        <v>27</v>
      </c>
      <c r="E118" s="5">
        <v>44973</v>
      </c>
      <c r="F118">
        <v>37</v>
      </c>
      <c r="G118">
        <f>AVERAGEIF(calls[Representative], calls[[#This Row],[Representative]], calls[Satisfaction Rating])</f>
        <v>3.8589371980676304</v>
      </c>
      <c r="H118" t="str">
        <f>IF(AVERAGEIF(calls[Representative],calls[[#This Row],[Representative]],calls[Satisfaction Rating])&lt;3.5,"Needs Training","OK")</f>
        <v>OK</v>
      </c>
      <c r="I118">
        <v>1.9</v>
      </c>
      <c r="J118">
        <f>IF(MONTH(calls[[#This Row],[Date of Call]])&lt;=6, YEAR(calls[[#This Row],[Date of Call]]), YEAR(calls[[#This Row],[Date of Call]])+1)</f>
        <v>2023</v>
      </c>
      <c r="K118" t="str">
        <f>TEXT(calls[[#This Row],[Date of Call]],"DDDD")</f>
        <v>Thursday</v>
      </c>
      <c r="L118" t="str" cm="1">
        <f t="array" ref="L118">_xlfn.IFS(calls[[#This Row],[Duration]]&lt;=10,"under 10 mins",calls[[#This Row],[Duration]]&lt;=30,"10 to 30mins",calls[[#This Row],[Duration]]&lt;=60,"60 to 30mins",calls[[#This Row],[Duration]]&lt;=120,"1 to 2hrs",TRUE,"More than 2 hrs")</f>
        <v>60 to 30mins</v>
      </c>
      <c r="M118">
        <f>ROUND(calls[[#This Row],[Satisfaction Rating]],0)</f>
        <v>2</v>
      </c>
      <c r="N118">
        <f>COUNTIF(calls[Customer ID], calls[[#This Row],[Customer ID]])</f>
        <v>69</v>
      </c>
      <c r="O118">
        <f>SUMIF(calls[Customer ID], calls[[#This Row],[Customer ID]], calls[Purchase Amount])</f>
        <v>6601</v>
      </c>
      <c r="P118">
        <f>calls[[#This Row],[call count]]/calls[[#This Row],[Purchase Amount]]</f>
        <v>1.8648648648648649</v>
      </c>
      <c r="Q118">
        <f>COUNTIF(calls[Customer ID],calls[[#This Row],[Customer ID]])</f>
        <v>69</v>
      </c>
      <c r="R118">
        <f>calls[[#This Row],[call count]]/calls[[#This Row],[Purchase Amount]]</f>
        <v>1.8648648648648649</v>
      </c>
    </row>
    <row r="119" spans="1:18" x14ac:dyDescent="0.4">
      <c r="A119" t="s">
        <v>148</v>
      </c>
      <c r="B119" t="s">
        <v>32</v>
      </c>
      <c r="C119">
        <v>116</v>
      </c>
      <c r="D119" s="4" t="s">
        <v>2</v>
      </c>
      <c r="E119" s="5">
        <v>44973</v>
      </c>
      <c r="F119">
        <v>140</v>
      </c>
      <c r="G119">
        <f>AVERAGEIF(calls[Representative], calls[[#This Row],[Representative]], calls[Satisfaction Rating])</f>
        <v>3.8824999999999998</v>
      </c>
      <c r="H119" t="str">
        <f>IF(AVERAGEIF(calls[Representative],calls[[#This Row],[Representative]],calls[Satisfaction Rating])&lt;3.5,"Needs Training","OK")</f>
        <v>OK</v>
      </c>
      <c r="I119">
        <v>3.6</v>
      </c>
      <c r="J119">
        <f>IF(MONTH(calls[[#This Row],[Date of Call]])&lt;=6, YEAR(calls[[#This Row],[Date of Call]]), YEAR(calls[[#This Row],[Date of Call]])+1)</f>
        <v>2023</v>
      </c>
      <c r="K119" t="str">
        <f>TEXT(calls[[#This Row],[Date of Call]],"DDDD")</f>
        <v>Thursday</v>
      </c>
      <c r="L119" t="str" cm="1">
        <f t="array" ref="L119">_xlfn.IFS(calls[[#This Row],[Duration]]&lt;=10,"under 10 mins",calls[[#This Row],[Duration]]&lt;=30,"10 to 30mins",calls[[#This Row],[Duration]]&lt;=60,"60 to 30mins",calls[[#This Row],[Duration]]&lt;=120,"1 to 2hrs",TRUE,"More than 2 hrs")</f>
        <v>1 to 2hrs</v>
      </c>
      <c r="M119">
        <f>ROUND(calls[[#This Row],[Satisfaction Rating]],0)</f>
        <v>4</v>
      </c>
      <c r="N119">
        <f>COUNTIF(calls[Customer ID], calls[[#This Row],[Customer ID]])</f>
        <v>63</v>
      </c>
      <c r="O119">
        <f>SUMIF(calls[Customer ID], calls[[#This Row],[Customer ID]], calls[Purchase Amount])</f>
        <v>5634</v>
      </c>
      <c r="P119">
        <f>calls[[#This Row],[call count]]/calls[[#This Row],[Purchase Amount]]</f>
        <v>0.45</v>
      </c>
      <c r="Q119">
        <f>COUNTIF(calls[Customer ID],calls[[#This Row],[Customer ID]])</f>
        <v>63</v>
      </c>
      <c r="R119">
        <f>calls[[#This Row],[call count]]/calls[[#This Row],[Purchase Amount]]</f>
        <v>0.45</v>
      </c>
    </row>
    <row r="120" spans="1:18" x14ac:dyDescent="0.4">
      <c r="A120" t="s">
        <v>149</v>
      </c>
      <c r="B120" t="s">
        <v>1</v>
      </c>
      <c r="C120">
        <v>99</v>
      </c>
      <c r="D120" s="4" t="s">
        <v>9</v>
      </c>
      <c r="E120" s="5">
        <v>44973</v>
      </c>
      <c r="F120">
        <v>78</v>
      </c>
      <c r="G120">
        <f>AVERAGEIF(calls[Representative], calls[[#This Row],[Representative]], calls[Satisfaction Rating])</f>
        <v>3.8706422018348627</v>
      </c>
      <c r="H120" t="str">
        <f>IF(AVERAGEIF(calls[Representative],calls[[#This Row],[Representative]],calls[Satisfaction Rating])&lt;3.5,"Needs Training","OK")</f>
        <v>OK</v>
      </c>
      <c r="I120">
        <v>4.0999999999999996</v>
      </c>
      <c r="J120">
        <f>IF(MONTH(calls[[#This Row],[Date of Call]])&lt;=6, YEAR(calls[[#This Row],[Date of Call]]), YEAR(calls[[#This Row],[Date of Call]])+1)</f>
        <v>2023</v>
      </c>
      <c r="K120" t="str">
        <f>TEXT(calls[[#This Row],[Date of Call]],"DDDD")</f>
        <v>Thursday</v>
      </c>
      <c r="L120" t="str" cm="1">
        <f t="array" ref="L120">_xlfn.IFS(calls[[#This Row],[Duration]]&lt;=10,"under 10 mins",calls[[#This Row],[Duration]]&lt;=30,"10 to 30mins",calls[[#This Row],[Duration]]&lt;=60,"60 to 30mins",calls[[#This Row],[Duration]]&lt;=120,"1 to 2hrs",TRUE,"More than 2 hrs")</f>
        <v>1 to 2hrs</v>
      </c>
      <c r="M120">
        <f>ROUND(calls[[#This Row],[Satisfaction Rating]],0)</f>
        <v>4</v>
      </c>
      <c r="N120">
        <f>COUNTIF(calls[Customer ID], calls[[#This Row],[Customer ID]])</f>
        <v>50</v>
      </c>
      <c r="O120">
        <f>SUMIF(calls[Customer ID], calls[[#This Row],[Customer ID]], calls[Purchase Amount])</f>
        <v>4804</v>
      </c>
      <c r="P120">
        <f>calls[[#This Row],[call count]]/calls[[#This Row],[Purchase Amount]]</f>
        <v>0.64102564102564108</v>
      </c>
      <c r="Q120">
        <f>COUNTIF(calls[Customer ID],calls[[#This Row],[Customer ID]])</f>
        <v>50</v>
      </c>
      <c r="R120">
        <f>calls[[#This Row],[call count]]/calls[[#This Row],[Purchase Amount]]</f>
        <v>0.64102564102564108</v>
      </c>
    </row>
    <row r="121" spans="1:18" x14ac:dyDescent="0.4">
      <c r="A121" t="s">
        <v>150</v>
      </c>
      <c r="B121" t="s">
        <v>6</v>
      </c>
      <c r="C121">
        <v>75</v>
      </c>
      <c r="D121" s="4" t="s">
        <v>27</v>
      </c>
      <c r="E121" s="5">
        <v>44974</v>
      </c>
      <c r="F121">
        <v>21</v>
      </c>
      <c r="G121">
        <f>AVERAGEIF(calls[Representative], calls[[#This Row],[Representative]], calls[Satisfaction Rating])</f>
        <v>3.8589371980676304</v>
      </c>
      <c r="H121" t="str">
        <f>IF(AVERAGEIF(calls[Representative],calls[[#This Row],[Representative]],calls[Satisfaction Rating])&lt;3.5,"Needs Training","OK")</f>
        <v>OK</v>
      </c>
      <c r="I121">
        <v>4.2</v>
      </c>
      <c r="J121">
        <f>IF(MONTH(calls[[#This Row],[Date of Call]])&lt;=6, YEAR(calls[[#This Row],[Date of Call]]), YEAR(calls[[#This Row],[Date of Call]])+1)</f>
        <v>2023</v>
      </c>
      <c r="K121" t="str">
        <f>TEXT(calls[[#This Row],[Date of Call]],"DDDD")</f>
        <v>Friday</v>
      </c>
      <c r="L121" t="str" cm="1">
        <f t="array" ref="L121">_xlfn.IFS(calls[[#This Row],[Duration]]&lt;=10,"under 10 mins",calls[[#This Row],[Duration]]&lt;=30,"10 to 30mins",calls[[#This Row],[Duration]]&lt;=60,"60 to 30mins",calls[[#This Row],[Duration]]&lt;=120,"1 to 2hrs",TRUE,"More than 2 hrs")</f>
        <v>1 to 2hrs</v>
      </c>
      <c r="M121">
        <f>ROUND(calls[[#This Row],[Satisfaction Rating]],0)</f>
        <v>4</v>
      </c>
      <c r="N121">
        <f>COUNTIF(calls[Customer ID], calls[[#This Row],[Customer ID]])</f>
        <v>82</v>
      </c>
      <c r="O121">
        <f>SUMIF(calls[Customer ID], calls[[#This Row],[Customer ID]], calls[Purchase Amount])</f>
        <v>7689</v>
      </c>
      <c r="P121">
        <f>calls[[#This Row],[call count]]/calls[[#This Row],[Purchase Amount]]</f>
        <v>3.9047619047619047</v>
      </c>
      <c r="Q121">
        <f>COUNTIF(calls[Customer ID],calls[[#This Row],[Customer ID]])</f>
        <v>82</v>
      </c>
      <c r="R121">
        <f>calls[[#This Row],[call count]]/calls[[#This Row],[Purchase Amount]]</f>
        <v>3.9047619047619047</v>
      </c>
    </row>
    <row r="122" spans="1:18" x14ac:dyDescent="0.4">
      <c r="A122" t="s">
        <v>151</v>
      </c>
      <c r="B122" t="s">
        <v>8</v>
      </c>
      <c r="C122">
        <v>57</v>
      </c>
      <c r="D122" s="4" t="s">
        <v>2</v>
      </c>
      <c r="E122" s="5">
        <v>44974</v>
      </c>
      <c r="F122">
        <v>88</v>
      </c>
      <c r="G122">
        <f>AVERAGEIF(calls[Representative], calls[[#This Row],[Representative]], calls[Satisfaction Rating])</f>
        <v>3.8824999999999998</v>
      </c>
      <c r="H122" t="str">
        <f>IF(AVERAGEIF(calls[Representative],calls[[#This Row],[Representative]],calls[Satisfaction Rating])&lt;3.5,"Needs Training","OK")</f>
        <v>OK</v>
      </c>
      <c r="I122">
        <v>4.3</v>
      </c>
      <c r="J122">
        <f>IF(MONTH(calls[[#This Row],[Date of Call]])&lt;=6, YEAR(calls[[#This Row],[Date of Call]]), YEAR(calls[[#This Row],[Date of Call]])+1)</f>
        <v>2023</v>
      </c>
      <c r="K122" t="str">
        <f>TEXT(calls[[#This Row],[Date of Call]],"DDDD")</f>
        <v>Friday</v>
      </c>
      <c r="L122" t="str" cm="1">
        <f t="array" ref="L122">_xlfn.IFS(calls[[#This Row],[Duration]]&lt;=10,"under 10 mins",calls[[#This Row],[Duration]]&lt;=30,"10 to 30mins",calls[[#This Row],[Duration]]&lt;=60,"60 to 30mins",calls[[#This Row],[Duration]]&lt;=120,"1 to 2hrs",TRUE,"More than 2 hrs")</f>
        <v>60 to 30mins</v>
      </c>
      <c r="M122">
        <f>ROUND(calls[[#This Row],[Satisfaction Rating]],0)</f>
        <v>4</v>
      </c>
      <c r="N122">
        <f>COUNTIF(calls[Customer ID], calls[[#This Row],[Customer ID]])</f>
        <v>79</v>
      </c>
      <c r="O122">
        <f>SUMIF(calls[Customer ID], calls[[#This Row],[Customer ID]], calls[Purchase Amount])</f>
        <v>7747</v>
      </c>
      <c r="P122">
        <f>calls[[#This Row],[call count]]/calls[[#This Row],[Purchase Amount]]</f>
        <v>0.89772727272727271</v>
      </c>
      <c r="Q122">
        <f>COUNTIF(calls[Customer ID],calls[[#This Row],[Customer ID]])</f>
        <v>79</v>
      </c>
      <c r="R122">
        <f>calls[[#This Row],[call count]]/calls[[#This Row],[Purchase Amount]]</f>
        <v>0.89772727272727271</v>
      </c>
    </row>
    <row r="123" spans="1:18" x14ac:dyDescent="0.4">
      <c r="A123" t="s">
        <v>152</v>
      </c>
      <c r="B123" t="s">
        <v>21</v>
      </c>
      <c r="C123">
        <v>155</v>
      </c>
      <c r="D123" s="4" t="s">
        <v>2</v>
      </c>
      <c r="E123" s="5">
        <v>44975</v>
      </c>
      <c r="F123">
        <v>180</v>
      </c>
      <c r="G123">
        <f>AVERAGEIF(calls[Representative], calls[[#This Row],[Representative]], calls[Satisfaction Rating])</f>
        <v>3.8824999999999998</v>
      </c>
      <c r="H123" t="str">
        <f>IF(AVERAGEIF(calls[Representative],calls[[#This Row],[Representative]],calls[Satisfaction Rating])&lt;3.5,"Needs Training","OK")</f>
        <v>OK</v>
      </c>
      <c r="I123">
        <v>2.2000000000000002</v>
      </c>
      <c r="J123">
        <f>IF(MONTH(calls[[#This Row],[Date of Call]])&lt;=6, YEAR(calls[[#This Row],[Date of Call]]), YEAR(calls[[#This Row],[Date of Call]])+1)</f>
        <v>2023</v>
      </c>
      <c r="K123" t="str">
        <f>TEXT(calls[[#This Row],[Date of Call]],"DDDD")</f>
        <v>Saturday</v>
      </c>
      <c r="L123" t="str" cm="1">
        <f t="array" ref="L123">_xlfn.IFS(calls[[#This Row],[Duration]]&lt;=10,"under 10 mins",calls[[#This Row],[Duration]]&lt;=30,"10 to 30mins",calls[[#This Row],[Duration]]&lt;=60,"60 to 30mins",calls[[#This Row],[Duration]]&lt;=120,"1 to 2hrs",TRUE,"More than 2 hrs")</f>
        <v>More than 2 hrs</v>
      </c>
      <c r="M123">
        <f>ROUND(calls[[#This Row],[Satisfaction Rating]],0)</f>
        <v>2</v>
      </c>
      <c r="N123">
        <f>COUNTIF(calls[Customer ID], calls[[#This Row],[Customer ID]])</f>
        <v>67</v>
      </c>
      <c r="O123">
        <f>SUMIF(calls[Customer ID], calls[[#This Row],[Customer ID]], calls[Purchase Amount])</f>
        <v>7216</v>
      </c>
      <c r="P123">
        <f>calls[[#This Row],[call count]]/calls[[#This Row],[Purchase Amount]]</f>
        <v>0.37222222222222223</v>
      </c>
      <c r="Q123">
        <f>COUNTIF(calls[Customer ID],calls[[#This Row],[Customer ID]])</f>
        <v>67</v>
      </c>
      <c r="R123">
        <f>calls[[#This Row],[call count]]/calls[[#This Row],[Purchase Amount]]</f>
        <v>0.37222222222222223</v>
      </c>
    </row>
    <row r="124" spans="1:18" x14ac:dyDescent="0.4">
      <c r="A124" t="s">
        <v>153</v>
      </c>
      <c r="B124" t="s">
        <v>1</v>
      </c>
      <c r="C124">
        <v>68</v>
      </c>
      <c r="D124" s="4" t="s">
        <v>9</v>
      </c>
      <c r="E124" s="5">
        <v>44975</v>
      </c>
      <c r="F124">
        <v>22</v>
      </c>
      <c r="G124">
        <f>AVERAGEIF(calls[Representative], calls[[#This Row],[Representative]], calls[Satisfaction Rating])</f>
        <v>3.8706422018348627</v>
      </c>
      <c r="H124" t="str">
        <f>IF(AVERAGEIF(calls[Representative],calls[[#This Row],[Representative]],calls[Satisfaction Rating])&lt;3.5,"Needs Training","OK")</f>
        <v>OK</v>
      </c>
      <c r="I124">
        <v>3.3</v>
      </c>
      <c r="J124">
        <f>IF(MONTH(calls[[#This Row],[Date of Call]])&lt;=6, YEAR(calls[[#This Row],[Date of Call]]), YEAR(calls[[#This Row],[Date of Call]])+1)</f>
        <v>2023</v>
      </c>
      <c r="K124" t="str">
        <f>TEXT(calls[[#This Row],[Date of Call]],"DDDD")</f>
        <v>Saturday</v>
      </c>
      <c r="L124" t="str" cm="1">
        <f t="array" ref="L124">_xlfn.IFS(calls[[#This Row],[Duration]]&lt;=10,"under 10 mins",calls[[#This Row],[Duration]]&lt;=30,"10 to 30mins",calls[[#This Row],[Duration]]&lt;=60,"60 to 30mins",calls[[#This Row],[Duration]]&lt;=120,"1 to 2hrs",TRUE,"More than 2 hrs")</f>
        <v>1 to 2hrs</v>
      </c>
      <c r="M124">
        <f>ROUND(calls[[#This Row],[Satisfaction Rating]],0)</f>
        <v>3</v>
      </c>
      <c r="N124">
        <f>COUNTIF(calls[Customer ID], calls[[#This Row],[Customer ID]])</f>
        <v>50</v>
      </c>
      <c r="O124">
        <f>SUMIF(calls[Customer ID], calls[[#This Row],[Customer ID]], calls[Purchase Amount])</f>
        <v>4804</v>
      </c>
      <c r="P124">
        <f>calls[[#This Row],[call count]]/calls[[#This Row],[Purchase Amount]]</f>
        <v>2.2727272727272729</v>
      </c>
      <c r="Q124">
        <f>COUNTIF(calls[Customer ID],calls[[#This Row],[Customer ID]])</f>
        <v>50</v>
      </c>
      <c r="R124">
        <f>calls[[#This Row],[call count]]/calls[[#This Row],[Purchase Amount]]</f>
        <v>2.2727272727272729</v>
      </c>
    </row>
    <row r="125" spans="1:18" x14ac:dyDescent="0.4">
      <c r="A125" t="s">
        <v>154</v>
      </c>
      <c r="B125" t="s">
        <v>26</v>
      </c>
      <c r="C125">
        <v>95</v>
      </c>
      <c r="D125" s="4" t="s">
        <v>9</v>
      </c>
      <c r="E125" s="5">
        <v>44975</v>
      </c>
      <c r="F125">
        <v>52</v>
      </c>
      <c r="G125">
        <f>AVERAGEIF(calls[Representative], calls[[#This Row],[Representative]], calls[Satisfaction Rating])</f>
        <v>3.8706422018348627</v>
      </c>
      <c r="H125" t="str">
        <f>IF(AVERAGEIF(calls[Representative],calls[[#This Row],[Representative]],calls[Satisfaction Rating])&lt;3.5,"Needs Training","OK")</f>
        <v>OK</v>
      </c>
      <c r="I125">
        <v>4.8</v>
      </c>
      <c r="J125">
        <f>IF(MONTH(calls[[#This Row],[Date of Call]])&lt;=6, YEAR(calls[[#This Row],[Date of Call]]), YEAR(calls[[#This Row],[Date of Call]])+1)</f>
        <v>2023</v>
      </c>
      <c r="K125" t="str">
        <f>TEXT(calls[[#This Row],[Date of Call]],"DDDD")</f>
        <v>Saturday</v>
      </c>
      <c r="L125" t="str" cm="1">
        <f t="array" ref="L125">_xlfn.IFS(calls[[#This Row],[Duration]]&lt;=10,"under 10 mins",calls[[#This Row],[Duration]]&lt;=30,"10 to 30mins",calls[[#This Row],[Duration]]&lt;=60,"60 to 30mins",calls[[#This Row],[Duration]]&lt;=120,"1 to 2hrs",TRUE,"More than 2 hrs")</f>
        <v>1 to 2hrs</v>
      </c>
      <c r="M125">
        <f>ROUND(calls[[#This Row],[Satisfaction Rating]],0)</f>
        <v>5</v>
      </c>
      <c r="N125">
        <f>COUNTIF(calls[Customer ID], calls[[#This Row],[Customer ID]])</f>
        <v>72</v>
      </c>
      <c r="O125">
        <f>SUMIF(calls[Customer ID], calls[[#This Row],[Customer ID]], calls[Purchase Amount])</f>
        <v>6242</v>
      </c>
      <c r="P125">
        <f>calls[[#This Row],[call count]]/calls[[#This Row],[Purchase Amount]]</f>
        <v>1.3846153846153846</v>
      </c>
      <c r="Q125">
        <f>COUNTIF(calls[Customer ID],calls[[#This Row],[Customer ID]])</f>
        <v>72</v>
      </c>
      <c r="R125">
        <f>calls[[#This Row],[call count]]/calls[[#This Row],[Purchase Amount]]</f>
        <v>1.3846153846153846</v>
      </c>
    </row>
    <row r="126" spans="1:18" x14ac:dyDescent="0.4">
      <c r="A126" t="s">
        <v>155</v>
      </c>
      <c r="B126" t="s">
        <v>51</v>
      </c>
      <c r="C126">
        <v>65</v>
      </c>
      <c r="D126" s="4" t="s">
        <v>2</v>
      </c>
      <c r="E126" s="5">
        <v>44976</v>
      </c>
      <c r="F126">
        <v>80</v>
      </c>
      <c r="G126">
        <f>AVERAGEIF(calls[Representative], calls[[#This Row],[Representative]], calls[Satisfaction Rating])</f>
        <v>3.8824999999999998</v>
      </c>
      <c r="H126" t="str">
        <f>IF(AVERAGEIF(calls[Representative],calls[[#This Row],[Representative]],calls[Satisfaction Rating])&lt;3.5,"Needs Training","OK")</f>
        <v>OK</v>
      </c>
      <c r="I126">
        <v>4</v>
      </c>
      <c r="J126">
        <f>IF(MONTH(calls[[#This Row],[Date of Call]])&lt;=6, YEAR(calls[[#This Row],[Date of Call]]), YEAR(calls[[#This Row],[Date of Call]])+1)</f>
        <v>2023</v>
      </c>
      <c r="K126" t="str">
        <f>TEXT(calls[[#This Row],[Date of Call]],"DDDD")</f>
        <v>Sunday</v>
      </c>
      <c r="L126" t="str" cm="1">
        <f t="array" ref="L126">_xlfn.IFS(calls[[#This Row],[Duration]]&lt;=10,"under 10 mins",calls[[#This Row],[Duration]]&lt;=30,"10 to 30mins",calls[[#This Row],[Duration]]&lt;=60,"60 to 30mins",calls[[#This Row],[Duration]]&lt;=120,"1 to 2hrs",TRUE,"More than 2 hrs")</f>
        <v>1 to 2hrs</v>
      </c>
      <c r="M126">
        <f>ROUND(calls[[#This Row],[Satisfaction Rating]],0)</f>
        <v>4</v>
      </c>
      <c r="N126">
        <f>COUNTIF(calls[Customer ID], calls[[#This Row],[Customer ID]])</f>
        <v>59</v>
      </c>
      <c r="O126">
        <f>SUMIF(calls[Customer ID], calls[[#This Row],[Customer ID]], calls[Purchase Amount])</f>
        <v>6518</v>
      </c>
      <c r="P126">
        <f>calls[[#This Row],[call count]]/calls[[#This Row],[Purchase Amount]]</f>
        <v>0.73750000000000004</v>
      </c>
      <c r="Q126">
        <f>COUNTIF(calls[Customer ID],calls[[#This Row],[Customer ID]])</f>
        <v>59</v>
      </c>
      <c r="R126">
        <f>calls[[#This Row],[call count]]/calls[[#This Row],[Purchase Amount]]</f>
        <v>0.73750000000000004</v>
      </c>
    </row>
    <row r="127" spans="1:18" x14ac:dyDescent="0.4">
      <c r="A127" t="s">
        <v>156</v>
      </c>
      <c r="B127" t="s">
        <v>13</v>
      </c>
      <c r="C127">
        <v>114</v>
      </c>
      <c r="D127" s="4" t="s">
        <v>14</v>
      </c>
      <c r="E127" s="5">
        <v>44976</v>
      </c>
      <c r="F127">
        <v>54</v>
      </c>
      <c r="G127">
        <f>AVERAGEIF(calls[Representative], calls[[#This Row],[Representative]], calls[Satisfaction Rating])</f>
        <v>3.9227513227513247</v>
      </c>
      <c r="H127" t="str">
        <f>IF(AVERAGEIF(calls[Representative],calls[[#This Row],[Representative]],calls[Satisfaction Rating])&lt;3.5,"Needs Training","OK")</f>
        <v>OK</v>
      </c>
      <c r="I127">
        <v>1.1000000000000001</v>
      </c>
      <c r="J127">
        <f>IF(MONTH(calls[[#This Row],[Date of Call]])&lt;=6, YEAR(calls[[#This Row],[Date of Call]]), YEAR(calls[[#This Row],[Date of Call]])+1)</f>
        <v>2023</v>
      </c>
      <c r="K127" t="str">
        <f>TEXT(calls[[#This Row],[Date of Call]],"DDDD")</f>
        <v>Sunday</v>
      </c>
      <c r="L127" t="str" cm="1">
        <f t="array" ref="L127">_xlfn.IFS(calls[[#This Row],[Duration]]&lt;=10,"under 10 mins",calls[[#This Row],[Duration]]&lt;=30,"10 to 30mins",calls[[#This Row],[Duration]]&lt;=60,"60 to 30mins",calls[[#This Row],[Duration]]&lt;=120,"1 to 2hrs",TRUE,"More than 2 hrs")</f>
        <v>1 to 2hrs</v>
      </c>
      <c r="M127">
        <f>ROUND(calls[[#This Row],[Satisfaction Rating]],0)</f>
        <v>1</v>
      </c>
      <c r="N127">
        <f>COUNTIF(calls[Customer ID], calls[[#This Row],[Customer ID]])</f>
        <v>74</v>
      </c>
      <c r="O127">
        <f>SUMIF(calls[Customer ID], calls[[#This Row],[Customer ID]], calls[Purchase Amount])</f>
        <v>6749</v>
      </c>
      <c r="P127">
        <f>calls[[#This Row],[call count]]/calls[[#This Row],[Purchase Amount]]</f>
        <v>1.3703703703703705</v>
      </c>
      <c r="Q127">
        <f>COUNTIF(calls[Customer ID],calls[[#This Row],[Customer ID]])</f>
        <v>74</v>
      </c>
      <c r="R127">
        <f>calls[[#This Row],[call count]]/calls[[#This Row],[Purchase Amount]]</f>
        <v>1.3703703703703705</v>
      </c>
    </row>
    <row r="128" spans="1:18" x14ac:dyDescent="0.4">
      <c r="A128" t="s">
        <v>157</v>
      </c>
      <c r="B128" t="s">
        <v>6</v>
      </c>
      <c r="C128">
        <v>155</v>
      </c>
      <c r="D128" s="4" t="s">
        <v>14</v>
      </c>
      <c r="E128" s="5">
        <v>44977</v>
      </c>
      <c r="F128">
        <v>80</v>
      </c>
      <c r="G128">
        <f>AVERAGEIF(calls[Representative], calls[[#This Row],[Representative]], calls[Satisfaction Rating])</f>
        <v>3.9227513227513247</v>
      </c>
      <c r="H128" t="str">
        <f>IF(AVERAGEIF(calls[Representative],calls[[#This Row],[Representative]],calls[Satisfaction Rating])&lt;3.5,"Needs Training","OK")</f>
        <v>OK</v>
      </c>
      <c r="I128">
        <v>3.9</v>
      </c>
      <c r="J128">
        <f>IF(MONTH(calls[[#This Row],[Date of Call]])&lt;=6, YEAR(calls[[#This Row],[Date of Call]]), YEAR(calls[[#This Row],[Date of Call]])+1)</f>
        <v>2023</v>
      </c>
      <c r="K128" t="str">
        <f>TEXT(calls[[#This Row],[Date of Call]],"DDDD")</f>
        <v>Monday</v>
      </c>
      <c r="L128" t="str" cm="1">
        <f t="array" ref="L128">_xlfn.IFS(calls[[#This Row],[Duration]]&lt;=10,"under 10 mins",calls[[#This Row],[Duration]]&lt;=30,"10 to 30mins",calls[[#This Row],[Duration]]&lt;=60,"60 to 30mins",calls[[#This Row],[Duration]]&lt;=120,"1 to 2hrs",TRUE,"More than 2 hrs")</f>
        <v>More than 2 hrs</v>
      </c>
      <c r="M128">
        <f>ROUND(calls[[#This Row],[Satisfaction Rating]],0)</f>
        <v>4</v>
      </c>
      <c r="N128">
        <f>COUNTIF(calls[Customer ID], calls[[#This Row],[Customer ID]])</f>
        <v>82</v>
      </c>
      <c r="O128">
        <f>SUMIF(calls[Customer ID], calls[[#This Row],[Customer ID]], calls[Purchase Amount])</f>
        <v>7689</v>
      </c>
      <c r="P128">
        <f>calls[[#This Row],[call count]]/calls[[#This Row],[Purchase Amount]]</f>
        <v>1.0249999999999999</v>
      </c>
      <c r="Q128">
        <f>COUNTIF(calls[Customer ID],calls[[#This Row],[Customer ID]])</f>
        <v>82</v>
      </c>
      <c r="R128">
        <f>calls[[#This Row],[call count]]/calls[[#This Row],[Purchase Amount]]</f>
        <v>1.0249999999999999</v>
      </c>
    </row>
    <row r="129" spans="1:18" x14ac:dyDescent="0.4">
      <c r="A129" t="s">
        <v>158</v>
      </c>
      <c r="B129" t="s">
        <v>51</v>
      </c>
      <c r="C129">
        <v>114</v>
      </c>
      <c r="D129" s="4" t="s">
        <v>2</v>
      </c>
      <c r="E129" s="5">
        <v>44978</v>
      </c>
      <c r="F129">
        <v>120</v>
      </c>
      <c r="G129">
        <f>AVERAGEIF(calls[Representative], calls[[#This Row],[Representative]], calls[Satisfaction Rating])</f>
        <v>3.8824999999999998</v>
      </c>
      <c r="H129" t="str">
        <f>IF(AVERAGEIF(calls[Representative],calls[[#This Row],[Representative]],calls[Satisfaction Rating])&lt;3.5,"Needs Training","OK")</f>
        <v>OK</v>
      </c>
      <c r="I129">
        <v>1.8</v>
      </c>
      <c r="J129">
        <f>IF(MONTH(calls[[#This Row],[Date of Call]])&lt;=6, YEAR(calls[[#This Row],[Date of Call]]), YEAR(calls[[#This Row],[Date of Call]])+1)</f>
        <v>2023</v>
      </c>
      <c r="K129" t="str">
        <f>TEXT(calls[[#This Row],[Date of Call]],"DDDD")</f>
        <v>Tuesday</v>
      </c>
      <c r="L129" t="str" cm="1">
        <f t="array" ref="L129">_xlfn.IFS(calls[[#This Row],[Duration]]&lt;=10,"under 10 mins",calls[[#This Row],[Duration]]&lt;=30,"10 to 30mins",calls[[#This Row],[Duration]]&lt;=60,"60 to 30mins",calls[[#This Row],[Duration]]&lt;=120,"1 to 2hrs",TRUE,"More than 2 hrs")</f>
        <v>1 to 2hrs</v>
      </c>
      <c r="M129">
        <f>ROUND(calls[[#This Row],[Satisfaction Rating]],0)</f>
        <v>2</v>
      </c>
      <c r="N129">
        <f>COUNTIF(calls[Customer ID], calls[[#This Row],[Customer ID]])</f>
        <v>59</v>
      </c>
      <c r="O129">
        <f>SUMIF(calls[Customer ID], calls[[#This Row],[Customer ID]], calls[Purchase Amount])</f>
        <v>6518</v>
      </c>
      <c r="P129">
        <f>calls[[#This Row],[call count]]/calls[[#This Row],[Purchase Amount]]</f>
        <v>0.49166666666666664</v>
      </c>
      <c r="Q129">
        <f>COUNTIF(calls[Customer ID],calls[[#This Row],[Customer ID]])</f>
        <v>59</v>
      </c>
      <c r="R129">
        <f>calls[[#This Row],[call count]]/calls[[#This Row],[Purchase Amount]]</f>
        <v>0.49166666666666664</v>
      </c>
    </row>
    <row r="130" spans="1:18" x14ac:dyDescent="0.4">
      <c r="A130" t="s">
        <v>159</v>
      </c>
      <c r="B130" t="s">
        <v>21</v>
      </c>
      <c r="C130">
        <v>130</v>
      </c>
      <c r="D130" s="4" t="s">
        <v>23</v>
      </c>
      <c r="E130" s="5">
        <v>44978</v>
      </c>
      <c r="F130">
        <v>150</v>
      </c>
      <c r="G130">
        <f>AVERAGEIF(calls[Representative], calls[[#This Row],[Representative]], calls[Satisfaction Rating])</f>
        <v>3.8973118279569863</v>
      </c>
      <c r="H130" t="str">
        <f>IF(AVERAGEIF(calls[Representative],calls[[#This Row],[Representative]],calls[Satisfaction Rating])&lt;3.5,"Needs Training","OK")</f>
        <v>OK</v>
      </c>
      <c r="I130">
        <v>1</v>
      </c>
      <c r="J130">
        <f>IF(MONTH(calls[[#This Row],[Date of Call]])&lt;=6, YEAR(calls[[#This Row],[Date of Call]]), YEAR(calls[[#This Row],[Date of Call]])+1)</f>
        <v>2023</v>
      </c>
      <c r="K130" t="str">
        <f>TEXT(calls[[#This Row],[Date of Call]],"DDDD")</f>
        <v>Tuesday</v>
      </c>
      <c r="L130" t="str" cm="1">
        <f t="array" ref="L130">_xlfn.IFS(calls[[#This Row],[Duration]]&lt;=10,"under 10 mins",calls[[#This Row],[Duration]]&lt;=30,"10 to 30mins",calls[[#This Row],[Duration]]&lt;=60,"60 to 30mins",calls[[#This Row],[Duration]]&lt;=120,"1 to 2hrs",TRUE,"More than 2 hrs")</f>
        <v>More than 2 hrs</v>
      </c>
      <c r="M130">
        <f>ROUND(calls[[#This Row],[Satisfaction Rating]],0)</f>
        <v>1</v>
      </c>
      <c r="N130">
        <f>COUNTIF(calls[Customer ID], calls[[#This Row],[Customer ID]])</f>
        <v>67</v>
      </c>
      <c r="O130">
        <f>SUMIF(calls[Customer ID], calls[[#This Row],[Customer ID]], calls[Purchase Amount])</f>
        <v>7216</v>
      </c>
      <c r="P130">
        <f>calls[[#This Row],[call count]]/calls[[#This Row],[Purchase Amount]]</f>
        <v>0.44666666666666666</v>
      </c>
      <c r="Q130">
        <f>COUNTIF(calls[Customer ID],calls[[#This Row],[Customer ID]])</f>
        <v>67</v>
      </c>
      <c r="R130">
        <f>calls[[#This Row],[call count]]/calls[[#This Row],[Purchase Amount]]</f>
        <v>0.44666666666666666</v>
      </c>
    </row>
    <row r="131" spans="1:18" x14ac:dyDescent="0.4">
      <c r="A131" t="s">
        <v>160</v>
      </c>
      <c r="B131" t="s">
        <v>6</v>
      </c>
      <c r="C131">
        <v>89</v>
      </c>
      <c r="D131" s="4" t="s">
        <v>2</v>
      </c>
      <c r="E131" s="5">
        <v>44978</v>
      </c>
      <c r="F131">
        <v>90</v>
      </c>
      <c r="G131">
        <f>AVERAGEIF(calls[Representative], calls[[#This Row],[Representative]], calls[Satisfaction Rating])</f>
        <v>3.8824999999999998</v>
      </c>
      <c r="H131" t="str">
        <f>IF(AVERAGEIF(calls[Representative],calls[[#This Row],[Representative]],calls[Satisfaction Rating])&lt;3.5,"Needs Training","OK")</f>
        <v>OK</v>
      </c>
      <c r="I131">
        <v>4.3</v>
      </c>
      <c r="J131">
        <f>IF(MONTH(calls[[#This Row],[Date of Call]])&lt;=6, YEAR(calls[[#This Row],[Date of Call]]), YEAR(calls[[#This Row],[Date of Call]])+1)</f>
        <v>2023</v>
      </c>
      <c r="K131" t="str">
        <f>TEXT(calls[[#This Row],[Date of Call]],"DDDD")</f>
        <v>Tuesday</v>
      </c>
      <c r="L131" t="str" cm="1">
        <f t="array" ref="L131">_xlfn.IFS(calls[[#This Row],[Duration]]&lt;=10,"under 10 mins",calls[[#This Row],[Duration]]&lt;=30,"10 to 30mins",calls[[#This Row],[Duration]]&lt;=60,"60 to 30mins",calls[[#This Row],[Duration]]&lt;=120,"1 to 2hrs",TRUE,"More than 2 hrs")</f>
        <v>1 to 2hrs</v>
      </c>
      <c r="M131">
        <f>ROUND(calls[[#This Row],[Satisfaction Rating]],0)</f>
        <v>4</v>
      </c>
      <c r="N131">
        <f>COUNTIF(calls[Customer ID], calls[[#This Row],[Customer ID]])</f>
        <v>82</v>
      </c>
      <c r="O131">
        <f>SUMIF(calls[Customer ID], calls[[#This Row],[Customer ID]], calls[Purchase Amount])</f>
        <v>7689</v>
      </c>
      <c r="P131">
        <f>calls[[#This Row],[call count]]/calls[[#This Row],[Purchase Amount]]</f>
        <v>0.91111111111111109</v>
      </c>
      <c r="Q131">
        <f>COUNTIF(calls[Customer ID],calls[[#This Row],[Customer ID]])</f>
        <v>82</v>
      </c>
      <c r="R131">
        <f>calls[[#This Row],[call count]]/calls[[#This Row],[Purchase Amount]]</f>
        <v>0.91111111111111109</v>
      </c>
    </row>
    <row r="132" spans="1:18" x14ac:dyDescent="0.4">
      <c r="A132" t="s">
        <v>161</v>
      </c>
      <c r="B132" t="s">
        <v>64</v>
      </c>
      <c r="C132">
        <v>61</v>
      </c>
      <c r="D132" s="4" t="s">
        <v>27</v>
      </c>
      <c r="E132" s="5">
        <v>44979</v>
      </c>
      <c r="F132">
        <v>140</v>
      </c>
      <c r="G132">
        <f>AVERAGEIF(calls[Representative], calls[[#This Row],[Representative]], calls[Satisfaction Rating])</f>
        <v>3.8589371980676304</v>
      </c>
      <c r="H132" t="str">
        <f>IF(AVERAGEIF(calls[Representative],calls[[#This Row],[Representative]],calls[Satisfaction Rating])&lt;3.5,"Needs Training","OK")</f>
        <v>OK</v>
      </c>
      <c r="I132">
        <v>3.4</v>
      </c>
      <c r="J132">
        <f>IF(MONTH(calls[[#This Row],[Date of Call]])&lt;=6, YEAR(calls[[#This Row],[Date of Call]]), YEAR(calls[[#This Row],[Date of Call]])+1)</f>
        <v>2023</v>
      </c>
      <c r="K132" t="str">
        <f>TEXT(calls[[#This Row],[Date of Call]],"DDDD")</f>
        <v>Wednesday</v>
      </c>
      <c r="L132" t="str" cm="1">
        <f t="array" ref="L132">_xlfn.IFS(calls[[#This Row],[Duration]]&lt;=10,"under 10 mins",calls[[#This Row],[Duration]]&lt;=30,"10 to 30mins",calls[[#This Row],[Duration]]&lt;=60,"60 to 30mins",calls[[#This Row],[Duration]]&lt;=120,"1 to 2hrs",TRUE,"More than 2 hrs")</f>
        <v>1 to 2hrs</v>
      </c>
      <c r="M132">
        <f>ROUND(calls[[#This Row],[Satisfaction Rating]],0)</f>
        <v>3</v>
      </c>
      <c r="N132">
        <f>COUNTIF(calls[Customer ID], calls[[#This Row],[Customer ID]])</f>
        <v>65</v>
      </c>
      <c r="O132">
        <f>SUMIF(calls[Customer ID], calls[[#This Row],[Customer ID]], calls[Purchase Amount])</f>
        <v>6785</v>
      </c>
      <c r="P132">
        <f>calls[[#This Row],[call count]]/calls[[#This Row],[Purchase Amount]]</f>
        <v>0.4642857142857143</v>
      </c>
      <c r="Q132">
        <f>COUNTIF(calls[Customer ID],calls[[#This Row],[Customer ID]])</f>
        <v>65</v>
      </c>
      <c r="R132">
        <f>calls[[#This Row],[call count]]/calls[[#This Row],[Purchase Amount]]</f>
        <v>0.4642857142857143</v>
      </c>
    </row>
    <row r="133" spans="1:18" x14ac:dyDescent="0.4">
      <c r="A133" t="s">
        <v>162</v>
      </c>
      <c r="B133" t="s">
        <v>26</v>
      </c>
      <c r="C133">
        <v>154</v>
      </c>
      <c r="D133" s="4" t="s">
        <v>14</v>
      </c>
      <c r="E133" s="5">
        <v>44979</v>
      </c>
      <c r="F133">
        <v>22</v>
      </c>
      <c r="G133">
        <f>AVERAGEIF(calls[Representative], calls[[#This Row],[Representative]], calls[Satisfaction Rating])</f>
        <v>3.9227513227513247</v>
      </c>
      <c r="H133" t="str">
        <f>IF(AVERAGEIF(calls[Representative],calls[[#This Row],[Representative]],calls[Satisfaction Rating])&lt;3.5,"Needs Training","OK")</f>
        <v>OK</v>
      </c>
      <c r="I133">
        <v>3.4</v>
      </c>
      <c r="J133">
        <f>IF(MONTH(calls[[#This Row],[Date of Call]])&lt;=6, YEAR(calls[[#This Row],[Date of Call]]), YEAR(calls[[#This Row],[Date of Call]])+1)</f>
        <v>2023</v>
      </c>
      <c r="K133" t="str">
        <f>TEXT(calls[[#This Row],[Date of Call]],"DDDD")</f>
        <v>Wednesday</v>
      </c>
      <c r="L133" t="str" cm="1">
        <f t="array" ref="L133">_xlfn.IFS(calls[[#This Row],[Duration]]&lt;=10,"under 10 mins",calls[[#This Row],[Duration]]&lt;=30,"10 to 30mins",calls[[#This Row],[Duration]]&lt;=60,"60 to 30mins",calls[[#This Row],[Duration]]&lt;=120,"1 to 2hrs",TRUE,"More than 2 hrs")</f>
        <v>More than 2 hrs</v>
      </c>
      <c r="M133">
        <f>ROUND(calls[[#This Row],[Satisfaction Rating]],0)</f>
        <v>3</v>
      </c>
      <c r="N133">
        <f>COUNTIF(calls[Customer ID], calls[[#This Row],[Customer ID]])</f>
        <v>72</v>
      </c>
      <c r="O133">
        <f>SUMIF(calls[Customer ID], calls[[#This Row],[Customer ID]], calls[Purchase Amount])</f>
        <v>6242</v>
      </c>
      <c r="P133">
        <f>calls[[#This Row],[call count]]/calls[[#This Row],[Purchase Amount]]</f>
        <v>3.2727272727272729</v>
      </c>
      <c r="Q133">
        <f>COUNTIF(calls[Customer ID],calls[[#This Row],[Customer ID]])</f>
        <v>72</v>
      </c>
      <c r="R133">
        <f>calls[[#This Row],[call count]]/calls[[#This Row],[Purchase Amount]]</f>
        <v>3.2727272727272729</v>
      </c>
    </row>
    <row r="134" spans="1:18" x14ac:dyDescent="0.4">
      <c r="A134" t="s">
        <v>163</v>
      </c>
      <c r="B134" t="s">
        <v>51</v>
      </c>
      <c r="C134">
        <v>115</v>
      </c>
      <c r="D134" s="4" t="s">
        <v>23</v>
      </c>
      <c r="E134" s="5">
        <v>44980</v>
      </c>
      <c r="F134">
        <v>150</v>
      </c>
      <c r="G134">
        <f>AVERAGEIF(calls[Representative], calls[[#This Row],[Representative]], calls[Satisfaction Rating])</f>
        <v>3.8973118279569863</v>
      </c>
      <c r="H134" t="str">
        <f>IF(AVERAGEIF(calls[Representative],calls[[#This Row],[Representative]],calls[Satisfaction Rating])&lt;3.5,"Needs Training","OK")</f>
        <v>OK</v>
      </c>
      <c r="I134">
        <v>4.0999999999999996</v>
      </c>
      <c r="J134">
        <f>IF(MONTH(calls[[#This Row],[Date of Call]])&lt;=6, YEAR(calls[[#This Row],[Date of Call]]), YEAR(calls[[#This Row],[Date of Call]])+1)</f>
        <v>2023</v>
      </c>
      <c r="K134" t="str">
        <f>TEXT(calls[[#This Row],[Date of Call]],"DDDD")</f>
        <v>Thursday</v>
      </c>
      <c r="L134" t="str" cm="1">
        <f t="array" ref="L134">_xlfn.IFS(calls[[#This Row],[Duration]]&lt;=10,"under 10 mins",calls[[#This Row],[Duration]]&lt;=30,"10 to 30mins",calls[[#This Row],[Duration]]&lt;=60,"60 to 30mins",calls[[#This Row],[Duration]]&lt;=120,"1 to 2hrs",TRUE,"More than 2 hrs")</f>
        <v>1 to 2hrs</v>
      </c>
      <c r="M134">
        <f>ROUND(calls[[#This Row],[Satisfaction Rating]],0)</f>
        <v>4</v>
      </c>
      <c r="N134">
        <f>COUNTIF(calls[Customer ID], calls[[#This Row],[Customer ID]])</f>
        <v>59</v>
      </c>
      <c r="O134">
        <f>SUMIF(calls[Customer ID], calls[[#This Row],[Customer ID]], calls[Purchase Amount])</f>
        <v>6518</v>
      </c>
      <c r="P134">
        <f>calls[[#This Row],[call count]]/calls[[#This Row],[Purchase Amount]]</f>
        <v>0.39333333333333331</v>
      </c>
      <c r="Q134">
        <f>COUNTIF(calls[Customer ID],calls[[#This Row],[Customer ID]])</f>
        <v>59</v>
      </c>
      <c r="R134">
        <f>calls[[#This Row],[call count]]/calls[[#This Row],[Purchase Amount]]</f>
        <v>0.39333333333333331</v>
      </c>
    </row>
    <row r="135" spans="1:18" x14ac:dyDescent="0.4">
      <c r="A135" t="s">
        <v>164</v>
      </c>
      <c r="B135" t="s">
        <v>84</v>
      </c>
      <c r="C135">
        <v>138</v>
      </c>
      <c r="D135" s="4" t="s">
        <v>9</v>
      </c>
      <c r="E135" s="5">
        <v>44981</v>
      </c>
      <c r="F135">
        <v>35</v>
      </c>
      <c r="G135">
        <f>AVERAGEIF(calls[Representative], calls[[#This Row],[Representative]], calls[Satisfaction Rating])</f>
        <v>3.8706422018348627</v>
      </c>
      <c r="H135" t="str">
        <f>IF(AVERAGEIF(calls[Representative],calls[[#This Row],[Representative]],calls[Satisfaction Rating])&lt;3.5,"Needs Training","OK")</f>
        <v>OK</v>
      </c>
      <c r="I135">
        <v>4.8</v>
      </c>
      <c r="J135">
        <f>IF(MONTH(calls[[#This Row],[Date of Call]])&lt;=6, YEAR(calls[[#This Row],[Date of Call]]), YEAR(calls[[#This Row],[Date of Call]])+1)</f>
        <v>2023</v>
      </c>
      <c r="K135" t="str">
        <f>TEXT(calls[[#This Row],[Date of Call]],"DDDD")</f>
        <v>Friday</v>
      </c>
      <c r="L135" t="str" cm="1">
        <f t="array" ref="L135">_xlfn.IFS(calls[[#This Row],[Duration]]&lt;=10,"under 10 mins",calls[[#This Row],[Duration]]&lt;=30,"10 to 30mins",calls[[#This Row],[Duration]]&lt;=60,"60 to 30mins",calls[[#This Row],[Duration]]&lt;=120,"1 to 2hrs",TRUE,"More than 2 hrs")</f>
        <v>More than 2 hrs</v>
      </c>
      <c r="M135">
        <f>ROUND(calls[[#This Row],[Satisfaction Rating]],0)</f>
        <v>5</v>
      </c>
      <c r="N135">
        <f>COUNTIF(calls[Customer ID], calls[[#This Row],[Customer ID]])</f>
        <v>59</v>
      </c>
      <c r="O135">
        <f>SUMIF(calls[Customer ID], calls[[#This Row],[Customer ID]], calls[Purchase Amount])</f>
        <v>5009</v>
      </c>
      <c r="P135">
        <f>calls[[#This Row],[call count]]/calls[[#This Row],[Purchase Amount]]</f>
        <v>1.6857142857142857</v>
      </c>
      <c r="Q135">
        <f>COUNTIF(calls[Customer ID],calls[[#This Row],[Customer ID]])</f>
        <v>59</v>
      </c>
      <c r="R135">
        <f>calls[[#This Row],[call count]]/calls[[#This Row],[Purchase Amount]]</f>
        <v>1.6857142857142857</v>
      </c>
    </row>
    <row r="136" spans="1:18" x14ac:dyDescent="0.4">
      <c r="A136" t="s">
        <v>165</v>
      </c>
      <c r="B136" t="s">
        <v>11</v>
      </c>
      <c r="C136">
        <v>153</v>
      </c>
      <c r="D136" s="4" t="s">
        <v>2</v>
      </c>
      <c r="E136" s="5">
        <v>44981</v>
      </c>
      <c r="F136">
        <v>200</v>
      </c>
      <c r="G136">
        <f>AVERAGEIF(calls[Representative], calls[[#This Row],[Representative]], calls[Satisfaction Rating])</f>
        <v>3.8824999999999998</v>
      </c>
      <c r="H136" t="str">
        <f>IF(AVERAGEIF(calls[Representative],calls[[#This Row],[Representative]],calls[Satisfaction Rating])&lt;3.5,"Needs Training","OK")</f>
        <v>OK</v>
      </c>
      <c r="I136">
        <v>2</v>
      </c>
      <c r="J136">
        <f>IF(MONTH(calls[[#This Row],[Date of Call]])&lt;=6, YEAR(calls[[#This Row],[Date of Call]]), YEAR(calls[[#This Row],[Date of Call]])+1)</f>
        <v>2023</v>
      </c>
      <c r="K136" t="str">
        <f>TEXT(calls[[#This Row],[Date of Call]],"DDDD")</f>
        <v>Friday</v>
      </c>
      <c r="L136" t="str" cm="1">
        <f t="array" ref="L136">_xlfn.IFS(calls[[#This Row],[Duration]]&lt;=10,"under 10 mins",calls[[#This Row],[Duration]]&lt;=30,"10 to 30mins",calls[[#This Row],[Duration]]&lt;=60,"60 to 30mins",calls[[#This Row],[Duration]]&lt;=120,"1 to 2hrs",TRUE,"More than 2 hrs")</f>
        <v>More than 2 hrs</v>
      </c>
      <c r="M136">
        <f>ROUND(calls[[#This Row],[Satisfaction Rating]],0)</f>
        <v>2</v>
      </c>
      <c r="N136">
        <f>COUNTIF(calls[Customer ID], calls[[#This Row],[Customer ID]])</f>
        <v>60</v>
      </c>
      <c r="O136">
        <f>SUMIF(calls[Customer ID], calls[[#This Row],[Customer ID]], calls[Purchase Amount])</f>
        <v>5404</v>
      </c>
      <c r="P136">
        <f>calls[[#This Row],[call count]]/calls[[#This Row],[Purchase Amount]]</f>
        <v>0.3</v>
      </c>
      <c r="Q136">
        <f>COUNTIF(calls[Customer ID],calls[[#This Row],[Customer ID]])</f>
        <v>60</v>
      </c>
      <c r="R136">
        <f>calls[[#This Row],[call count]]/calls[[#This Row],[Purchase Amount]]</f>
        <v>0.3</v>
      </c>
    </row>
    <row r="137" spans="1:18" x14ac:dyDescent="0.4">
      <c r="A137" t="s">
        <v>166</v>
      </c>
      <c r="B137" t="s">
        <v>51</v>
      </c>
      <c r="C137">
        <v>61</v>
      </c>
      <c r="D137" s="4" t="s">
        <v>27</v>
      </c>
      <c r="E137" s="5">
        <v>44982</v>
      </c>
      <c r="F137">
        <v>150</v>
      </c>
      <c r="G137">
        <f>AVERAGEIF(calls[Representative], calls[[#This Row],[Representative]], calls[Satisfaction Rating])</f>
        <v>3.8589371980676304</v>
      </c>
      <c r="H137" t="str">
        <f>IF(AVERAGEIF(calls[Representative],calls[[#This Row],[Representative]],calls[Satisfaction Rating])&lt;3.5,"Needs Training","OK")</f>
        <v>OK</v>
      </c>
      <c r="I137">
        <v>4.5999999999999996</v>
      </c>
      <c r="J137">
        <f>IF(MONTH(calls[[#This Row],[Date of Call]])&lt;=6, YEAR(calls[[#This Row],[Date of Call]]), YEAR(calls[[#This Row],[Date of Call]])+1)</f>
        <v>2023</v>
      </c>
      <c r="K137" t="str">
        <f>TEXT(calls[[#This Row],[Date of Call]],"DDDD")</f>
        <v>Saturday</v>
      </c>
      <c r="L137" t="str" cm="1">
        <f t="array" ref="L137">_xlfn.IFS(calls[[#This Row],[Duration]]&lt;=10,"under 10 mins",calls[[#This Row],[Duration]]&lt;=30,"10 to 30mins",calls[[#This Row],[Duration]]&lt;=60,"60 to 30mins",calls[[#This Row],[Duration]]&lt;=120,"1 to 2hrs",TRUE,"More than 2 hrs")</f>
        <v>1 to 2hrs</v>
      </c>
      <c r="M137">
        <f>ROUND(calls[[#This Row],[Satisfaction Rating]],0)</f>
        <v>5</v>
      </c>
      <c r="N137">
        <f>COUNTIF(calls[Customer ID], calls[[#This Row],[Customer ID]])</f>
        <v>59</v>
      </c>
      <c r="O137">
        <f>SUMIF(calls[Customer ID], calls[[#This Row],[Customer ID]], calls[Purchase Amount])</f>
        <v>6518</v>
      </c>
      <c r="P137">
        <f>calls[[#This Row],[call count]]/calls[[#This Row],[Purchase Amount]]</f>
        <v>0.39333333333333331</v>
      </c>
      <c r="Q137">
        <f>COUNTIF(calls[Customer ID],calls[[#This Row],[Customer ID]])</f>
        <v>59</v>
      </c>
      <c r="R137">
        <f>calls[[#This Row],[call count]]/calls[[#This Row],[Purchase Amount]]</f>
        <v>0.39333333333333331</v>
      </c>
    </row>
    <row r="138" spans="1:18" x14ac:dyDescent="0.4">
      <c r="A138" t="s">
        <v>167</v>
      </c>
      <c r="B138" t="s">
        <v>40</v>
      </c>
      <c r="C138">
        <v>62</v>
      </c>
      <c r="D138" s="4" t="s">
        <v>2</v>
      </c>
      <c r="E138" s="5">
        <v>44982</v>
      </c>
      <c r="F138">
        <v>21</v>
      </c>
      <c r="G138">
        <f>AVERAGEIF(calls[Representative], calls[[#This Row],[Representative]], calls[Satisfaction Rating])</f>
        <v>3.8824999999999998</v>
      </c>
      <c r="H138" t="str">
        <f>IF(AVERAGEIF(calls[Representative],calls[[#This Row],[Representative]],calls[Satisfaction Rating])&lt;3.5,"Needs Training","OK")</f>
        <v>OK</v>
      </c>
      <c r="I138">
        <v>2.6</v>
      </c>
      <c r="J138">
        <f>IF(MONTH(calls[[#This Row],[Date of Call]])&lt;=6, YEAR(calls[[#This Row],[Date of Call]]), YEAR(calls[[#This Row],[Date of Call]])+1)</f>
        <v>2023</v>
      </c>
      <c r="K138" t="str">
        <f>TEXT(calls[[#This Row],[Date of Call]],"DDDD")</f>
        <v>Saturday</v>
      </c>
      <c r="L138" t="str" cm="1">
        <f t="array" ref="L138">_xlfn.IFS(calls[[#This Row],[Duration]]&lt;=10,"under 10 mins",calls[[#This Row],[Duration]]&lt;=30,"10 to 30mins",calls[[#This Row],[Duration]]&lt;=60,"60 to 30mins",calls[[#This Row],[Duration]]&lt;=120,"1 to 2hrs",TRUE,"More than 2 hrs")</f>
        <v>1 to 2hrs</v>
      </c>
      <c r="M138">
        <f>ROUND(calls[[#This Row],[Satisfaction Rating]],0)</f>
        <v>3</v>
      </c>
      <c r="N138">
        <f>COUNTIF(calls[Customer ID], calls[[#This Row],[Customer ID]])</f>
        <v>69</v>
      </c>
      <c r="O138">
        <f>SUMIF(calls[Customer ID], calls[[#This Row],[Customer ID]], calls[Purchase Amount])</f>
        <v>6601</v>
      </c>
      <c r="P138">
        <f>calls[[#This Row],[call count]]/calls[[#This Row],[Purchase Amount]]</f>
        <v>3.2857142857142856</v>
      </c>
      <c r="Q138">
        <f>COUNTIF(calls[Customer ID],calls[[#This Row],[Customer ID]])</f>
        <v>69</v>
      </c>
      <c r="R138">
        <f>calls[[#This Row],[call count]]/calls[[#This Row],[Purchase Amount]]</f>
        <v>3.2857142857142856</v>
      </c>
    </row>
    <row r="139" spans="1:18" x14ac:dyDescent="0.4">
      <c r="A139" t="s">
        <v>168</v>
      </c>
      <c r="B139" t="s">
        <v>64</v>
      </c>
      <c r="C139">
        <v>151</v>
      </c>
      <c r="D139" s="4" t="s">
        <v>23</v>
      </c>
      <c r="E139" s="5">
        <v>44983</v>
      </c>
      <c r="F139">
        <v>46</v>
      </c>
      <c r="G139">
        <f>AVERAGEIF(calls[Representative], calls[[#This Row],[Representative]], calls[Satisfaction Rating])</f>
        <v>3.8973118279569863</v>
      </c>
      <c r="H139" t="str">
        <f>IF(AVERAGEIF(calls[Representative],calls[[#This Row],[Representative]],calls[Satisfaction Rating])&lt;3.5,"Needs Training","OK")</f>
        <v>OK</v>
      </c>
      <c r="I139">
        <v>4.9000000000000004</v>
      </c>
      <c r="J139">
        <f>IF(MONTH(calls[[#This Row],[Date of Call]])&lt;=6, YEAR(calls[[#This Row],[Date of Call]]), YEAR(calls[[#This Row],[Date of Call]])+1)</f>
        <v>2023</v>
      </c>
      <c r="K139" t="str">
        <f>TEXT(calls[[#This Row],[Date of Call]],"DDDD")</f>
        <v>Sunday</v>
      </c>
      <c r="L139" t="str" cm="1">
        <f t="array" ref="L139">_xlfn.IFS(calls[[#This Row],[Duration]]&lt;=10,"under 10 mins",calls[[#This Row],[Duration]]&lt;=30,"10 to 30mins",calls[[#This Row],[Duration]]&lt;=60,"60 to 30mins",calls[[#This Row],[Duration]]&lt;=120,"1 to 2hrs",TRUE,"More than 2 hrs")</f>
        <v>More than 2 hrs</v>
      </c>
      <c r="M139">
        <f>ROUND(calls[[#This Row],[Satisfaction Rating]],0)</f>
        <v>5</v>
      </c>
      <c r="N139">
        <f>COUNTIF(calls[Customer ID], calls[[#This Row],[Customer ID]])</f>
        <v>65</v>
      </c>
      <c r="O139">
        <f>SUMIF(calls[Customer ID], calls[[#This Row],[Customer ID]], calls[Purchase Amount])</f>
        <v>6785</v>
      </c>
      <c r="P139">
        <f>calls[[#This Row],[call count]]/calls[[#This Row],[Purchase Amount]]</f>
        <v>1.4130434782608696</v>
      </c>
      <c r="Q139">
        <f>COUNTIF(calls[Customer ID],calls[[#This Row],[Customer ID]])</f>
        <v>65</v>
      </c>
      <c r="R139">
        <f>calls[[#This Row],[call count]]/calls[[#This Row],[Purchase Amount]]</f>
        <v>1.4130434782608696</v>
      </c>
    </row>
    <row r="140" spans="1:18" x14ac:dyDescent="0.4">
      <c r="A140" t="s">
        <v>169</v>
      </c>
      <c r="B140" t="s">
        <v>54</v>
      </c>
      <c r="C140">
        <v>102</v>
      </c>
      <c r="D140" s="4" t="s">
        <v>14</v>
      </c>
      <c r="E140" s="5">
        <v>44983</v>
      </c>
      <c r="F140">
        <v>165</v>
      </c>
      <c r="G140">
        <f>AVERAGEIF(calls[Representative], calls[[#This Row],[Representative]], calls[Satisfaction Rating])</f>
        <v>3.9227513227513247</v>
      </c>
      <c r="H140" t="str">
        <f>IF(AVERAGEIF(calls[Representative],calls[[#This Row],[Representative]],calls[Satisfaction Rating])&lt;3.5,"Needs Training","OK")</f>
        <v>OK</v>
      </c>
      <c r="I140">
        <v>2.7</v>
      </c>
      <c r="J140">
        <f>IF(MONTH(calls[[#This Row],[Date of Call]])&lt;=6, YEAR(calls[[#This Row],[Date of Call]]), YEAR(calls[[#This Row],[Date of Call]])+1)</f>
        <v>2023</v>
      </c>
      <c r="K140" t="str">
        <f>TEXT(calls[[#This Row],[Date of Call]],"DDDD")</f>
        <v>Sunday</v>
      </c>
      <c r="L140" t="str" cm="1">
        <f t="array" ref="L140">_xlfn.IFS(calls[[#This Row],[Duration]]&lt;=10,"under 10 mins",calls[[#This Row],[Duration]]&lt;=30,"10 to 30mins",calls[[#This Row],[Duration]]&lt;=60,"60 to 30mins",calls[[#This Row],[Duration]]&lt;=120,"1 to 2hrs",TRUE,"More than 2 hrs")</f>
        <v>1 to 2hrs</v>
      </c>
      <c r="M140">
        <f>ROUND(calls[[#This Row],[Satisfaction Rating]],0)</f>
        <v>3</v>
      </c>
      <c r="N140">
        <f>COUNTIF(calls[Customer ID], calls[[#This Row],[Customer ID]])</f>
        <v>70</v>
      </c>
      <c r="O140">
        <f>SUMIF(calls[Customer ID], calls[[#This Row],[Customer ID]], calls[Purchase Amount])</f>
        <v>6819</v>
      </c>
      <c r="P140">
        <f>calls[[#This Row],[call count]]/calls[[#This Row],[Purchase Amount]]</f>
        <v>0.42424242424242425</v>
      </c>
      <c r="Q140">
        <f>COUNTIF(calls[Customer ID],calls[[#This Row],[Customer ID]])</f>
        <v>70</v>
      </c>
      <c r="R140">
        <f>calls[[#This Row],[call count]]/calls[[#This Row],[Purchase Amount]]</f>
        <v>0.42424242424242425</v>
      </c>
    </row>
    <row r="141" spans="1:18" x14ac:dyDescent="0.4">
      <c r="A141" t="s">
        <v>170</v>
      </c>
      <c r="B141" t="s">
        <v>44</v>
      </c>
      <c r="C141">
        <v>64</v>
      </c>
      <c r="D141" s="4" t="s">
        <v>2</v>
      </c>
      <c r="E141" s="5">
        <v>44983</v>
      </c>
      <c r="F141">
        <v>84</v>
      </c>
      <c r="G141">
        <f>AVERAGEIF(calls[Representative], calls[[#This Row],[Representative]], calls[Satisfaction Rating])</f>
        <v>3.8824999999999998</v>
      </c>
      <c r="H141" t="str">
        <f>IF(AVERAGEIF(calls[Representative],calls[[#This Row],[Representative]],calls[Satisfaction Rating])&lt;3.5,"Needs Training","OK")</f>
        <v>OK</v>
      </c>
      <c r="I141">
        <v>4.0999999999999996</v>
      </c>
      <c r="J141">
        <f>IF(MONTH(calls[[#This Row],[Date of Call]])&lt;=6, YEAR(calls[[#This Row],[Date of Call]]), YEAR(calls[[#This Row],[Date of Call]])+1)</f>
        <v>2023</v>
      </c>
      <c r="K141" t="str">
        <f>TEXT(calls[[#This Row],[Date of Call]],"DDDD")</f>
        <v>Sunday</v>
      </c>
      <c r="L141" t="str" cm="1">
        <f t="array" ref="L141">_xlfn.IFS(calls[[#This Row],[Duration]]&lt;=10,"under 10 mins",calls[[#This Row],[Duration]]&lt;=30,"10 to 30mins",calls[[#This Row],[Duration]]&lt;=60,"60 to 30mins",calls[[#This Row],[Duration]]&lt;=120,"1 to 2hrs",TRUE,"More than 2 hrs")</f>
        <v>1 to 2hrs</v>
      </c>
      <c r="M141">
        <f>ROUND(calls[[#This Row],[Satisfaction Rating]],0)</f>
        <v>4</v>
      </c>
      <c r="N141">
        <f>COUNTIF(calls[Customer ID], calls[[#This Row],[Customer ID]])</f>
        <v>62</v>
      </c>
      <c r="O141">
        <f>SUMIF(calls[Customer ID], calls[[#This Row],[Customer ID]], calls[Purchase Amount])</f>
        <v>6176</v>
      </c>
      <c r="P141">
        <f>calls[[#This Row],[call count]]/calls[[#This Row],[Purchase Amount]]</f>
        <v>0.73809523809523814</v>
      </c>
      <c r="Q141">
        <f>COUNTIF(calls[Customer ID],calls[[#This Row],[Customer ID]])</f>
        <v>62</v>
      </c>
      <c r="R141">
        <f>calls[[#This Row],[call count]]/calls[[#This Row],[Purchase Amount]]</f>
        <v>0.73809523809523814</v>
      </c>
    </row>
    <row r="142" spans="1:18" x14ac:dyDescent="0.4">
      <c r="A142" t="s">
        <v>171</v>
      </c>
      <c r="B142" t="s">
        <v>6</v>
      </c>
      <c r="C142">
        <v>6</v>
      </c>
      <c r="D142" s="4" t="s">
        <v>14</v>
      </c>
      <c r="E142" s="5">
        <v>44984</v>
      </c>
      <c r="F142">
        <v>102</v>
      </c>
      <c r="G142">
        <f>AVERAGEIF(calls[Representative], calls[[#This Row],[Representative]], calls[Satisfaction Rating])</f>
        <v>3.9227513227513247</v>
      </c>
      <c r="H142" t="str">
        <f>IF(AVERAGEIF(calls[Representative],calls[[#This Row],[Representative]],calls[Satisfaction Rating])&lt;3.5,"Needs Training","OK")</f>
        <v>OK</v>
      </c>
      <c r="I142">
        <v>4.4000000000000004</v>
      </c>
      <c r="J142">
        <f>IF(MONTH(calls[[#This Row],[Date of Call]])&lt;=6, YEAR(calls[[#This Row],[Date of Call]]), YEAR(calls[[#This Row],[Date of Call]])+1)</f>
        <v>2023</v>
      </c>
      <c r="K142" t="str">
        <f>TEXT(calls[[#This Row],[Date of Call]],"DDDD")</f>
        <v>Monday</v>
      </c>
      <c r="L142" t="str" cm="1">
        <f t="array" ref="L142">_xlfn.IFS(calls[[#This Row],[Duration]]&lt;=10,"under 10 mins",calls[[#This Row],[Duration]]&lt;=30,"10 to 30mins",calls[[#This Row],[Duration]]&lt;=60,"60 to 30mins",calls[[#This Row],[Duration]]&lt;=120,"1 to 2hrs",TRUE,"More than 2 hrs")</f>
        <v>under 10 mins</v>
      </c>
      <c r="M142">
        <f>ROUND(calls[[#This Row],[Satisfaction Rating]],0)</f>
        <v>4</v>
      </c>
      <c r="N142">
        <f>COUNTIF(calls[Customer ID], calls[[#This Row],[Customer ID]])</f>
        <v>82</v>
      </c>
      <c r="O142">
        <f>SUMIF(calls[Customer ID], calls[[#This Row],[Customer ID]], calls[Purchase Amount])</f>
        <v>7689</v>
      </c>
      <c r="P142">
        <f>calls[[#This Row],[call count]]/calls[[#This Row],[Purchase Amount]]</f>
        <v>0.80392156862745101</v>
      </c>
      <c r="Q142">
        <f>COUNTIF(calls[Customer ID],calls[[#This Row],[Customer ID]])</f>
        <v>82</v>
      </c>
      <c r="R142">
        <f>calls[[#This Row],[call count]]/calls[[#This Row],[Purchase Amount]]</f>
        <v>0.80392156862745101</v>
      </c>
    </row>
    <row r="143" spans="1:18" x14ac:dyDescent="0.4">
      <c r="A143" t="s">
        <v>173</v>
      </c>
      <c r="B143" t="s">
        <v>44</v>
      </c>
      <c r="C143">
        <v>129</v>
      </c>
      <c r="D143" s="4" t="s">
        <v>2</v>
      </c>
      <c r="E143" s="5">
        <v>44984</v>
      </c>
      <c r="F143">
        <v>180</v>
      </c>
      <c r="G143">
        <f>AVERAGEIF(calls[Representative], calls[[#This Row],[Representative]], calls[Satisfaction Rating])</f>
        <v>3.8824999999999998</v>
      </c>
      <c r="H143" t="str">
        <f>IF(AVERAGEIF(calls[Representative],calls[[#This Row],[Representative]],calls[Satisfaction Rating])&lt;3.5,"Needs Training","OK")</f>
        <v>OK</v>
      </c>
      <c r="I143">
        <v>4.8</v>
      </c>
      <c r="J143">
        <f>IF(MONTH(calls[[#This Row],[Date of Call]])&lt;=6, YEAR(calls[[#This Row],[Date of Call]]), YEAR(calls[[#This Row],[Date of Call]])+1)</f>
        <v>2023</v>
      </c>
      <c r="K143" t="str">
        <f>TEXT(calls[[#This Row],[Date of Call]],"DDDD")</f>
        <v>Monday</v>
      </c>
      <c r="L143" t="str" cm="1">
        <f t="array" ref="L143">_xlfn.IFS(calls[[#This Row],[Duration]]&lt;=10,"under 10 mins",calls[[#This Row],[Duration]]&lt;=30,"10 to 30mins",calls[[#This Row],[Duration]]&lt;=60,"60 to 30mins",calls[[#This Row],[Duration]]&lt;=120,"1 to 2hrs",TRUE,"More than 2 hrs")</f>
        <v>More than 2 hrs</v>
      </c>
      <c r="M143">
        <f>ROUND(calls[[#This Row],[Satisfaction Rating]],0)</f>
        <v>5</v>
      </c>
      <c r="N143">
        <f>COUNTIF(calls[Customer ID], calls[[#This Row],[Customer ID]])</f>
        <v>62</v>
      </c>
      <c r="O143">
        <f>SUMIF(calls[Customer ID], calls[[#This Row],[Customer ID]], calls[Purchase Amount])</f>
        <v>6176</v>
      </c>
      <c r="P143">
        <f>calls[[#This Row],[call count]]/calls[[#This Row],[Purchase Amount]]</f>
        <v>0.34444444444444444</v>
      </c>
      <c r="Q143">
        <f>COUNTIF(calls[Customer ID],calls[[#This Row],[Customer ID]])</f>
        <v>62</v>
      </c>
      <c r="R143">
        <f>calls[[#This Row],[call count]]/calls[[#This Row],[Purchase Amount]]</f>
        <v>0.34444444444444444</v>
      </c>
    </row>
    <row r="144" spans="1:18" x14ac:dyDescent="0.4">
      <c r="A144" t="s">
        <v>174</v>
      </c>
      <c r="B144" t="s">
        <v>40</v>
      </c>
      <c r="C144">
        <v>42</v>
      </c>
      <c r="D144" s="4" t="s">
        <v>23</v>
      </c>
      <c r="E144" s="5">
        <v>44985</v>
      </c>
      <c r="F144">
        <v>111</v>
      </c>
      <c r="G144">
        <f>AVERAGEIF(calls[Representative], calls[[#This Row],[Representative]], calls[Satisfaction Rating])</f>
        <v>3.8973118279569863</v>
      </c>
      <c r="H144" t="str">
        <f>IF(AVERAGEIF(calls[Representative],calls[[#This Row],[Representative]],calls[Satisfaction Rating])&lt;3.5,"Needs Training","OK")</f>
        <v>OK</v>
      </c>
      <c r="I144">
        <v>3</v>
      </c>
      <c r="J144">
        <f>IF(MONTH(calls[[#This Row],[Date of Call]])&lt;=6, YEAR(calls[[#This Row],[Date of Call]]), YEAR(calls[[#This Row],[Date of Call]])+1)</f>
        <v>2023</v>
      </c>
      <c r="K144" t="str">
        <f>TEXT(calls[[#This Row],[Date of Call]],"DDDD")</f>
        <v>Tuesday</v>
      </c>
      <c r="L144" t="str" cm="1">
        <f t="array" ref="L144">_xlfn.IFS(calls[[#This Row],[Duration]]&lt;=10,"under 10 mins",calls[[#This Row],[Duration]]&lt;=30,"10 to 30mins",calls[[#This Row],[Duration]]&lt;=60,"60 to 30mins",calls[[#This Row],[Duration]]&lt;=120,"1 to 2hrs",TRUE,"More than 2 hrs")</f>
        <v>60 to 30mins</v>
      </c>
      <c r="M144">
        <f>ROUND(calls[[#This Row],[Satisfaction Rating]],0)</f>
        <v>3</v>
      </c>
      <c r="N144">
        <f>COUNTIF(calls[Customer ID], calls[[#This Row],[Customer ID]])</f>
        <v>69</v>
      </c>
      <c r="O144">
        <f>SUMIF(calls[Customer ID], calls[[#This Row],[Customer ID]], calls[Purchase Amount])</f>
        <v>6601</v>
      </c>
      <c r="P144">
        <f>calls[[#This Row],[call count]]/calls[[#This Row],[Purchase Amount]]</f>
        <v>0.6216216216216216</v>
      </c>
      <c r="Q144">
        <f>COUNTIF(calls[Customer ID],calls[[#This Row],[Customer ID]])</f>
        <v>69</v>
      </c>
      <c r="R144">
        <f>calls[[#This Row],[call count]]/calls[[#This Row],[Purchase Amount]]</f>
        <v>0.6216216216216216</v>
      </c>
    </row>
    <row r="145" spans="1:18" x14ac:dyDescent="0.4">
      <c r="A145" t="s">
        <v>175</v>
      </c>
      <c r="B145" t="s">
        <v>40</v>
      </c>
      <c r="C145">
        <v>71</v>
      </c>
      <c r="D145" s="4" t="s">
        <v>27</v>
      </c>
      <c r="E145" s="5">
        <v>44985</v>
      </c>
      <c r="F145">
        <v>104</v>
      </c>
      <c r="G145">
        <f>AVERAGEIF(calls[Representative], calls[[#This Row],[Representative]], calls[Satisfaction Rating])</f>
        <v>3.8589371980676304</v>
      </c>
      <c r="H145" t="str">
        <f>IF(AVERAGEIF(calls[Representative],calls[[#This Row],[Representative]],calls[Satisfaction Rating])&lt;3.5,"Needs Training","OK")</f>
        <v>OK</v>
      </c>
      <c r="I145">
        <v>3.1</v>
      </c>
      <c r="J145">
        <f>IF(MONTH(calls[[#This Row],[Date of Call]])&lt;=6, YEAR(calls[[#This Row],[Date of Call]]), YEAR(calls[[#This Row],[Date of Call]])+1)</f>
        <v>2023</v>
      </c>
      <c r="K145" t="str">
        <f>TEXT(calls[[#This Row],[Date of Call]],"DDDD")</f>
        <v>Tuesday</v>
      </c>
      <c r="L145" t="str" cm="1">
        <f t="array" ref="L145">_xlfn.IFS(calls[[#This Row],[Duration]]&lt;=10,"under 10 mins",calls[[#This Row],[Duration]]&lt;=30,"10 to 30mins",calls[[#This Row],[Duration]]&lt;=60,"60 to 30mins",calls[[#This Row],[Duration]]&lt;=120,"1 to 2hrs",TRUE,"More than 2 hrs")</f>
        <v>1 to 2hrs</v>
      </c>
      <c r="M145">
        <f>ROUND(calls[[#This Row],[Satisfaction Rating]],0)</f>
        <v>3</v>
      </c>
      <c r="N145">
        <f>COUNTIF(calls[Customer ID], calls[[#This Row],[Customer ID]])</f>
        <v>69</v>
      </c>
      <c r="O145">
        <f>SUMIF(calls[Customer ID], calls[[#This Row],[Customer ID]], calls[Purchase Amount])</f>
        <v>6601</v>
      </c>
      <c r="P145">
        <f>calls[[#This Row],[call count]]/calls[[#This Row],[Purchase Amount]]</f>
        <v>0.66346153846153844</v>
      </c>
      <c r="Q145">
        <f>COUNTIF(calls[Customer ID],calls[[#This Row],[Customer ID]])</f>
        <v>69</v>
      </c>
      <c r="R145">
        <f>calls[[#This Row],[call count]]/calls[[#This Row],[Purchase Amount]]</f>
        <v>0.66346153846153844</v>
      </c>
    </row>
    <row r="146" spans="1:18" x14ac:dyDescent="0.4">
      <c r="A146" t="s">
        <v>176</v>
      </c>
      <c r="B146" t="s">
        <v>8</v>
      </c>
      <c r="C146">
        <v>53</v>
      </c>
      <c r="D146" s="4" t="s">
        <v>14</v>
      </c>
      <c r="E146" s="5">
        <v>44985</v>
      </c>
      <c r="F146">
        <v>80</v>
      </c>
      <c r="G146">
        <f>AVERAGEIF(calls[Representative], calls[[#This Row],[Representative]], calls[Satisfaction Rating])</f>
        <v>3.9227513227513247</v>
      </c>
      <c r="H146" t="str">
        <f>IF(AVERAGEIF(calls[Representative],calls[[#This Row],[Representative]],calls[Satisfaction Rating])&lt;3.5,"Needs Training","OK")</f>
        <v>OK</v>
      </c>
      <c r="I146">
        <v>2.6</v>
      </c>
      <c r="J146">
        <f>IF(MONTH(calls[[#This Row],[Date of Call]])&lt;=6, YEAR(calls[[#This Row],[Date of Call]]), YEAR(calls[[#This Row],[Date of Call]])+1)</f>
        <v>2023</v>
      </c>
      <c r="K146" t="str">
        <f>TEXT(calls[[#This Row],[Date of Call]],"DDDD")</f>
        <v>Tuesday</v>
      </c>
      <c r="L146" t="str" cm="1">
        <f t="array" ref="L146">_xlfn.IFS(calls[[#This Row],[Duration]]&lt;=10,"under 10 mins",calls[[#This Row],[Duration]]&lt;=30,"10 to 30mins",calls[[#This Row],[Duration]]&lt;=60,"60 to 30mins",calls[[#This Row],[Duration]]&lt;=120,"1 to 2hrs",TRUE,"More than 2 hrs")</f>
        <v>60 to 30mins</v>
      </c>
      <c r="M146">
        <f>ROUND(calls[[#This Row],[Satisfaction Rating]],0)</f>
        <v>3</v>
      </c>
      <c r="N146">
        <f>COUNTIF(calls[Customer ID], calls[[#This Row],[Customer ID]])</f>
        <v>79</v>
      </c>
      <c r="O146">
        <f>SUMIF(calls[Customer ID], calls[[#This Row],[Customer ID]], calls[Purchase Amount])</f>
        <v>7747</v>
      </c>
      <c r="P146">
        <f>calls[[#This Row],[call count]]/calls[[#This Row],[Purchase Amount]]</f>
        <v>0.98750000000000004</v>
      </c>
      <c r="Q146">
        <f>COUNTIF(calls[Customer ID],calls[[#This Row],[Customer ID]])</f>
        <v>79</v>
      </c>
      <c r="R146">
        <f>calls[[#This Row],[call count]]/calls[[#This Row],[Purchase Amount]]</f>
        <v>0.98750000000000004</v>
      </c>
    </row>
    <row r="147" spans="1:18" x14ac:dyDescent="0.4">
      <c r="A147" t="s">
        <v>177</v>
      </c>
      <c r="B147" t="s">
        <v>13</v>
      </c>
      <c r="C147">
        <v>155</v>
      </c>
      <c r="D147" s="4" t="s">
        <v>27</v>
      </c>
      <c r="E147" s="5">
        <v>44986</v>
      </c>
      <c r="F147">
        <v>132</v>
      </c>
      <c r="G147">
        <f>AVERAGEIF(calls[Representative], calls[[#This Row],[Representative]], calls[Satisfaction Rating])</f>
        <v>3.8589371980676304</v>
      </c>
      <c r="H147" t="str">
        <f>IF(AVERAGEIF(calls[Representative],calls[[#This Row],[Representative]],calls[Satisfaction Rating])&lt;3.5,"Needs Training","OK")</f>
        <v>OK</v>
      </c>
      <c r="I147">
        <v>4.5999999999999996</v>
      </c>
      <c r="J147">
        <f>IF(MONTH(calls[[#This Row],[Date of Call]])&lt;=6, YEAR(calls[[#This Row],[Date of Call]]), YEAR(calls[[#This Row],[Date of Call]])+1)</f>
        <v>2023</v>
      </c>
      <c r="K147" t="str">
        <f>TEXT(calls[[#This Row],[Date of Call]],"DDDD")</f>
        <v>Wednesday</v>
      </c>
      <c r="L147" t="str" cm="1">
        <f t="array" ref="L147">_xlfn.IFS(calls[[#This Row],[Duration]]&lt;=10,"under 10 mins",calls[[#This Row],[Duration]]&lt;=30,"10 to 30mins",calls[[#This Row],[Duration]]&lt;=60,"60 to 30mins",calls[[#This Row],[Duration]]&lt;=120,"1 to 2hrs",TRUE,"More than 2 hrs")</f>
        <v>More than 2 hrs</v>
      </c>
      <c r="M147">
        <f>ROUND(calls[[#This Row],[Satisfaction Rating]],0)</f>
        <v>5</v>
      </c>
      <c r="N147">
        <f>COUNTIF(calls[Customer ID], calls[[#This Row],[Customer ID]])</f>
        <v>74</v>
      </c>
      <c r="O147">
        <f>SUMIF(calls[Customer ID], calls[[#This Row],[Customer ID]], calls[Purchase Amount])</f>
        <v>6749</v>
      </c>
      <c r="P147">
        <f>calls[[#This Row],[call count]]/calls[[#This Row],[Purchase Amount]]</f>
        <v>0.56060606060606055</v>
      </c>
      <c r="Q147">
        <f>COUNTIF(calls[Customer ID],calls[[#This Row],[Customer ID]])</f>
        <v>74</v>
      </c>
      <c r="R147">
        <f>calls[[#This Row],[call count]]/calls[[#This Row],[Purchase Amount]]</f>
        <v>0.56060606060606055</v>
      </c>
    </row>
    <row r="148" spans="1:18" x14ac:dyDescent="0.4">
      <c r="A148" t="s">
        <v>178</v>
      </c>
      <c r="B148" t="s">
        <v>13</v>
      </c>
      <c r="C148">
        <v>90</v>
      </c>
      <c r="D148" s="4" t="s">
        <v>23</v>
      </c>
      <c r="E148" s="5">
        <v>44986</v>
      </c>
      <c r="F148">
        <v>170</v>
      </c>
      <c r="G148">
        <f>AVERAGEIF(calls[Representative], calls[[#This Row],[Representative]], calls[Satisfaction Rating])</f>
        <v>3.8973118279569863</v>
      </c>
      <c r="H148" t="str">
        <f>IF(AVERAGEIF(calls[Representative],calls[[#This Row],[Representative]],calls[Satisfaction Rating])&lt;3.5,"Needs Training","OK")</f>
        <v>OK</v>
      </c>
      <c r="I148">
        <v>3.7</v>
      </c>
      <c r="J148">
        <f>IF(MONTH(calls[[#This Row],[Date of Call]])&lt;=6, YEAR(calls[[#This Row],[Date of Call]]), YEAR(calls[[#This Row],[Date of Call]])+1)</f>
        <v>2023</v>
      </c>
      <c r="K148" t="str">
        <f>TEXT(calls[[#This Row],[Date of Call]],"DDDD")</f>
        <v>Wednesday</v>
      </c>
      <c r="L148" t="str" cm="1">
        <f t="array" ref="L148">_xlfn.IFS(calls[[#This Row],[Duration]]&lt;=10,"under 10 mins",calls[[#This Row],[Duration]]&lt;=30,"10 to 30mins",calls[[#This Row],[Duration]]&lt;=60,"60 to 30mins",calls[[#This Row],[Duration]]&lt;=120,"1 to 2hrs",TRUE,"More than 2 hrs")</f>
        <v>1 to 2hrs</v>
      </c>
      <c r="M148">
        <f>ROUND(calls[[#This Row],[Satisfaction Rating]],0)</f>
        <v>4</v>
      </c>
      <c r="N148">
        <f>COUNTIF(calls[Customer ID], calls[[#This Row],[Customer ID]])</f>
        <v>74</v>
      </c>
      <c r="O148">
        <f>SUMIF(calls[Customer ID], calls[[#This Row],[Customer ID]], calls[Purchase Amount])</f>
        <v>6749</v>
      </c>
      <c r="P148">
        <f>calls[[#This Row],[call count]]/calls[[#This Row],[Purchase Amount]]</f>
        <v>0.43529411764705883</v>
      </c>
      <c r="Q148">
        <f>COUNTIF(calls[Customer ID],calls[[#This Row],[Customer ID]])</f>
        <v>74</v>
      </c>
      <c r="R148">
        <f>calls[[#This Row],[call count]]/calls[[#This Row],[Purchase Amount]]</f>
        <v>0.43529411764705883</v>
      </c>
    </row>
    <row r="149" spans="1:18" x14ac:dyDescent="0.4">
      <c r="A149" t="s">
        <v>179</v>
      </c>
      <c r="B149" t="s">
        <v>44</v>
      </c>
      <c r="C149">
        <v>166</v>
      </c>
      <c r="D149" s="4" t="s">
        <v>9</v>
      </c>
      <c r="E149" s="5">
        <v>44986</v>
      </c>
      <c r="F149">
        <v>36</v>
      </c>
      <c r="G149">
        <f>AVERAGEIF(calls[Representative], calls[[#This Row],[Representative]], calls[Satisfaction Rating])</f>
        <v>3.8706422018348627</v>
      </c>
      <c r="H149" t="str">
        <f>IF(AVERAGEIF(calls[Representative],calls[[#This Row],[Representative]],calls[Satisfaction Rating])&lt;3.5,"Needs Training","OK")</f>
        <v>OK</v>
      </c>
      <c r="I149">
        <v>3.8</v>
      </c>
      <c r="J149">
        <f>IF(MONTH(calls[[#This Row],[Date of Call]])&lt;=6, YEAR(calls[[#This Row],[Date of Call]]), YEAR(calls[[#This Row],[Date of Call]])+1)</f>
        <v>2023</v>
      </c>
      <c r="K149" t="str">
        <f>TEXT(calls[[#This Row],[Date of Call]],"DDDD")</f>
        <v>Wednesday</v>
      </c>
      <c r="L149" t="str" cm="1">
        <f t="array" ref="L149">_xlfn.IFS(calls[[#This Row],[Duration]]&lt;=10,"under 10 mins",calls[[#This Row],[Duration]]&lt;=30,"10 to 30mins",calls[[#This Row],[Duration]]&lt;=60,"60 to 30mins",calls[[#This Row],[Duration]]&lt;=120,"1 to 2hrs",TRUE,"More than 2 hrs")</f>
        <v>More than 2 hrs</v>
      </c>
      <c r="M149">
        <f>ROUND(calls[[#This Row],[Satisfaction Rating]],0)</f>
        <v>4</v>
      </c>
      <c r="N149">
        <f>COUNTIF(calls[Customer ID], calls[[#This Row],[Customer ID]])</f>
        <v>62</v>
      </c>
      <c r="O149">
        <f>SUMIF(calls[Customer ID], calls[[#This Row],[Customer ID]], calls[Purchase Amount])</f>
        <v>6176</v>
      </c>
      <c r="P149">
        <f>calls[[#This Row],[call count]]/calls[[#This Row],[Purchase Amount]]</f>
        <v>1.7222222222222223</v>
      </c>
      <c r="Q149">
        <f>COUNTIF(calls[Customer ID],calls[[#This Row],[Customer ID]])</f>
        <v>62</v>
      </c>
      <c r="R149">
        <f>calls[[#This Row],[call count]]/calls[[#This Row],[Purchase Amount]]</f>
        <v>1.7222222222222223</v>
      </c>
    </row>
    <row r="150" spans="1:18" x14ac:dyDescent="0.4">
      <c r="A150" t="s">
        <v>180</v>
      </c>
      <c r="B150" t="s">
        <v>32</v>
      </c>
      <c r="C150">
        <v>89</v>
      </c>
      <c r="D150" s="4" t="s">
        <v>27</v>
      </c>
      <c r="E150" s="5">
        <v>44986</v>
      </c>
      <c r="F150">
        <v>126</v>
      </c>
      <c r="G150">
        <f>AVERAGEIF(calls[Representative], calls[[#This Row],[Representative]], calls[Satisfaction Rating])</f>
        <v>3.8589371980676304</v>
      </c>
      <c r="H150" t="str">
        <f>IF(AVERAGEIF(calls[Representative],calls[[#This Row],[Representative]],calls[Satisfaction Rating])&lt;3.5,"Needs Training","OK")</f>
        <v>OK</v>
      </c>
      <c r="I150">
        <v>3.6</v>
      </c>
      <c r="J150">
        <f>IF(MONTH(calls[[#This Row],[Date of Call]])&lt;=6, YEAR(calls[[#This Row],[Date of Call]]), YEAR(calls[[#This Row],[Date of Call]])+1)</f>
        <v>2023</v>
      </c>
      <c r="K150" t="str">
        <f>TEXT(calls[[#This Row],[Date of Call]],"DDDD")</f>
        <v>Wednesday</v>
      </c>
      <c r="L150" t="str" cm="1">
        <f t="array" ref="L150">_xlfn.IFS(calls[[#This Row],[Duration]]&lt;=10,"under 10 mins",calls[[#This Row],[Duration]]&lt;=30,"10 to 30mins",calls[[#This Row],[Duration]]&lt;=60,"60 to 30mins",calls[[#This Row],[Duration]]&lt;=120,"1 to 2hrs",TRUE,"More than 2 hrs")</f>
        <v>1 to 2hrs</v>
      </c>
      <c r="M150">
        <f>ROUND(calls[[#This Row],[Satisfaction Rating]],0)</f>
        <v>4</v>
      </c>
      <c r="N150">
        <f>COUNTIF(calls[Customer ID], calls[[#This Row],[Customer ID]])</f>
        <v>63</v>
      </c>
      <c r="O150">
        <f>SUMIF(calls[Customer ID], calls[[#This Row],[Customer ID]], calls[Purchase Amount])</f>
        <v>5634</v>
      </c>
      <c r="P150">
        <f>calls[[#This Row],[call count]]/calls[[#This Row],[Purchase Amount]]</f>
        <v>0.5</v>
      </c>
      <c r="Q150">
        <f>COUNTIF(calls[Customer ID],calls[[#This Row],[Customer ID]])</f>
        <v>63</v>
      </c>
      <c r="R150">
        <f>calls[[#This Row],[call count]]/calls[[#This Row],[Purchase Amount]]</f>
        <v>0.5</v>
      </c>
    </row>
    <row r="151" spans="1:18" x14ac:dyDescent="0.4">
      <c r="A151" t="s">
        <v>181</v>
      </c>
      <c r="B151" t="s">
        <v>51</v>
      </c>
      <c r="C151">
        <v>152</v>
      </c>
      <c r="D151" s="4" t="s">
        <v>14</v>
      </c>
      <c r="E151" s="5">
        <v>44986</v>
      </c>
      <c r="F151">
        <v>215</v>
      </c>
      <c r="G151">
        <f>AVERAGEIF(calls[Representative], calls[[#This Row],[Representative]], calls[Satisfaction Rating])</f>
        <v>3.9227513227513247</v>
      </c>
      <c r="H151" t="str">
        <f>IF(AVERAGEIF(calls[Representative],calls[[#This Row],[Representative]],calls[Satisfaction Rating])&lt;3.5,"Needs Training","OK")</f>
        <v>OK</v>
      </c>
      <c r="I151">
        <v>4.4000000000000004</v>
      </c>
      <c r="J151">
        <f>IF(MONTH(calls[[#This Row],[Date of Call]])&lt;=6, YEAR(calls[[#This Row],[Date of Call]]), YEAR(calls[[#This Row],[Date of Call]])+1)</f>
        <v>2023</v>
      </c>
      <c r="K151" t="str">
        <f>TEXT(calls[[#This Row],[Date of Call]],"DDDD")</f>
        <v>Wednesday</v>
      </c>
      <c r="L151" t="str" cm="1">
        <f t="array" ref="L151">_xlfn.IFS(calls[[#This Row],[Duration]]&lt;=10,"under 10 mins",calls[[#This Row],[Duration]]&lt;=30,"10 to 30mins",calls[[#This Row],[Duration]]&lt;=60,"60 to 30mins",calls[[#This Row],[Duration]]&lt;=120,"1 to 2hrs",TRUE,"More than 2 hrs")</f>
        <v>More than 2 hrs</v>
      </c>
      <c r="M151">
        <f>ROUND(calls[[#This Row],[Satisfaction Rating]],0)</f>
        <v>4</v>
      </c>
      <c r="N151">
        <f>COUNTIF(calls[Customer ID], calls[[#This Row],[Customer ID]])</f>
        <v>59</v>
      </c>
      <c r="O151">
        <f>SUMIF(calls[Customer ID], calls[[#This Row],[Customer ID]], calls[Purchase Amount])</f>
        <v>6518</v>
      </c>
      <c r="P151">
        <f>calls[[#This Row],[call count]]/calls[[#This Row],[Purchase Amount]]</f>
        <v>0.2744186046511628</v>
      </c>
      <c r="Q151">
        <f>COUNTIF(calls[Customer ID],calls[[#This Row],[Customer ID]])</f>
        <v>59</v>
      </c>
      <c r="R151">
        <f>calls[[#This Row],[call count]]/calls[[#This Row],[Purchase Amount]]</f>
        <v>0.2744186046511628</v>
      </c>
    </row>
    <row r="152" spans="1:18" x14ac:dyDescent="0.4">
      <c r="A152" t="s">
        <v>182</v>
      </c>
      <c r="B152" t="s">
        <v>32</v>
      </c>
      <c r="C152">
        <v>137</v>
      </c>
      <c r="D152" s="4" t="s">
        <v>23</v>
      </c>
      <c r="E152" s="5">
        <v>44986</v>
      </c>
      <c r="F152">
        <v>114</v>
      </c>
      <c r="G152">
        <f>AVERAGEIF(calls[Representative], calls[[#This Row],[Representative]], calls[Satisfaction Rating])</f>
        <v>3.8973118279569863</v>
      </c>
      <c r="H152" t="str">
        <f>IF(AVERAGEIF(calls[Representative],calls[[#This Row],[Representative]],calls[Satisfaction Rating])&lt;3.5,"Needs Training","OK")</f>
        <v>OK</v>
      </c>
      <c r="I152">
        <v>3.2</v>
      </c>
      <c r="J152">
        <f>IF(MONTH(calls[[#This Row],[Date of Call]])&lt;=6, YEAR(calls[[#This Row],[Date of Call]]), YEAR(calls[[#This Row],[Date of Call]])+1)</f>
        <v>2023</v>
      </c>
      <c r="K152" t="str">
        <f>TEXT(calls[[#This Row],[Date of Call]],"DDDD")</f>
        <v>Wednesday</v>
      </c>
      <c r="L152" t="str" cm="1">
        <f t="array" ref="L152">_xlfn.IFS(calls[[#This Row],[Duration]]&lt;=10,"under 10 mins",calls[[#This Row],[Duration]]&lt;=30,"10 to 30mins",calls[[#This Row],[Duration]]&lt;=60,"60 to 30mins",calls[[#This Row],[Duration]]&lt;=120,"1 to 2hrs",TRUE,"More than 2 hrs")</f>
        <v>More than 2 hrs</v>
      </c>
      <c r="M152">
        <f>ROUND(calls[[#This Row],[Satisfaction Rating]],0)</f>
        <v>3</v>
      </c>
      <c r="N152">
        <f>COUNTIF(calls[Customer ID], calls[[#This Row],[Customer ID]])</f>
        <v>63</v>
      </c>
      <c r="O152">
        <f>SUMIF(calls[Customer ID], calls[[#This Row],[Customer ID]], calls[Purchase Amount])</f>
        <v>5634</v>
      </c>
      <c r="P152">
        <f>calls[[#This Row],[call count]]/calls[[#This Row],[Purchase Amount]]</f>
        <v>0.55263157894736847</v>
      </c>
      <c r="Q152">
        <f>COUNTIF(calls[Customer ID],calls[[#This Row],[Customer ID]])</f>
        <v>63</v>
      </c>
      <c r="R152">
        <f>calls[[#This Row],[call count]]/calls[[#This Row],[Purchase Amount]]</f>
        <v>0.55263157894736847</v>
      </c>
    </row>
    <row r="153" spans="1:18" x14ac:dyDescent="0.4">
      <c r="A153" t="s">
        <v>183</v>
      </c>
      <c r="B153" t="s">
        <v>32</v>
      </c>
      <c r="C153">
        <v>43</v>
      </c>
      <c r="D153" s="4" t="s">
        <v>23</v>
      </c>
      <c r="E153" s="5">
        <v>44986</v>
      </c>
      <c r="F153">
        <v>99</v>
      </c>
      <c r="G153">
        <f>AVERAGEIF(calls[Representative], calls[[#This Row],[Representative]], calls[Satisfaction Rating])</f>
        <v>3.8973118279569863</v>
      </c>
      <c r="H153" t="str">
        <f>IF(AVERAGEIF(calls[Representative],calls[[#This Row],[Representative]],calls[Satisfaction Rating])&lt;3.5,"Needs Training","OK")</f>
        <v>OK</v>
      </c>
      <c r="I153">
        <v>4.7</v>
      </c>
      <c r="J153">
        <f>IF(MONTH(calls[[#This Row],[Date of Call]])&lt;=6, YEAR(calls[[#This Row],[Date of Call]]), YEAR(calls[[#This Row],[Date of Call]])+1)</f>
        <v>2023</v>
      </c>
      <c r="K153" t="str">
        <f>TEXT(calls[[#This Row],[Date of Call]],"DDDD")</f>
        <v>Wednesday</v>
      </c>
      <c r="L153" t="str" cm="1">
        <f t="array" ref="L153">_xlfn.IFS(calls[[#This Row],[Duration]]&lt;=10,"under 10 mins",calls[[#This Row],[Duration]]&lt;=30,"10 to 30mins",calls[[#This Row],[Duration]]&lt;=60,"60 to 30mins",calls[[#This Row],[Duration]]&lt;=120,"1 to 2hrs",TRUE,"More than 2 hrs")</f>
        <v>60 to 30mins</v>
      </c>
      <c r="M153">
        <f>ROUND(calls[[#This Row],[Satisfaction Rating]],0)</f>
        <v>5</v>
      </c>
      <c r="N153">
        <f>COUNTIF(calls[Customer ID], calls[[#This Row],[Customer ID]])</f>
        <v>63</v>
      </c>
      <c r="O153">
        <f>SUMIF(calls[Customer ID], calls[[#This Row],[Customer ID]], calls[Purchase Amount])</f>
        <v>5634</v>
      </c>
      <c r="P153">
        <f>calls[[#This Row],[call count]]/calls[[#This Row],[Purchase Amount]]</f>
        <v>0.63636363636363635</v>
      </c>
      <c r="Q153">
        <f>COUNTIF(calls[Customer ID],calls[[#This Row],[Customer ID]])</f>
        <v>63</v>
      </c>
      <c r="R153">
        <f>calls[[#This Row],[call count]]/calls[[#This Row],[Purchase Amount]]</f>
        <v>0.63636363636363635</v>
      </c>
    </row>
    <row r="154" spans="1:18" x14ac:dyDescent="0.4">
      <c r="A154" t="s">
        <v>184</v>
      </c>
      <c r="B154" t="s">
        <v>26</v>
      </c>
      <c r="C154">
        <v>114</v>
      </c>
      <c r="D154" s="4" t="s">
        <v>23</v>
      </c>
      <c r="E154" s="5">
        <v>44987</v>
      </c>
      <c r="F154">
        <v>23</v>
      </c>
      <c r="G154">
        <f>AVERAGEIF(calls[Representative], calls[[#This Row],[Representative]], calls[Satisfaction Rating])</f>
        <v>3.8973118279569863</v>
      </c>
      <c r="H154" t="str">
        <f>IF(AVERAGEIF(calls[Representative],calls[[#This Row],[Representative]],calls[Satisfaction Rating])&lt;3.5,"Needs Training","OK")</f>
        <v>OK</v>
      </c>
      <c r="I154">
        <v>4.8</v>
      </c>
      <c r="J154">
        <f>IF(MONTH(calls[[#This Row],[Date of Call]])&lt;=6, YEAR(calls[[#This Row],[Date of Call]]), YEAR(calls[[#This Row],[Date of Call]])+1)</f>
        <v>2023</v>
      </c>
      <c r="K154" t="str">
        <f>TEXT(calls[[#This Row],[Date of Call]],"DDDD")</f>
        <v>Thursday</v>
      </c>
      <c r="L154" t="str" cm="1">
        <f t="array" ref="L154">_xlfn.IFS(calls[[#This Row],[Duration]]&lt;=10,"under 10 mins",calls[[#This Row],[Duration]]&lt;=30,"10 to 30mins",calls[[#This Row],[Duration]]&lt;=60,"60 to 30mins",calls[[#This Row],[Duration]]&lt;=120,"1 to 2hrs",TRUE,"More than 2 hrs")</f>
        <v>1 to 2hrs</v>
      </c>
      <c r="M154">
        <f>ROUND(calls[[#This Row],[Satisfaction Rating]],0)</f>
        <v>5</v>
      </c>
      <c r="N154">
        <f>COUNTIF(calls[Customer ID], calls[[#This Row],[Customer ID]])</f>
        <v>72</v>
      </c>
      <c r="O154">
        <f>SUMIF(calls[Customer ID], calls[[#This Row],[Customer ID]], calls[Purchase Amount])</f>
        <v>6242</v>
      </c>
      <c r="P154">
        <f>calls[[#This Row],[call count]]/calls[[#This Row],[Purchase Amount]]</f>
        <v>3.1304347826086958</v>
      </c>
      <c r="Q154">
        <f>COUNTIF(calls[Customer ID],calls[[#This Row],[Customer ID]])</f>
        <v>72</v>
      </c>
      <c r="R154">
        <f>calls[[#This Row],[call count]]/calls[[#This Row],[Purchase Amount]]</f>
        <v>3.1304347826086958</v>
      </c>
    </row>
    <row r="155" spans="1:18" x14ac:dyDescent="0.4">
      <c r="A155" t="s">
        <v>185</v>
      </c>
      <c r="B155" t="s">
        <v>11</v>
      </c>
      <c r="C155">
        <v>103</v>
      </c>
      <c r="D155" s="4" t="s">
        <v>27</v>
      </c>
      <c r="E155" s="5">
        <v>44987</v>
      </c>
      <c r="F155">
        <v>75</v>
      </c>
      <c r="G155">
        <f>AVERAGEIF(calls[Representative], calls[[#This Row],[Representative]], calls[Satisfaction Rating])</f>
        <v>3.8589371980676304</v>
      </c>
      <c r="H155" t="str">
        <f>IF(AVERAGEIF(calls[Representative],calls[[#This Row],[Representative]],calls[Satisfaction Rating])&lt;3.5,"Needs Training","OK")</f>
        <v>OK</v>
      </c>
      <c r="I155">
        <v>2.7</v>
      </c>
      <c r="J155">
        <f>IF(MONTH(calls[[#This Row],[Date of Call]])&lt;=6, YEAR(calls[[#This Row],[Date of Call]]), YEAR(calls[[#This Row],[Date of Call]])+1)</f>
        <v>2023</v>
      </c>
      <c r="K155" t="str">
        <f>TEXT(calls[[#This Row],[Date of Call]],"DDDD")</f>
        <v>Thursday</v>
      </c>
      <c r="L155" t="str" cm="1">
        <f t="array" ref="L155">_xlfn.IFS(calls[[#This Row],[Duration]]&lt;=10,"under 10 mins",calls[[#This Row],[Duration]]&lt;=30,"10 to 30mins",calls[[#This Row],[Duration]]&lt;=60,"60 to 30mins",calls[[#This Row],[Duration]]&lt;=120,"1 to 2hrs",TRUE,"More than 2 hrs")</f>
        <v>1 to 2hrs</v>
      </c>
      <c r="M155">
        <f>ROUND(calls[[#This Row],[Satisfaction Rating]],0)</f>
        <v>3</v>
      </c>
      <c r="N155">
        <f>COUNTIF(calls[Customer ID], calls[[#This Row],[Customer ID]])</f>
        <v>60</v>
      </c>
      <c r="O155">
        <f>SUMIF(calls[Customer ID], calls[[#This Row],[Customer ID]], calls[Purchase Amount])</f>
        <v>5404</v>
      </c>
      <c r="P155">
        <f>calls[[#This Row],[call count]]/calls[[#This Row],[Purchase Amount]]</f>
        <v>0.8</v>
      </c>
      <c r="Q155">
        <f>COUNTIF(calls[Customer ID],calls[[#This Row],[Customer ID]])</f>
        <v>60</v>
      </c>
      <c r="R155">
        <f>calls[[#This Row],[call count]]/calls[[#This Row],[Purchase Amount]]</f>
        <v>0.8</v>
      </c>
    </row>
    <row r="156" spans="1:18" x14ac:dyDescent="0.4">
      <c r="A156" t="s">
        <v>186</v>
      </c>
      <c r="B156" t="s">
        <v>32</v>
      </c>
      <c r="C156">
        <v>98</v>
      </c>
      <c r="D156" s="4" t="s">
        <v>14</v>
      </c>
      <c r="E156" s="5">
        <v>44987</v>
      </c>
      <c r="F156">
        <v>100</v>
      </c>
      <c r="G156">
        <f>AVERAGEIF(calls[Representative], calls[[#This Row],[Representative]], calls[Satisfaction Rating])</f>
        <v>3.9227513227513247</v>
      </c>
      <c r="H156" t="str">
        <f>IF(AVERAGEIF(calls[Representative],calls[[#This Row],[Representative]],calls[Satisfaction Rating])&lt;3.5,"Needs Training","OK")</f>
        <v>OK</v>
      </c>
      <c r="I156">
        <v>3.8</v>
      </c>
      <c r="J156">
        <f>IF(MONTH(calls[[#This Row],[Date of Call]])&lt;=6, YEAR(calls[[#This Row],[Date of Call]]), YEAR(calls[[#This Row],[Date of Call]])+1)</f>
        <v>2023</v>
      </c>
      <c r="K156" t="str">
        <f>TEXT(calls[[#This Row],[Date of Call]],"DDDD")</f>
        <v>Thursday</v>
      </c>
      <c r="L156" t="str" cm="1">
        <f t="array" ref="L156">_xlfn.IFS(calls[[#This Row],[Duration]]&lt;=10,"under 10 mins",calls[[#This Row],[Duration]]&lt;=30,"10 to 30mins",calls[[#This Row],[Duration]]&lt;=60,"60 to 30mins",calls[[#This Row],[Duration]]&lt;=120,"1 to 2hrs",TRUE,"More than 2 hrs")</f>
        <v>1 to 2hrs</v>
      </c>
      <c r="M156">
        <f>ROUND(calls[[#This Row],[Satisfaction Rating]],0)</f>
        <v>4</v>
      </c>
      <c r="N156">
        <f>COUNTIF(calls[Customer ID], calls[[#This Row],[Customer ID]])</f>
        <v>63</v>
      </c>
      <c r="O156">
        <f>SUMIF(calls[Customer ID], calls[[#This Row],[Customer ID]], calls[Purchase Amount])</f>
        <v>5634</v>
      </c>
      <c r="P156">
        <f>calls[[#This Row],[call count]]/calls[[#This Row],[Purchase Amount]]</f>
        <v>0.63</v>
      </c>
      <c r="Q156">
        <f>COUNTIF(calls[Customer ID],calls[[#This Row],[Customer ID]])</f>
        <v>63</v>
      </c>
      <c r="R156">
        <f>calls[[#This Row],[call count]]/calls[[#This Row],[Purchase Amount]]</f>
        <v>0.63</v>
      </c>
    </row>
    <row r="157" spans="1:18" x14ac:dyDescent="0.4">
      <c r="A157" t="s">
        <v>187</v>
      </c>
      <c r="B157" t="s">
        <v>44</v>
      </c>
      <c r="C157">
        <v>106</v>
      </c>
      <c r="D157" s="4" t="s">
        <v>9</v>
      </c>
      <c r="E157" s="5">
        <v>44987</v>
      </c>
      <c r="F157">
        <v>108</v>
      </c>
      <c r="G157">
        <f>AVERAGEIF(calls[Representative], calls[[#This Row],[Representative]], calls[Satisfaction Rating])</f>
        <v>3.8706422018348627</v>
      </c>
      <c r="H157" t="str">
        <f>IF(AVERAGEIF(calls[Representative],calls[[#This Row],[Representative]],calls[Satisfaction Rating])&lt;3.5,"Needs Training","OK")</f>
        <v>OK</v>
      </c>
      <c r="I157">
        <v>4.3</v>
      </c>
      <c r="J157">
        <f>IF(MONTH(calls[[#This Row],[Date of Call]])&lt;=6, YEAR(calls[[#This Row],[Date of Call]]), YEAR(calls[[#This Row],[Date of Call]])+1)</f>
        <v>2023</v>
      </c>
      <c r="K157" t="str">
        <f>TEXT(calls[[#This Row],[Date of Call]],"DDDD")</f>
        <v>Thursday</v>
      </c>
      <c r="L157" t="str" cm="1">
        <f t="array" ref="L157">_xlfn.IFS(calls[[#This Row],[Duration]]&lt;=10,"under 10 mins",calls[[#This Row],[Duration]]&lt;=30,"10 to 30mins",calls[[#This Row],[Duration]]&lt;=60,"60 to 30mins",calls[[#This Row],[Duration]]&lt;=120,"1 to 2hrs",TRUE,"More than 2 hrs")</f>
        <v>1 to 2hrs</v>
      </c>
      <c r="M157">
        <f>ROUND(calls[[#This Row],[Satisfaction Rating]],0)</f>
        <v>4</v>
      </c>
      <c r="N157">
        <f>COUNTIF(calls[Customer ID], calls[[#This Row],[Customer ID]])</f>
        <v>62</v>
      </c>
      <c r="O157">
        <f>SUMIF(calls[Customer ID], calls[[#This Row],[Customer ID]], calls[Purchase Amount])</f>
        <v>6176</v>
      </c>
      <c r="P157">
        <f>calls[[#This Row],[call count]]/calls[[#This Row],[Purchase Amount]]</f>
        <v>0.57407407407407407</v>
      </c>
      <c r="Q157">
        <f>COUNTIF(calls[Customer ID],calls[[#This Row],[Customer ID]])</f>
        <v>62</v>
      </c>
      <c r="R157">
        <f>calls[[#This Row],[call count]]/calls[[#This Row],[Purchase Amount]]</f>
        <v>0.57407407407407407</v>
      </c>
    </row>
    <row r="158" spans="1:18" x14ac:dyDescent="0.4">
      <c r="A158" t="s">
        <v>188</v>
      </c>
      <c r="B158" t="s">
        <v>6</v>
      </c>
      <c r="C158">
        <v>96</v>
      </c>
      <c r="D158" s="4" t="s">
        <v>9</v>
      </c>
      <c r="E158" s="5">
        <v>44987</v>
      </c>
      <c r="F158">
        <v>108</v>
      </c>
      <c r="G158">
        <f>AVERAGEIF(calls[Representative], calls[[#This Row],[Representative]], calls[Satisfaction Rating])</f>
        <v>3.8706422018348627</v>
      </c>
      <c r="H158" t="str">
        <f>IF(AVERAGEIF(calls[Representative],calls[[#This Row],[Representative]],calls[Satisfaction Rating])&lt;3.5,"Needs Training","OK")</f>
        <v>OK</v>
      </c>
      <c r="I158">
        <v>5</v>
      </c>
      <c r="J158">
        <f>IF(MONTH(calls[[#This Row],[Date of Call]])&lt;=6, YEAR(calls[[#This Row],[Date of Call]]), YEAR(calls[[#This Row],[Date of Call]])+1)</f>
        <v>2023</v>
      </c>
      <c r="K158" t="str">
        <f>TEXT(calls[[#This Row],[Date of Call]],"DDDD")</f>
        <v>Thursday</v>
      </c>
      <c r="L158" t="str" cm="1">
        <f t="array" ref="L158">_xlfn.IFS(calls[[#This Row],[Duration]]&lt;=10,"under 10 mins",calls[[#This Row],[Duration]]&lt;=30,"10 to 30mins",calls[[#This Row],[Duration]]&lt;=60,"60 to 30mins",calls[[#This Row],[Duration]]&lt;=120,"1 to 2hrs",TRUE,"More than 2 hrs")</f>
        <v>1 to 2hrs</v>
      </c>
      <c r="M158">
        <f>ROUND(calls[[#This Row],[Satisfaction Rating]],0)</f>
        <v>5</v>
      </c>
      <c r="N158">
        <f>COUNTIF(calls[Customer ID], calls[[#This Row],[Customer ID]])</f>
        <v>82</v>
      </c>
      <c r="O158">
        <f>SUMIF(calls[Customer ID], calls[[#This Row],[Customer ID]], calls[Purchase Amount])</f>
        <v>7689</v>
      </c>
      <c r="P158">
        <f>calls[[#This Row],[call count]]/calls[[#This Row],[Purchase Amount]]</f>
        <v>0.7592592592592593</v>
      </c>
      <c r="Q158">
        <f>COUNTIF(calls[Customer ID],calls[[#This Row],[Customer ID]])</f>
        <v>82</v>
      </c>
      <c r="R158">
        <f>calls[[#This Row],[call count]]/calls[[#This Row],[Purchase Amount]]</f>
        <v>0.7592592592592593</v>
      </c>
    </row>
    <row r="159" spans="1:18" x14ac:dyDescent="0.4">
      <c r="A159" t="s">
        <v>189</v>
      </c>
      <c r="B159" t="s">
        <v>11</v>
      </c>
      <c r="C159">
        <v>70</v>
      </c>
      <c r="D159" s="4" t="s">
        <v>9</v>
      </c>
      <c r="E159" s="5">
        <v>44987</v>
      </c>
      <c r="F159">
        <v>28</v>
      </c>
      <c r="G159">
        <f>AVERAGEIF(calls[Representative], calls[[#This Row],[Representative]], calls[Satisfaction Rating])</f>
        <v>3.8706422018348627</v>
      </c>
      <c r="H159" t="str">
        <f>IF(AVERAGEIF(calls[Representative],calls[[#This Row],[Representative]],calls[Satisfaction Rating])&lt;3.5,"Needs Training","OK")</f>
        <v>OK</v>
      </c>
      <c r="I159">
        <v>4.8</v>
      </c>
      <c r="J159">
        <f>IF(MONTH(calls[[#This Row],[Date of Call]])&lt;=6, YEAR(calls[[#This Row],[Date of Call]]), YEAR(calls[[#This Row],[Date of Call]])+1)</f>
        <v>2023</v>
      </c>
      <c r="K159" t="str">
        <f>TEXT(calls[[#This Row],[Date of Call]],"DDDD")</f>
        <v>Thursday</v>
      </c>
      <c r="L159" t="str" cm="1">
        <f t="array" ref="L159">_xlfn.IFS(calls[[#This Row],[Duration]]&lt;=10,"under 10 mins",calls[[#This Row],[Duration]]&lt;=30,"10 to 30mins",calls[[#This Row],[Duration]]&lt;=60,"60 to 30mins",calls[[#This Row],[Duration]]&lt;=120,"1 to 2hrs",TRUE,"More than 2 hrs")</f>
        <v>1 to 2hrs</v>
      </c>
      <c r="M159">
        <f>ROUND(calls[[#This Row],[Satisfaction Rating]],0)</f>
        <v>5</v>
      </c>
      <c r="N159">
        <f>COUNTIF(calls[Customer ID], calls[[#This Row],[Customer ID]])</f>
        <v>60</v>
      </c>
      <c r="O159">
        <f>SUMIF(calls[Customer ID], calls[[#This Row],[Customer ID]], calls[Purchase Amount])</f>
        <v>5404</v>
      </c>
      <c r="P159">
        <f>calls[[#This Row],[call count]]/calls[[#This Row],[Purchase Amount]]</f>
        <v>2.1428571428571428</v>
      </c>
      <c r="Q159">
        <f>COUNTIF(calls[Customer ID],calls[[#This Row],[Customer ID]])</f>
        <v>60</v>
      </c>
      <c r="R159">
        <f>calls[[#This Row],[call count]]/calls[[#This Row],[Purchase Amount]]</f>
        <v>2.1428571428571428</v>
      </c>
    </row>
    <row r="160" spans="1:18" x14ac:dyDescent="0.4">
      <c r="A160" t="s">
        <v>190</v>
      </c>
      <c r="B160" t="s">
        <v>40</v>
      </c>
      <c r="C160">
        <v>86</v>
      </c>
      <c r="D160" s="4" t="s">
        <v>2</v>
      </c>
      <c r="E160" s="5">
        <v>44988</v>
      </c>
      <c r="F160">
        <v>70</v>
      </c>
      <c r="G160">
        <f>AVERAGEIF(calls[Representative], calls[[#This Row],[Representative]], calls[Satisfaction Rating])</f>
        <v>3.8824999999999998</v>
      </c>
      <c r="H160" t="str">
        <f>IF(AVERAGEIF(calls[Representative],calls[[#This Row],[Representative]],calls[Satisfaction Rating])&lt;3.5,"Needs Training","OK")</f>
        <v>OK</v>
      </c>
      <c r="I160">
        <v>4.9000000000000004</v>
      </c>
      <c r="J160">
        <f>IF(MONTH(calls[[#This Row],[Date of Call]])&lt;=6, YEAR(calls[[#This Row],[Date of Call]]), YEAR(calls[[#This Row],[Date of Call]])+1)</f>
        <v>2023</v>
      </c>
      <c r="K160" t="str">
        <f>TEXT(calls[[#This Row],[Date of Call]],"DDDD")</f>
        <v>Friday</v>
      </c>
      <c r="L160" t="str" cm="1">
        <f t="array" ref="L160">_xlfn.IFS(calls[[#This Row],[Duration]]&lt;=10,"under 10 mins",calls[[#This Row],[Duration]]&lt;=30,"10 to 30mins",calls[[#This Row],[Duration]]&lt;=60,"60 to 30mins",calls[[#This Row],[Duration]]&lt;=120,"1 to 2hrs",TRUE,"More than 2 hrs")</f>
        <v>1 to 2hrs</v>
      </c>
      <c r="M160">
        <f>ROUND(calls[[#This Row],[Satisfaction Rating]],0)</f>
        <v>5</v>
      </c>
      <c r="N160">
        <f>COUNTIF(calls[Customer ID], calls[[#This Row],[Customer ID]])</f>
        <v>69</v>
      </c>
      <c r="O160">
        <f>SUMIF(calls[Customer ID], calls[[#This Row],[Customer ID]], calls[Purchase Amount])</f>
        <v>6601</v>
      </c>
      <c r="P160">
        <f>calls[[#This Row],[call count]]/calls[[#This Row],[Purchase Amount]]</f>
        <v>0.98571428571428577</v>
      </c>
      <c r="Q160">
        <f>COUNTIF(calls[Customer ID],calls[[#This Row],[Customer ID]])</f>
        <v>69</v>
      </c>
      <c r="R160">
        <f>calls[[#This Row],[call count]]/calls[[#This Row],[Purchase Amount]]</f>
        <v>0.98571428571428577</v>
      </c>
    </row>
    <row r="161" spans="1:18" x14ac:dyDescent="0.4">
      <c r="A161" t="s">
        <v>191</v>
      </c>
      <c r="B161" t="s">
        <v>8</v>
      </c>
      <c r="C161">
        <v>64</v>
      </c>
      <c r="D161" s="4" t="s">
        <v>2</v>
      </c>
      <c r="E161" s="5">
        <v>44988</v>
      </c>
      <c r="F161">
        <v>172</v>
      </c>
      <c r="G161">
        <f>AVERAGEIF(calls[Representative], calls[[#This Row],[Representative]], calls[Satisfaction Rating])</f>
        <v>3.8824999999999998</v>
      </c>
      <c r="H161" t="str">
        <f>IF(AVERAGEIF(calls[Representative],calls[[#This Row],[Representative]],calls[Satisfaction Rating])&lt;3.5,"Needs Training","OK")</f>
        <v>OK</v>
      </c>
      <c r="I161">
        <v>4.0999999999999996</v>
      </c>
      <c r="J161">
        <f>IF(MONTH(calls[[#This Row],[Date of Call]])&lt;=6, YEAR(calls[[#This Row],[Date of Call]]), YEAR(calls[[#This Row],[Date of Call]])+1)</f>
        <v>2023</v>
      </c>
      <c r="K161" t="str">
        <f>TEXT(calls[[#This Row],[Date of Call]],"DDDD")</f>
        <v>Friday</v>
      </c>
      <c r="L161" t="str" cm="1">
        <f t="array" ref="L161">_xlfn.IFS(calls[[#This Row],[Duration]]&lt;=10,"under 10 mins",calls[[#This Row],[Duration]]&lt;=30,"10 to 30mins",calls[[#This Row],[Duration]]&lt;=60,"60 to 30mins",calls[[#This Row],[Duration]]&lt;=120,"1 to 2hrs",TRUE,"More than 2 hrs")</f>
        <v>1 to 2hrs</v>
      </c>
      <c r="M161">
        <f>ROUND(calls[[#This Row],[Satisfaction Rating]],0)</f>
        <v>4</v>
      </c>
      <c r="N161">
        <f>COUNTIF(calls[Customer ID], calls[[#This Row],[Customer ID]])</f>
        <v>79</v>
      </c>
      <c r="O161">
        <f>SUMIF(calls[Customer ID], calls[[#This Row],[Customer ID]], calls[Purchase Amount])</f>
        <v>7747</v>
      </c>
      <c r="P161">
        <f>calls[[#This Row],[call count]]/calls[[#This Row],[Purchase Amount]]</f>
        <v>0.45930232558139533</v>
      </c>
      <c r="Q161">
        <f>COUNTIF(calls[Customer ID],calls[[#This Row],[Customer ID]])</f>
        <v>79</v>
      </c>
      <c r="R161">
        <f>calls[[#This Row],[call count]]/calls[[#This Row],[Purchase Amount]]</f>
        <v>0.45930232558139533</v>
      </c>
    </row>
    <row r="162" spans="1:18" x14ac:dyDescent="0.4">
      <c r="A162" t="s">
        <v>192</v>
      </c>
      <c r="B162" t="s">
        <v>6</v>
      </c>
      <c r="C162">
        <v>113</v>
      </c>
      <c r="D162" s="4" t="s">
        <v>14</v>
      </c>
      <c r="E162" s="5">
        <v>44988</v>
      </c>
      <c r="F162">
        <v>123</v>
      </c>
      <c r="G162">
        <f>AVERAGEIF(calls[Representative], calls[[#This Row],[Representative]], calls[Satisfaction Rating])</f>
        <v>3.9227513227513247</v>
      </c>
      <c r="H162" t="str">
        <f>IF(AVERAGEIF(calls[Representative],calls[[#This Row],[Representative]],calls[Satisfaction Rating])&lt;3.5,"Needs Training","OK")</f>
        <v>OK</v>
      </c>
      <c r="I162">
        <v>4.4000000000000004</v>
      </c>
      <c r="J162">
        <f>IF(MONTH(calls[[#This Row],[Date of Call]])&lt;=6, YEAR(calls[[#This Row],[Date of Call]]), YEAR(calls[[#This Row],[Date of Call]])+1)</f>
        <v>2023</v>
      </c>
      <c r="K162" t="str">
        <f>TEXT(calls[[#This Row],[Date of Call]],"DDDD")</f>
        <v>Friday</v>
      </c>
      <c r="L162" t="str" cm="1">
        <f t="array" ref="L162">_xlfn.IFS(calls[[#This Row],[Duration]]&lt;=10,"under 10 mins",calls[[#This Row],[Duration]]&lt;=30,"10 to 30mins",calls[[#This Row],[Duration]]&lt;=60,"60 to 30mins",calls[[#This Row],[Duration]]&lt;=120,"1 to 2hrs",TRUE,"More than 2 hrs")</f>
        <v>1 to 2hrs</v>
      </c>
      <c r="M162">
        <f>ROUND(calls[[#This Row],[Satisfaction Rating]],0)</f>
        <v>4</v>
      </c>
      <c r="N162">
        <f>COUNTIF(calls[Customer ID], calls[[#This Row],[Customer ID]])</f>
        <v>82</v>
      </c>
      <c r="O162">
        <f>SUMIF(calls[Customer ID], calls[[#This Row],[Customer ID]], calls[Purchase Amount])</f>
        <v>7689</v>
      </c>
      <c r="P162">
        <f>calls[[#This Row],[call count]]/calls[[#This Row],[Purchase Amount]]</f>
        <v>0.66666666666666663</v>
      </c>
      <c r="Q162">
        <f>COUNTIF(calls[Customer ID],calls[[#This Row],[Customer ID]])</f>
        <v>82</v>
      </c>
      <c r="R162">
        <f>calls[[#This Row],[call count]]/calls[[#This Row],[Purchase Amount]]</f>
        <v>0.66666666666666663</v>
      </c>
    </row>
    <row r="163" spans="1:18" x14ac:dyDescent="0.4">
      <c r="A163" t="s">
        <v>193</v>
      </c>
      <c r="B163" t="s">
        <v>6</v>
      </c>
      <c r="C163">
        <v>21</v>
      </c>
      <c r="D163" s="4" t="s">
        <v>9</v>
      </c>
      <c r="E163" s="5">
        <v>44988</v>
      </c>
      <c r="F163">
        <v>93</v>
      </c>
      <c r="G163">
        <f>AVERAGEIF(calls[Representative], calls[[#This Row],[Representative]], calls[Satisfaction Rating])</f>
        <v>3.8706422018348627</v>
      </c>
      <c r="H163" t="str">
        <f>IF(AVERAGEIF(calls[Representative],calls[[#This Row],[Representative]],calls[Satisfaction Rating])&lt;3.5,"Needs Training","OK")</f>
        <v>OK</v>
      </c>
      <c r="I163">
        <v>3.4</v>
      </c>
      <c r="J163">
        <f>IF(MONTH(calls[[#This Row],[Date of Call]])&lt;=6, YEAR(calls[[#This Row],[Date of Call]]), YEAR(calls[[#This Row],[Date of Call]])+1)</f>
        <v>2023</v>
      </c>
      <c r="K163" t="str">
        <f>TEXT(calls[[#This Row],[Date of Call]],"DDDD")</f>
        <v>Friday</v>
      </c>
      <c r="L163" t="str" cm="1">
        <f t="array" ref="L163">_xlfn.IFS(calls[[#This Row],[Duration]]&lt;=10,"under 10 mins",calls[[#This Row],[Duration]]&lt;=30,"10 to 30mins",calls[[#This Row],[Duration]]&lt;=60,"60 to 30mins",calls[[#This Row],[Duration]]&lt;=120,"1 to 2hrs",TRUE,"More than 2 hrs")</f>
        <v>10 to 30mins</v>
      </c>
      <c r="M163">
        <f>ROUND(calls[[#This Row],[Satisfaction Rating]],0)</f>
        <v>3</v>
      </c>
      <c r="N163">
        <f>COUNTIF(calls[Customer ID], calls[[#This Row],[Customer ID]])</f>
        <v>82</v>
      </c>
      <c r="O163">
        <f>SUMIF(calls[Customer ID], calls[[#This Row],[Customer ID]], calls[Purchase Amount])</f>
        <v>7689</v>
      </c>
      <c r="P163">
        <f>calls[[#This Row],[call count]]/calls[[#This Row],[Purchase Amount]]</f>
        <v>0.88172043010752688</v>
      </c>
      <c r="Q163">
        <f>COUNTIF(calls[Customer ID],calls[[#This Row],[Customer ID]])</f>
        <v>82</v>
      </c>
      <c r="R163">
        <f>calls[[#This Row],[call count]]/calls[[#This Row],[Purchase Amount]]</f>
        <v>0.88172043010752688</v>
      </c>
    </row>
    <row r="164" spans="1:18" x14ac:dyDescent="0.4">
      <c r="A164" t="s">
        <v>194</v>
      </c>
      <c r="B164" t="s">
        <v>54</v>
      </c>
      <c r="C164">
        <v>107</v>
      </c>
      <c r="D164" s="4" t="s">
        <v>2</v>
      </c>
      <c r="E164" s="5">
        <v>44988</v>
      </c>
      <c r="F164">
        <v>66</v>
      </c>
      <c r="G164">
        <f>AVERAGEIF(calls[Representative], calls[[#This Row],[Representative]], calls[Satisfaction Rating])</f>
        <v>3.8824999999999998</v>
      </c>
      <c r="H164" t="str">
        <f>IF(AVERAGEIF(calls[Representative],calls[[#This Row],[Representative]],calls[Satisfaction Rating])&lt;3.5,"Needs Training","OK")</f>
        <v>OK</v>
      </c>
      <c r="I164">
        <v>4</v>
      </c>
      <c r="J164">
        <f>IF(MONTH(calls[[#This Row],[Date of Call]])&lt;=6, YEAR(calls[[#This Row],[Date of Call]]), YEAR(calls[[#This Row],[Date of Call]])+1)</f>
        <v>2023</v>
      </c>
      <c r="K164" t="str">
        <f>TEXT(calls[[#This Row],[Date of Call]],"DDDD")</f>
        <v>Friday</v>
      </c>
      <c r="L164" t="str" cm="1">
        <f t="array" ref="L164">_xlfn.IFS(calls[[#This Row],[Duration]]&lt;=10,"under 10 mins",calls[[#This Row],[Duration]]&lt;=30,"10 to 30mins",calls[[#This Row],[Duration]]&lt;=60,"60 to 30mins",calls[[#This Row],[Duration]]&lt;=120,"1 to 2hrs",TRUE,"More than 2 hrs")</f>
        <v>1 to 2hrs</v>
      </c>
      <c r="M164">
        <f>ROUND(calls[[#This Row],[Satisfaction Rating]],0)</f>
        <v>4</v>
      </c>
      <c r="N164">
        <f>COUNTIF(calls[Customer ID], calls[[#This Row],[Customer ID]])</f>
        <v>70</v>
      </c>
      <c r="O164">
        <f>SUMIF(calls[Customer ID], calls[[#This Row],[Customer ID]], calls[Purchase Amount])</f>
        <v>6819</v>
      </c>
      <c r="P164">
        <f>calls[[#This Row],[call count]]/calls[[#This Row],[Purchase Amount]]</f>
        <v>1.0606060606060606</v>
      </c>
      <c r="Q164">
        <f>COUNTIF(calls[Customer ID],calls[[#This Row],[Customer ID]])</f>
        <v>70</v>
      </c>
      <c r="R164">
        <f>calls[[#This Row],[call count]]/calls[[#This Row],[Purchase Amount]]</f>
        <v>1.0606060606060606</v>
      </c>
    </row>
    <row r="165" spans="1:18" x14ac:dyDescent="0.4">
      <c r="A165" t="s">
        <v>195</v>
      </c>
      <c r="B165" t="s">
        <v>54</v>
      </c>
      <c r="C165">
        <v>131</v>
      </c>
      <c r="D165" s="4" t="s">
        <v>9</v>
      </c>
      <c r="E165" s="5">
        <v>44988</v>
      </c>
      <c r="F165">
        <v>39</v>
      </c>
      <c r="G165">
        <f>AVERAGEIF(calls[Representative], calls[[#This Row],[Representative]], calls[Satisfaction Rating])</f>
        <v>3.8706422018348627</v>
      </c>
      <c r="H165" t="str">
        <f>IF(AVERAGEIF(calls[Representative],calls[[#This Row],[Representative]],calls[Satisfaction Rating])&lt;3.5,"Needs Training","OK")</f>
        <v>OK</v>
      </c>
      <c r="I165">
        <v>2.4</v>
      </c>
      <c r="J165">
        <f>IF(MONTH(calls[[#This Row],[Date of Call]])&lt;=6, YEAR(calls[[#This Row],[Date of Call]]), YEAR(calls[[#This Row],[Date of Call]])+1)</f>
        <v>2023</v>
      </c>
      <c r="K165" t="str">
        <f>TEXT(calls[[#This Row],[Date of Call]],"DDDD")</f>
        <v>Friday</v>
      </c>
      <c r="L165" t="str" cm="1">
        <f t="array" ref="L165">_xlfn.IFS(calls[[#This Row],[Duration]]&lt;=10,"under 10 mins",calls[[#This Row],[Duration]]&lt;=30,"10 to 30mins",calls[[#This Row],[Duration]]&lt;=60,"60 to 30mins",calls[[#This Row],[Duration]]&lt;=120,"1 to 2hrs",TRUE,"More than 2 hrs")</f>
        <v>More than 2 hrs</v>
      </c>
      <c r="M165">
        <f>ROUND(calls[[#This Row],[Satisfaction Rating]],0)</f>
        <v>2</v>
      </c>
      <c r="N165">
        <f>COUNTIF(calls[Customer ID], calls[[#This Row],[Customer ID]])</f>
        <v>70</v>
      </c>
      <c r="O165">
        <f>SUMIF(calls[Customer ID], calls[[#This Row],[Customer ID]], calls[Purchase Amount])</f>
        <v>6819</v>
      </c>
      <c r="P165">
        <f>calls[[#This Row],[call count]]/calls[[#This Row],[Purchase Amount]]</f>
        <v>1.7948717948717949</v>
      </c>
      <c r="Q165">
        <f>COUNTIF(calls[Customer ID],calls[[#This Row],[Customer ID]])</f>
        <v>70</v>
      </c>
      <c r="R165">
        <f>calls[[#This Row],[call count]]/calls[[#This Row],[Purchase Amount]]</f>
        <v>1.7948717948717949</v>
      </c>
    </row>
    <row r="166" spans="1:18" x14ac:dyDescent="0.4">
      <c r="A166" t="s">
        <v>196</v>
      </c>
      <c r="B166" t="s">
        <v>1</v>
      </c>
      <c r="C166">
        <v>11</v>
      </c>
      <c r="D166" s="4" t="s">
        <v>27</v>
      </c>
      <c r="E166" s="5">
        <v>44988</v>
      </c>
      <c r="F166">
        <v>25</v>
      </c>
      <c r="G166">
        <f>AVERAGEIF(calls[Representative], calls[[#This Row],[Representative]], calls[Satisfaction Rating])</f>
        <v>3.8589371980676304</v>
      </c>
      <c r="H166" t="str">
        <f>IF(AVERAGEIF(calls[Representative],calls[[#This Row],[Representative]],calls[Satisfaction Rating])&lt;3.5,"Needs Training","OK")</f>
        <v>OK</v>
      </c>
      <c r="I166">
        <v>2.1</v>
      </c>
      <c r="J166">
        <f>IF(MONTH(calls[[#This Row],[Date of Call]])&lt;=6, YEAR(calls[[#This Row],[Date of Call]]), YEAR(calls[[#This Row],[Date of Call]])+1)</f>
        <v>2023</v>
      </c>
      <c r="K166" t="str">
        <f>TEXT(calls[[#This Row],[Date of Call]],"DDDD")</f>
        <v>Friday</v>
      </c>
      <c r="L166" t="str" cm="1">
        <f t="array" ref="L166">_xlfn.IFS(calls[[#This Row],[Duration]]&lt;=10,"under 10 mins",calls[[#This Row],[Duration]]&lt;=30,"10 to 30mins",calls[[#This Row],[Duration]]&lt;=60,"60 to 30mins",calls[[#This Row],[Duration]]&lt;=120,"1 to 2hrs",TRUE,"More than 2 hrs")</f>
        <v>10 to 30mins</v>
      </c>
      <c r="M166">
        <f>ROUND(calls[[#This Row],[Satisfaction Rating]],0)</f>
        <v>2</v>
      </c>
      <c r="N166">
        <f>COUNTIF(calls[Customer ID], calls[[#This Row],[Customer ID]])</f>
        <v>50</v>
      </c>
      <c r="O166">
        <f>SUMIF(calls[Customer ID], calls[[#This Row],[Customer ID]], calls[Purchase Amount])</f>
        <v>4804</v>
      </c>
      <c r="P166">
        <f>calls[[#This Row],[call count]]/calls[[#This Row],[Purchase Amount]]</f>
        <v>2</v>
      </c>
      <c r="Q166">
        <f>COUNTIF(calls[Customer ID],calls[[#This Row],[Customer ID]])</f>
        <v>50</v>
      </c>
      <c r="R166">
        <f>calls[[#This Row],[call count]]/calls[[#This Row],[Purchase Amount]]</f>
        <v>2</v>
      </c>
    </row>
    <row r="167" spans="1:18" x14ac:dyDescent="0.4">
      <c r="A167" t="s">
        <v>197</v>
      </c>
      <c r="B167" t="s">
        <v>64</v>
      </c>
      <c r="C167">
        <v>86</v>
      </c>
      <c r="D167" s="4" t="s">
        <v>14</v>
      </c>
      <c r="E167" s="5">
        <v>44988</v>
      </c>
      <c r="F167">
        <v>68</v>
      </c>
      <c r="G167">
        <f>AVERAGEIF(calls[Representative], calls[[#This Row],[Representative]], calls[Satisfaction Rating])</f>
        <v>3.9227513227513247</v>
      </c>
      <c r="H167" t="str">
        <f>IF(AVERAGEIF(calls[Representative],calls[[#This Row],[Representative]],calls[Satisfaction Rating])&lt;3.5,"Needs Training","OK")</f>
        <v>OK</v>
      </c>
      <c r="I167">
        <v>3</v>
      </c>
      <c r="J167">
        <f>IF(MONTH(calls[[#This Row],[Date of Call]])&lt;=6, YEAR(calls[[#This Row],[Date of Call]]), YEAR(calls[[#This Row],[Date of Call]])+1)</f>
        <v>2023</v>
      </c>
      <c r="K167" t="str">
        <f>TEXT(calls[[#This Row],[Date of Call]],"DDDD")</f>
        <v>Friday</v>
      </c>
      <c r="L167" t="str" cm="1">
        <f t="array" ref="L167">_xlfn.IFS(calls[[#This Row],[Duration]]&lt;=10,"under 10 mins",calls[[#This Row],[Duration]]&lt;=30,"10 to 30mins",calls[[#This Row],[Duration]]&lt;=60,"60 to 30mins",calls[[#This Row],[Duration]]&lt;=120,"1 to 2hrs",TRUE,"More than 2 hrs")</f>
        <v>1 to 2hrs</v>
      </c>
      <c r="M167">
        <f>ROUND(calls[[#This Row],[Satisfaction Rating]],0)</f>
        <v>3</v>
      </c>
      <c r="N167">
        <f>COUNTIF(calls[Customer ID], calls[[#This Row],[Customer ID]])</f>
        <v>65</v>
      </c>
      <c r="O167">
        <f>SUMIF(calls[Customer ID], calls[[#This Row],[Customer ID]], calls[Purchase Amount])</f>
        <v>6785</v>
      </c>
      <c r="P167">
        <f>calls[[#This Row],[call count]]/calls[[#This Row],[Purchase Amount]]</f>
        <v>0.95588235294117652</v>
      </c>
      <c r="Q167">
        <f>COUNTIF(calls[Customer ID],calls[[#This Row],[Customer ID]])</f>
        <v>65</v>
      </c>
      <c r="R167">
        <f>calls[[#This Row],[call count]]/calls[[#This Row],[Purchase Amount]]</f>
        <v>0.95588235294117652</v>
      </c>
    </row>
    <row r="168" spans="1:18" x14ac:dyDescent="0.4">
      <c r="A168" t="s">
        <v>198</v>
      </c>
      <c r="B168" t="s">
        <v>8</v>
      </c>
      <c r="C168">
        <v>28</v>
      </c>
      <c r="D168" s="4" t="s">
        <v>27</v>
      </c>
      <c r="E168" s="5">
        <v>44988</v>
      </c>
      <c r="F168">
        <v>84</v>
      </c>
      <c r="G168">
        <f>AVERAGEIF(calls[Representative], calls[[#This Row],[Representative]], calls[Satisfaction Rating])</f>
        <v>3.8589371980676304</v>
      </c>
      <c r="H168" t="str">
        <f>IF(AVERAGEIF(calls[Representative],calls[[#This Row],[Representative]],calls[Satisfaction Rating])&lt;3.5,"Needs Training","OK")</f>
        <v>OK</v>
      </c>
      <c r="I168">
        <v>3.2</v>
      </c>
      <c r="J168">
        <f>IF(MONTH(calls[[#This Row],[Date of Call]])&lt;=6, YEAR(calls[[#This Row],[Date of Call]]), YEAR(calls[[#This Row],[Date of Call]])+1)</f>
        <v>2023</v>
      </c>
      <c r="K168" t="str">
        <f>TEXT(calls[[#This Row],[Date of Call]],"DDDD")</f>
        <v>Friday</v>
      </c>
      <c r="L168" t="str" cm="1">
        <f t="array" ref="L168">_xlfn.IFS(calls[[#This Row],[Duration]]&lt;=10,"under 10 mins",calls[[#This Row],[Duration]]&lt;=30,"10 to 30mins",calls[[#This Row],[Duration]]&lt;=60,"60 to 30mins",calls[[#This Row],[Duration]]&lt;=120,"1 to 2hrs",TRUE,"More than 2 hrs")</f>
        <v>10 to 30mins</v>
      </c>
      <c r="M168">
        <f>ROUND(calls[[#This Row],[Satisfaction Rating]],0)</f>
        <v>3</v>
      </c>
      <c r="N168">
        <f>COUNTIF(calls[Customer ID], calls[[#This Row],[Customer ID]])</f>
        <v>79</v>
      </c>
      <c r="O168">
        <f>SUMIF(calls[Customer ID], calls[[#This Row],[Customer ID]], calls[Purchase Amount])</f>
        <v>7747</v>
      </c>
      <c r="P168">
        <f>calls[[#This Row],[call count]]/calls[[#This Row],[Purchase Amount]]</f>
        <v>0.94047619047619047</v>
      </c>
      <c r="Q168">
        <f>COUNTIF(calls[Customer ID],calls[[#This Row],[Customer ID]])</f>
        <v>79</v>
      </c>
      <c r="R168">
        <f>calls[[#This Row],[call count]]/calls[[#This Row],[Purchase Amount]]</f>
        <v>0.94047619047619047</v>
      </c>
    </row>
    <row r="169" spans="1:18" x14ac:dyDescent="0.4">
      <c r="A169" t="s">
        <v>199</v>
      </c>
      <c r="B169" t="s">
        <v>13</v>
      </c>
      <c r="C169">
        <v>139</v>
      </c>
      <c r="D169" s="4" t="s">
        <v>9</v>
      </c>
      <c r="E169" s="5">
        <v>44989</v>
      </c>
      <c r="F169">
        <v>88</v>
      </c>
      <c r="G169">
        <f>AVERAGEIF(calls[Representative], calls[[#This Row],[Representative]], calls[Satisfaction Rating])</f>
        <v>3.8706422018348627</v>
      </c>
      <c r="H169" t="str">
        <f>IF(AVERAGEIF(calls[Representative],calls[[#This Row],[Representative]],calls[Satisfaction Rating])&lt;3.5,"Needs Training","OK")</f>
        <v>OK</v>
      </c>
      <c r="I169">
        <v>3.4</v>
      </c>
      <c r="J169">
        <f>IF(MONTH(calls[[#This Row],[Date of Call]])&lt;=6, YEAR(calls[[#This Row],[Date of Call]]), YEAR(calls[[#This Row],[Date of Call]])+1)</f>
        <v>2023</v>
      </c>
      <c r="K169" t="str">
        <f>TEXT(calls[[#This Row],[Date of Call]],"DDDD")</f>
        <v>Saturday</v>
      </c>
      <c r="L169" t="str" cm="1">
        <f t="array" ref="L169">_xlfn.IFS(calls[[#This Row],[Duration]]&lt;=10,"under 10 mins",calls[[#This Row],[Duration]]&lt;=30,"10 to 30mins",calls[[#This Row],[Duration]]&lt;=60,"60 to 30mins",calls[[#This Row],[Duration]]&lt;=120,"1 to 2hrs",TRUE,"More than 2 hrs")</f>
        <v>More than 2 hrs</v>
      </c>
      <c r="M169">
        <f>ROUND(calls[[#This Row],[Satisfaction Rating]],0)</f>
        <v>3</v>
      </c>
      <c r="N169">
        <f>COUNTIF(calls[Customer ID], calls[[#This Row],[Customer ID]])</f>
        <v>74</v>
      </c>
      <c r="O169">
        <f>SUMIF(calls[Customer ID], calls[[#This Row],[Customer ID]], calls[Purchase Amount])</f>
        <v>6749</v>
      </c>
      <c r="P169">
        <f>calls[[#This Row],[call count]]/calls[[#This Row],[Purchase Amount]]</f>
        <v>0.84090909090909094</v>
      </c>
      <c r="Q169">
        <f>COUNTIF(calls[Customer ID],calls[[#This Row],[Customer ID]])</f>
        <v>74</v>
      </c>
      <c r="R169">
        <f>calls[[#This Row],[call count]]/calls[[#This Row],[Purchase Amount]]</f>
        <v>0.84090909090909094</v>
      </c>
    </row>
    <row r="170" spans="1:18" x14ac:dyDescent="0.4">
      <c r="A170" t="s">
        <v>200</v>
      </c>
      <c r="B170" t="s">
        <v>44</v>
      </c>
      <c r="C170">
        <v>82</v>
      </c>
      <c r="D170" s="4" t="s">
        <v>14</v>
      </c>
      <c r="E170" s="5">
        <v>44989</v>
      </c>
      <c r="F170">
        <v>93</v>
      </c>
      <c r="G170">
        <f>AVERAGEIF(calls[Representative], calls[[#This Row],[Representative]], calls[Satisfaction Rating])</f>
        <v>3.9227513227513247</v>
      </c>
      <c r="H170" t="str">
        <f>IF(AVERAGEIF(calls[Representative],calls[[#This Row],[Representative]],calls[Satisfaction Rating])&lt;3.5,"Needs Training","OK")</f>
        <v>OK</v>
      </c>
      <c r="I170">
        <v>2.7</v>
      </c>
      <c r="J170">
        <f>IF(MONTH(calls[[#This Row],[Date of Call]])&lt;=6, YEAR(calls[[#This Row],[Date of Call]]), YEAR(calls[[#This Row],[Date of Call]])+1)</f>
        <v>2023</v>
      </c>
      <c r="K170" t="str">
        <f>TEXT(calls[[#This Row],[Date of Call]],"DDDD")</f>
        <v>Saturday</v>
      </c>
      <c r="L170" t="str" cm="1">
        <f t="array" ref="L170">_xlfn.IFS(calls[[#This Row],[Duration]]&lt;=10,"under 10 mins",calls[[#This Row],[Duration]]&lt;=30,"10 to 30mins",calls[[#This Row],[Duration]]&lt;=60,"60 to 30mins",calls[[#This Row],[Duration]]&lt;=120,"1 to 2hrs",TRUE,"More than 2 hrs")</f>
        <v>1 to 2hrs</v>
      </c>
      <c r="M170">
        <f>ROUND(calls[[#This Row],[Satisfaction Rating]],0)</f>
        <v>3</v>
      </c>
      <c r="N170">
        <f>COUNTIF(calls[Customer ID], calls[[#This Row],[Customer ID]])</f>
        <v>62</v>
      </c>
      <c r="O170">
        <f>SUMIF(calls[Customer ID], calls[[#This Row],[Customer ID]], calls[Purchase Amount])</f>
        <v>6176</v>
      </c>
      <c r="P170">
        <f>calls[[#This Row],[call count]]/calls[[#This Row],[Purchase Amount]]</f>
        <v>0.66666666666666663</v>
      </c>
      <c r="Q170">
        <f>COUNTIF(calls[Customer ID],calls[[#This Row],[Customer ID]])</f>
        <v>62</v>
      </c>
      <c r="R170">
        <f>calls[[#This Row],[call count]]/calls[[#This Row],[Purchase Amount]]</f>
        <v>0.66666666666666663</v>
      </c>
    </row>
    <row r="171" spans="1:18" x14ac:dyDescent="0.4">
      <c r="A171" t="s">
        <v>201</v>
      </c>
      <c r="B171" t="s">
        <v>6</v>
      </c>
      <c r="C171">
        <v>101</v>
      </c>
      <c r="D171" s="4" t="s">
        <v>27</v>
      </c>
      <c r="E171" s="5">
        <v>44989</v>
      </c>
      <c r="F171">
        <v>128</v>
      </c>
      <c r="G171">
        <f>AVERAGEIF(calls[Representative], calls[[#This Row],[Representative]], calls[Satisfaction Rating])</f>
        <v>3.8589371980676304</v>
      </c>
      <c r="H171" t="str">
        <f>IF(AVERAGEIF(calls[Representative],calls[[#This Row],[Representative]],calls[Satisfaction Rating])&lt;3.5,"Needs Training","OK")</f>
        <v>OK</v>
      </c>
      <c r="I171">
        <v>5</v>
      </c>
      <c r="J171">
        <f>IF(MONTH(calls[[#This Row],[Date of Call]])&lt;=6, YEAR(calls[[#This Row],[Date of Call]]), YEAR(calls[[#This Row],[Date of Call]])+1)</f>
        <v>2023</v>
      </c>
      <c r="K171" t="str">
        <f>TEXT(calls[[#This Row],[Date of Call]],"DDDD")</f>
        <v>Saturday</v>
      </c>
      <c r="L171" t="str" cm="1">
        <f t="array" ref="L171">_xlfn.IFS(calls[[#This Row],[Duration]]&lt;=10,"under 10 mins",calls[[#This Row],[Duration]]&lt;=30,"10 to 30mins",calls[[#This Row],[Duration]]&lt;=60,"60 to 30mins",calls[[#This Row],[Duration]]&lt;=120,"1 to 2hrs",TRUE,"More than 2 hrs")</f>
        <v>1 to 2hrs</v>
      </c>
      <c r="M171">
        <f>ROUND(calls[[#This Row],[Satisfaction Rating]],0)</f>
        <v>5</v>
      </c>
      <c r="N171">
        <f>COUNTIF(calls[Customer ID], calls[[#This Row],[Customer ID]])</f>
        <v>82</v>
      </c>
      <c r="O171">
        <f>SUMIF(calls[Customer ID], calls[[#This Row],[Customer ID]], calls[Purchase Amount])</f>
        <v>7689</v>
      </c>
      <c r="P171">
        <f>calls[[#This Row],[call count]]/calls[[#This Row],[Purchase Amount]]</f>
        <v>0.640625</v>
      </c>
      <c r="Q171">
        <f>COUNTIF(calls[Customer ID],calls[[#This Row],[Customer ID]])</f>
        <v>82</v>
      </c>
      <c r="R171">
        <f>calls[[#This Row],[call count]]/calls[[#This Row],[Purchase Amount]]</f>
        <v>0.640625</v>
      </c>
    </row>
    <row r="172" spans="1:18" x14ac:dyDescent="0.4">
      <c r="A172" t="s">
        <v>202</v>
      </c>
      <c r="B172" t="s">
        <v>8</v>
      </c>
      <c r="C172">
        <v>75</v>
      </c>
      <c r="D172" s="4" t="s">
        <v>23</v>
      </c>
      <c r="E172" s="5">
        <v>44989</v>
      </c>
      <c r="F172">
        <v>40</v>
      </c>
      <c r="G172">
        <f>AVERAGEIF(calls[Representative], calls[[#This Row],[Representative]], calls[Satisfaction Rating])</f>
        <v>3.8973118279569863</v>
      </c>
      <c r="H172" t="str">
        <f>IF(AVERAGEIF(calls[Representative],calls[[#This Row],[Representative]],calls[Satisfaction Rating])&lt;3.5,"Needs Training","OK")</f>
        <v>OK</v>
      </c>
      <c r="I172">
        <v>3.4</v>
      </c>
      <c r="J172">
        <f>IF(MONTH(calls[[#This Row],[Date of Call]])&lt;=6, YEAR(calls[[#This Row],[Date of Call]]), YEAR(calls[[#This Row],[Date of Call]])+1)</f>
        <v>2023</v>
      </c>
      <c r="K172" t="str">
        <f>TEXT(calls[[#This Row],[Date of Call]],"DDDD")</f>
        <v>Saturday</v>
      </c>
      <c r="L172" t="str" cm="1">
        <f t="array" ref="L172">_xlfn.IFS(calls[[#This Row],[Duration]]&lt;=10,"under 10 mins",calls[[#This Row],[Duration]]&lt;=30,"10 to 30mins",calls[[#This Row],[Duration]]&lt;=60,"60 to 30mins",calls[[#This Row],[Duration]]&lt;=120,"1 to 2hrs",TRUE,"More than 2 hrs")</f>
        <v>1 to 2hrs</v>
      </c>
      <c r="M172">
        <f>ROUND(calls[[#This Row],[Satisfaction Rating]],0)</f>
        <v>3</v>
      </c>
      <c r="N172">
        <f>COUNTIF(calls[Customer ID], calls[[#This Row],[Customer ID]])</f>
        <v>79</v>
      </c>
      <c r="O172">
        <f>SUMIF(calls[Customer ID], calls[[#This Row],[Customer ID]], calls[Purchase Amount])</f>
        <v>7747</v>
      </c>
      <c r="P172">
        <f>calls[[#This Row],[call count]]/calls[[#This Row],[Purchase Amount]]</f>
        <v>1.9750000000000001</v>
      </c>
      <c r="Q172">
        <f>COUNTIF(calls[Customer ID],calls[[#This Row],[Customer ID]])</f>
        <v>79</v>
      </c>
      <c r="R172">
        <f>calls[[#This Row],[call count]]/calls[[#This Row],[Purchase Amount]]</f>
        <v>1.9750000000000001</v>
      </c>
    </row>
    <row r="173" spans="1:18" x14ac:dyDescent="0.4">
      <c r="A173" t="s">
        <v>203</v>
      </c>
      <c r="B173" t="s">
        <v>26</v>
      </c>
      <c r="C173">
        <v>40</v>
      </c>
      <c r="D173" s="4" t="s">
        <v>27</v>
      </c>
      <c r="E173" s="5">
        <v>44990</v>
      </c>
      <c r="F173">
        <v>92</v>
      </c>
      <c r="G173">
        <f>AVERAGEIF(calls[Representative], calls[[#This Row],[Representative]], calls[Satisfaction Rating])</f>
        <v>3.8589371980676304</v>
      </c>
      <c r="H173" t="str">
        <f>IF(AVERAGEIF(calls[Representative],calls[[#This Row],[Representative]],calls[Satisfaction Rating])&lt;3.5,"Needs Training","OK")</f>
        <v>OK</v>
      </c>
      <c r="I173">
        <v>4.7</v>
      </c>
      <c r="J173">
        <f>IF(MONTH(calls[[#This Row],[Date of Call]])&lt;=6, YEAR(calls[[#This Row],[Date of Call]]), YEAR(calls[[#This Row],[Date of Call]])+1)</f>
        <v>2023</v>
      </c>
      <c r="K173" t="str">
        <f>TEXT(calls[[#This Row],[Date of Call]],"DDDD")</f>
        <v>Sunday</v>
      </c>
      <c r="L173" t="str" cm="1">
        <f t="array" ref="L173">_xlfn.IFS(calls[[#This Row],[Duration]]&lt;=10,"under 10 mins",calls[[#This Row],[Duration]]&lt;=30,"10 to 30mins",calls[[#This Row],[Duration]]&lt;=60,"60 to 30mins",calls[[#This Row],[Duration]]&lt;=120,"1 to 2hrs",TRUE,"More than 2 hrs")</f>
        <v>60 to 30mins</v>
      </c>
      <c r="M173">
        <f>ROUND(calls[[#This Row],[Satisfaction Rating]],0)</f>
        <v>5</v>
      </c>
      <c r="N173">
        <f>COUNTIF(calls[Customer ID], calls[[#This Row],[Customer ID]])</f>
        <v>72</v>
      </c>
      <c r="O173">
        <f>SUMIF(calls[Customer ID], calls[[#This Row],[Customer ID]], calls[Purchase Amount])</f>
        <v>6242</v>
      </c>
      <c r="P173">
        <f>calls[[#This Row],[call count]]/calls[[#This Row],[Purchase Amount]]</f>
        <v>0.78260869565217395</v>
      </c>
      <c r="Q173">
        <f>COUNTIF(calls[Customer ID],calls[[#This Row],[Customer ID]])</f>
        <v>72</v>
      </c>
      <c r="R173">
        <f>calls[[#This Row],[call count]]/calls[[#This Row],[Purchase Amount]]</f>
        <v>0.78260869565217395</v>
      </c>
    </row>
    <row r="174" spans="1:18" x14ac:dyDescent="0.4">
      <c r="A174" t="s">
        <v>204</v>
      </c>
      <c r="B174" t="s">
        <v>32</v>
      </c>
      <c r="C174">
        <v>86</v>
      </c>
      <c r="D174" s="4" t="s">
        <v>9</v>
      </c>
      <c r="E174" s="5">
        <v>44990</v>
      </c>
      <c r="F174">
        <v>27</v>
      </c>
      <c r="G174">
        <f>AVERAGEIF(calls[Representative], calls[[#This Row],[Representative]], calls[Satisfaction Rating])</f>
        <v>3.8706422018348627</v>
      </c>
      <c r="H174" t="str">
        <f>IF(AVERAGEIF(calls[Representative],calls[[#This Row],[Representative]],calls[Satisfaction Rating])&lt;3.5,"Needs Training","OK")</f>
        <v>OK</v>
      </c>
      <c r="I174">
        <v>4.5</v>
      </c>
      <c r="J174">
        <f>IF(MONTH(calls[[#This Row],[Date of Call]])&lt;=6, YEAR(calls[[#This Row],[Date of Call]]), YEAR(calls[[#This Row],[Date of Call]])+1)</f>
        <v>2023</v>
      </c>
      <c r="K174" t="str">
        <f>TEXT(calls[[#This Row],[Date of Call]],"DDDD")</f>
        <v>Sunday</v>
      </c>
      <c r="L174" t="str" cm="1">
        <f t="array" ref="L174">_xlfn.IFS(calls[[#This Row],[Duration]]&lt;=10,"under 10 mins",calls[[#This Row],[Duration]]&lt;=30,"10 to 30mins",calls[[#This Row],[Duration]]&lt;=60,"60 to 30mins",calls[[#This Row],[Duration]]&lt;=120,"1 to 2hrs",TRUE,"More than 2 hrs")</f>
        <v>1 to 2hrs</v>
      </c>
      <c r="M174">
        <f>ROUND(calls[[#This Row],[Satisfaction Rating]],0)</f>
        <v>5</v>
      </c>
      <c r="N174">
        <f>COUNTIF(calls[Customer ID], calls[[#This Row],[Customer ID]])</f>
        <v>63</v>
      </c>
      <c r="O174">
        <f>SUMIF(calls[Customer ID], calls[[#This Row],[Customer ID]], calls[Purchase Amount])</f>
        <v>5634</v>
      </c>
      <c r="P174">
        <f>calls[[#This Row],[call count]]/calls[[#This Row],[Purchase Amount]]</f>
        <v>2.3333333333333335</v>
      </c>
      <c r="Q174">
        <f>COUNTIF(calls[Customer ID],calls[[#This Row],[Customer ID]])</f>
        <v>63</v>
      </c>
      <c r="R174">
        <f>calls[[#This Row],[call count]]/calls[[#This Row],[Purchase Amount]]</f>
        <v>2.3333333333333335</v>
      </c>
    </row>
    <row r="175" spans="1:18" x14ac:dyDescent="0.4">
      <c r="A175" t="s">
        <v>205</v>
      </c>
      <c r="B175" t="s">
        <v>21</v>
      </c>
      <c r="C175">
        <v>131</v>
      </c>
      <c r="D175" s="4" t="s">
        <v>2</v>
      </c>
      <c r="E175" s="5">
        <v>44990</v>
      </c>
      <c r="F175">
        <v>140</v>
      </c>
      <c r="G175">
        <f>AVERAGEIF(calls[Representative], calls[[#This Row],[Representative]], calls[Satisfaction Rating])</f>
        <v>3.8824999999999998</v>
      </c>
      <c r="H175" t="str">
        <f>IF(AVERAGEIF(calls[Representative],calls[[#This Row],[Representative]],calls[Satisfaction Rating])&lt;3.5,"Needs Training","OK")</f>
        <v>OK</v>
      </c>
      <c r="I175">
        <v>4.0999999999999996</v>
      </c>
      <c r="J175">
        <f>IF(MONTH(calls[[#This Row],[Date of Call]])&lt;=6, YEAR(calls[[#This Row],[Date of Call]]), YEAR(calls[[#This Row],[Date of Call]])+1)</f>
        <v>2023</v>
      </c>
      <c r="K175" t="str">
        <f>TEXT(calls[[#This Row],[Date of Call]],"DDDD")</f>
        <v>Sunday</v>
      </c>
      <c r="L175" t="str" cm="1">
        <f t="array" ref="L175">_xlfn.IFS(calls[[#This Row],[Duration]]&lt;=10,"under 10 mins",calls[[#This Row],[Duration]]&lt;=30,"10 to 30mins",calls[[#This Row],[Duration]]&lt;=60,"60 to 30mins",calls[[#This Row],[Duration]]&lt;=120,"1 to 2hrs",TRUE,"More than 2 hrs")</f>
        <v>More than 2 hrs</v>
      </c>
      <c r="M175">
        <f>ROUND(calls[[#This Row],[Satisfaction Rating]],0)</f>
        <v>4</v>
      </c>
      <c r="N175">
        <f>COUNTIF(calls[Customer ID], calls[[#This Row],[Customer ID]])</f>
        <v>67</v>
      </c>
      <c r="O175">
        <f>SUMIF(calls[Customer ID], calls[[#This Row],[Customer ID]], calls[Purchase Amount])</f>
        <v>7216</v>
      </c>
      <c r="P175">
        <f>calls[[#This Row],[call count]]/calls[[#This Row],[Purchase Amount]]</f>
        <v>0.47857142857142859</v>
      </c>
      <c r="Q175">
        <f>COUNTIF(calls[Customer ID],calls[[#This Row],[Customer ID]])</f>
        <v>67</v>
      </c>
      <c r="R175">
        <f>calls[[#This Row],[call count]]/calls[[#This Row],[Purchase Amount]]</f>
        <v>0.47857142857142859</v>
      </c>
    </row>
    <row r="176" spans="1:18" x14ac:dyDescent="0.4">
      <c r="A176" t="s">
        <v>206</v>
      </c>
      <c r="B176" t="s">
        <v>54</v>
      </c>
      <c r="C176">
        <v>67</v>
      </c>
      <c r="D176" s="4" t="s">
        <v>14</v>
      </c>
      <c r="E176" s="5">
        <v>44990</v>
      </c>
      <c r="F176">
        <v>40</v>
      </c>
      <c r="G176">
        <f>AVERAGEIF(calls[Representative], calls[[#This Row],[Representative]], calls[Satisfaction Rating])</f>
        <v>3.9227513227513247</v>
      </c>
      <c r="H176" t="str">
        <f>IF(AVERAGEIF(calls[Representative],calls[[#This Row],[Representative]],calls[Satisfaction Rating])&lt;3.5,"Needs Training","OK")</f>
        <v>OK</v>
      </c>
      <c r="I176">
        <v>5</v>
      </c>
      <c r="J176">
        <f>IF(MONTH(calls[[#This Row],[Date of Call]])&lt;=6, YEAR(calls[[#This Row],[Date of Call]]), YEAR(calls[[#This Row],[Date of Call]])+1)</f>
        <v>2023</v>
      </c>
      <c r="K176" t="str">
        <f>TEXT(calls[[#This Row],[Date of Call]],"DDDD")</f>
        <v>Sunday</v>
      </c>
      <c r="L176" t="str" cm="1">
        <f t="array" ref="L176">_xlfn.IFS(calls[[#This Row],[Duration]]&lt;=10,"under 10 mins",calls[[#This Row],[Duration]]&lt;=30,"10 to 30mins",calls[[#This Row],[Duration]]&lt;=60,"60 to 30mins",calls[[#This Row],[Duration]]&lt;=120,"1 to 2hrs",TRUE,"More than 2 hrs")</f>
        <v>1 to 2hrs</v>
      </c>
      <c r="M176">
        <f>ROUND(calls[[#This Row],[Satisfaction Rating]],0)</f>
        <v>5</v>
      </c>
      <c r="N176">
        <f>COUNTIF(calls[Customer ID], calls[[#This Row],[Customer ID]])</f>
        <v>70</v>
      </c>
      <c r="O176">
        <f>SUMIF(calls[Customer ID], calls[[#This Row],[Customer ID]], calls[Purchase Amount])</f>
        <v>6819</v>
      </c>
      <c r="P176">
        <f>calls[[#This Row],[call count]]/calls[[#This Row],[Purchase Amount]]</f>
        <v>1.75</v>
      </c>
      <c r="Q176">
        <f>COUNTIF(calls[Customer ID],calls[[#This Row],[Customer ID]])</f>
        <v>70</v>
      </c>
      <c r="R176">
        <f>calls[[#This Row],[call count]]/calls[[#This Row],[Purchase Amount]]</f>
        <v>1.75</v>
      </c>
    </row>
    <row r="177" spans="1:18" x14ac:dyDescent="0.4">
      <c r="A177" t="s">
        <v>207</v>
      </c>
      <c r="B177" t="s">
        <v>84</v>
      </c>
      <c r="C177">
        <v>71</v>
      </c>
      <c r="D177" s="4" t="s">
        <v>27</v>
      </c>
      <c r="E177" s="5">
        <v>44990</v>
      </c>
      <c r="F177">
        <v>102</v>
      </c>
      <c r="G177">
        <f>AVERAGEIF(calls[Representative], calls[[#This Row],[Representative]], calls[Satisfaction Rating])</f>
        <v>3.8589371980676304</v>
      </c>
      <c r="H177" t="str">
        <f>IF(AVERAGEIF(calls[Representative],calls[[#This Row],[Representative]],calls[Satisfaction Rating])&lt;3.5,"Needs Training","OK")</f>
        <v>OK</v>
      </c>
      <c r="I177">
        <v>4.7</v>
      </c>
      <c r="J177">
        <f>IF(MONTH(calls[[#This Row],[Date of Call]])&lt;=6, YEAR(calls[[#This Row],[Date of Call]]), YEAR(calls[[#This Row],[Date of Call]])+1)</f>
        <v>2023</v>
      </c>
      <c r="K177" t="str">
        <f>TEXT(calls[[#This Row],[Date of Call]],"DDDD")</f>
        <v>Sunday</v>
      </c>
      <c r="L177" t="str" cm="1">
        <f t="array" ref="L177">_xlfn.IFS(calls[[#This Row],[Duration]]&lt;=10,"under 10 mins",calls[[#This Row],[Duration]]&lt;=30,"10 to 30mins",calls[[#This Row],[Duration]]&lt;=60,"60 to 30mins",calls[[#This Row],[Duration]]&lt;=120,"1 to 2hrs",TRUE,"More than 2 hrs")</f>
        <v>1 to 2hrs</v>
      </c>
      <c r="M177">
        <f>ROUND(calls[[#This Row],[Satisfaction Rating]],0)</f>
        <v>5</v>
      </c>
      <c r="N177">
        <f>COUNTIF(calls[Customer ID], calls[[#This Row],[Customer ID]])</f>
        <v>59</v>
      </c>
      <c r="O177">
        <f>SUMIF(calls[Customer ID], calls[[#This Row],[Customer ID]], calls[Purchase Amount])</f>
        <v>5009</v>
      </c>
      <c r="P177">
        <f>calls[[#This Row],[call count]]/calls[[#This Row],[Purchase Amount]]</f>
        <v>0.57843137254901966</v>
      </c>
      <c r="Q177">
        <f>COUNTIF(calls[Customer ID],calls[[#This Row],[Customer ID]])</f>
        <v>59</v>
      </c>
      <c r="R177">
        <f>calls[[#This Row],[call count]]/calls[[#This Row],[Purchase Amount]]</f>
        <v>0.57843137254901966</v>
      </c>
    </row>
    <row r="178" spans="1:18" x14ac:dyDescent="0.4">
      <c r="A178" t="s">
        <v>208</v>
      </c>
      <c r="B178" t="s">
        <v>21</v>
      </c>
      <c r="C178">
        <v>113</v>
      </c>
      <c r="D178" s="4" t="s">
        <v>2</v>
      </c>
      <c r="E178" s="5">
        <v>44990</v>
      </c>
      <c r="F178">
        <v>42</v>
      </c>
      <c r="G178">
        <f>AVERAGEIF(calls[Representative], calls[[#This Row],[Representative]], calls[Satisfaction Rating])</f>
        <v>3.8824999999999998</v>
      </c>
      <c r="H178" t="str">
        <f>IF(AVERAGEIF(calls[Representative],calls[[#This Row],[Representative]],calls[Satisfaction Rating])&lt;3.5,"Needs Training","OK")</f>
        <v>OK</v>
      </c>
      <c r="I178">
        <v>4.2</v>
      </c>
      <c r="J178">
        <f>IF(MONTH(calls[[#This Row],[Date of Call]])&lt;=6, YEAR(calls[[#This Row],[Date of Call]]), YEAR(calls[[#This Row],[Date of Call]])+1)</f>
        <v>2023</v>
      </c>
      <c r="K178" t="str">
        <f>TEXT(calls[[#This Row],[Date of Call]],"DDDD")</f>
        <v>Sunday</v>
      </c>
      <c r="L178" t="str" cm="1">
        <f t="array" ref="L178">_xlfn.IFS(calls[[#This Row],[Duration]]&lt;=10,"under 10 mins",calls[[#This Row],[Duration]]&lt;=30,"10 to 30mins",calls[[#This Row],[Duration]]&lt;=60,"60 to 30mins",calls[[#This Row],[Duration]]&lt;=120,"1 to 2hrs",TRUE,"More than 2 hrs")</f>
        <v>1 to 2hrs</v>
      </c>
      <c r="M178">
        <f>ROUND(calls[[#This Row],[Satisfaction Rating]],0)</f>
        <v>4</v>
      </c>
      <c r="N178">
        <f>COUNTIF(calls[Customer ID], calls[[#This Row],[Customer ID]])</f>
        <v>67</v>
      </c>
      <c r="O178">
        <f>SUMIF(calls[Customer ID], calls[[#This Row],[Customer ID]], calls[Purchase Amount])</f>
        <v>7216</v>
      </c>
      <c r="P178">
        <f>calls[[#This Row],[call count]]/calls[[#This Row],[Purchase Amount]]</f>
        <v>1.5952380952380953</v>
      </c>
      <c r="Q178">
        <f>COUNTIF(calls[Customer ID],calls[[#This Row],[Customer ID]])</f>
        <v>67</v>
      </c>
      <c r="R178">
        <f>calls[[#This Row],[call count]]/calls[[#This Row],[Purchase Amount]]</f>
        <v>1.5952380952380953</v>
      </c>
    </row>
    <row r="179" spans="1:18" x14ac:dyDescent="0.4">
      <c r="A179" t="s">
        <v>209</v>
      </c>
      <c r="B179" t="s">
        <v>44</v>
      </c>
      <c r="C179">
        <v>53</v>
      </c>
      <c r="D179" s="4" t="s">
        <v>9</v>
      </c>
      <c r="E179" s="5">
        <v>44991</v>
      </c>
      <c r="F179">
        <v>210</v>
      </c>
      <c r="G179">
        <f>AVERAGEIF(calls[Representative], calls[[#This Row],[Representative]], calls[Satisfaction Rating])</f>
        <v>3.8706422018348627</v>
      </c>
      <c r="H179" t="str">
        <f>IF(AVERAGEIF(calls[Representative],calls[[#This Row],[Representative]],calls[Satisfaction Rating])&lt;3.5,"Needs Training","OK")</f>
        <v>OK</v>
      </c>
      <c r="I179">
        <v>3.9</v>
      </c>
      <c r="J179">
        <f>IF(MONTH(calls[[#This Row],[Date of Call]])&lt;=6, YEAR(calls[[#This Row],[Date of Call]]), YEAR(calls[[#This Row],[Date of Call]])+1)</f>
        <v>2023</v>
      </c>
      <c r="K179" t="str">
        <f>TEXT(calls[[#This Row],[Date of Call]],"DDDD")</f>
        <v>Monday</v>
      </c>
      <c r="L179" t="str" cm="1">
        <f t="array" ref="L179">_xlfn.IFS(calls[[#This Row],[Duration]]&lt;=10,"under 10 mins",calls[[#This Row],[Duration]]&lt;=30,"10 to 30mins",calls[[#This Row],[Duration]]&lt;=60,"60 to 30mins",calls[[#This Row],[Duration]]&lt;=120,"1 to 2hrs",TRUE,"More than 2 hrs")</f>
        <v>60 to 30mins</v>
      </c>
      <c r="M179">
        <f>ROUND(calls[[#This Row],[Satisfaction Rating]],0)</f>
        <v>4</v>
      </c>
      <c r="N179">
        <f>COUNTIF(calls[Customer ID], calls[[#This Row],[Customer ID]])</f>
        <v>62</v>
      </c>
      <c r="O179">
        <f>SUMIF(calls[Customer ID], calls[[#This Row],[Customer ID]], calls[Purchase Amount])</f>
        <v>6176</v>
      </c>
      <c r="P179">
        <f>calls[[#This Row],[call count]]/calls[[#This Row],[Purchase Amount]]</f>
        <v>0.29523809523809524</v>
      </c>
      <c r="Q179">
        <f>COUNTIF(calls[Customer ID],calls[[#This Row],[Customer ID]])</f>
        <v>62</v>
      </c>
      <c r="R179">
        <f>calls[[#This Row],[call count]]/calls[[#This Row],[Purchase Amount]]</f>
        <v>0.29523809523809524</v>
      </c>
    </row>
    <row r="180" spans="1:18" x14ac:dyDescent="0.4">
      <c r="A180" t="s">
        <v>210</v>
      </c>
      <c r="B180" t="s">
        <v>21</v>
      </c>
      <c r="C180">
        <v>153</v>
      </c>
      <c r="D180" s="4" t="s">
        <v>14</v>
      </c>
      <c r="E180" s="5">
        <v>44991</v>
      </c>
      <c r="F180">
        <v>34</v>
      </c>
      <c r="G180">
        <f>AVERAGEIF(calls[Representative], calls[[#This Row],[Representative]], calls[Satisfaction Rating])</f>
        <v>3.9227513227513247</v>
      </c>
      <c r="H180" t="str">
        <f>IF(AVERAGEIF(calls[Representative],calls[[#This Row],[Representative]],calls[Satisfaction Rating])&lt;3.5,"Needs Training","OK")</f>
        <v>OK</v>
      </c>
      <c r="I180">
        <v>3</v>
      </c>
      <c r="J180">
        <f>IF(MONTH(calls[[#This Row],[Date of Call]])&lt;=6, YEAR(calls[[#This Row],[Date of Call]]), YEAR(calls[[#This Row],[Date of Call]])+1)</f>
        <v>2023</v>
      </c>
      <c r="K180" t="str">
        <f>TEXT(calls[[#This Row],[Date of Call]],"DDDD")</f>
        <v>Monday</v>
      </c>
      <c r="L180" t="str" cm="1">
        <f t="array" ref="L180">_xlfn.IFS(calls[[#This Row],[Duration]]&lt;=10,"under 10 mins",calls[[#This Row],[Duration]]&lt;=30,"10 to 30mins",calls[[#This Row],[Duration]]&lt;=60,"60 to 30mins",calls[[#This Row],[Duration]]&lt;=120,"1 to 2hrs",TRUE,"More than 2 hrs")</f>
        <v>More than 2 hrs</v>
      </c>
      <c r="M180">
        <f>ROUND(calls[[#This Row],[Satisfaction Rating]],0)</f>
        <v>3</v>
      </c>
      <c r="N180">
        <f>COUNTIF(calls[Customer ID], calls[[#This Row],[Customer ID]])</f>
        <v>67</v>
      </c>
      <c r="O180">
        <f>SUMIF(calls[Customer ID], calls[[#This Row],[Customer ID]], calls[Purchase Amount])</f>
        <v>7216</v>
      </c>
      <c r="P180">
        <f>calls[[#This Row],[call count]]/calls[[#This Row],[Purchase Amount]]</f>
        <v>1.9705882352941178</v>
      </c>
      <c r="Q180">
        <f>COUNTIF(calls[Customer ID],calls[[#This Row],[Customer ID]])</f>
        <v>67</v>
      </c>
      <c r="R180">
        <f>calls[[#This Row],[call count]]/calls[[#This Row],[Purchase Amount]]</f>
        <v>1.9705882352941178</v>
      </c>
    </row>
    <row r="181" spans="1:18" x14ac:dyDescent="0.4">
      <c r="A181" t="s">
        <v>211</v>
      </c>
      <c r="B181" t="s">
        <v>54</v>
      </c>
      <c r="C181">
        <v>73</v>
      </c>
      <c r="D181" s="4" t="s">
        <v>23</v>
      </c>
      <c r="E181" s="5">
        <v>44991</v>
      </c>
      <c r="F181">
        <v>215</v>
      </c>
      <c r="G181">
        <f>AVERAGEIF(calls[Representative], calls[[#This Row],[Representative]], calls[Satisfaction Rating])</f>
        <v>3.8973118279569863</v>
      </c>
      <c r="H181" t="str">
        <f>IF(AVERAGEIF(calls[Representative],calls[[#This Row],[Representative]],calls[Satisfaction Rating])&lt;3.5,"Needs Training","OK")</f>
        <v>OK</v>
      </c>
      <c r="I181">
        <v>3.6</v>
      </c>
      <c r="J181">
        <f>IF(MONTH(calls[[#This Row],[Date of Call]])&lt;=6, YEAR(calls[[#This Row],[Date of Call]]), YEAR(calls[[#This Row],[Date of Call]])+1)</f>
        <v>2023</v>
      </c>
      <c r="K181" t="str">
        <f>TEXT(calls[[#This Row],[Date of Call]],"DDDD")</f>
        <v>Monday</v>
      </c>
      <c r="L181" t="str" cm="1">
        <f t="array" ref="L181">_xlfn.IFS(calls[[#This Row],[Duration]]&lt;=10,"under 10 mins",calls[[#This Row],[Duration]]&lt;=30,"10 to 30mins",calls[[#This Row],[Duration]]&lt;=60,"60 to 30mins",calls[[#This Row],[Duration]]&lt;=120,"1 to 2hrs",TRUE,"More than 2 hrs")</f>
        <v>1 to 2hrs</v>
      </c>
      <c r="M181">
        <f>ROUND(calls[[#This Row],[Satisfaction Rating]],0)</f>
        <v>4</v>
      </c>
      <c r="N181">
        <f>COUNTIF(calls[Customer ID], calls[[#This Row],[Customer ID]])</f>
        <v>70</v>
      </c>
      <c r="O181">
        <f>SUMIF(calls[Customer ID], calls[[#This Row],[Customer ID]], calls[Purchase Amount])</f>
        <v>6819</v>
      </c>
      <c r="P181">
        <f>calls[[#This Row],[call count]]/calls[[#This Row],[Purchase Amount]]</f>
        <v>0.32558139534883723</v>
      </c>
      <c r="Q181">
        <f>COUNTIF(calls[Customer ID],calls[[#This Row],[Customer ID]])</f>
        <v>70</v>
      </c>
      <c r="R181">
        <f>calls[[#This Row],[call count]]/calls[[#This Row],[Purchase Amount]]</f>
        <v>0.32558139534883723</v>
      </c>
    </row>
    <row r="182" spans="1:18" x14ac:dyDescent="0.4">
      <c r="A182" t="s">
        <v>212</v>
      </c>
      <c r="B182" t="s">
        <v>40</v>
      </c>
      <c r="C182">
        <v>62</v>
      </c>
      <c r="D182" s="4" t="s">
        <v>23</v>
      </c>
      <c r="E182" s="5">
        <v>44991</v>
      </c>
      <c r="F182">
        <v>32</v>
      </c>
      <c r="G182">
        <f>AVERAGEIF(calls[Representative], calls[[#This Row],[Representative]], calls[Satisfaction Rating])</f>
        <v>3.8973118279569863</v>
      </c>
      <c r="H182" t="str">
        <f>IF(AVERAGEIF(calls[Representative],calls[[#This Row],[Representative]],calls[Satisfaction Rating])&lt;3.5,"Needs Training","OK")</f>
        <v>OK</v>
      </c>
      <c r="I182">
        <v>0.7</v>
      </c>
      <c r="J182">
        <f>IF(MONTH(calls[[#This Row],[Date of Call]])&lt;=6, YEAR(calls[[#This Row],[Date of Call]]), YEAR(calls[[#This Row],[Date of Call]])+1)</f>
        <v>2023</v>
      </c>
      <c r="K182" t="str">
        <f>TEXT(calls[[#This Row],[Date of Call]],"DDDD")</f>
        <v>Monday</v>
      </c>
      <c r="L182" t="str" cm="1">
        <f t="array" ref="L182">_xlfn.IFS(calls[[#This Row],[Duration]]&lt;=10,"under 10 mins",calls[[#This Row],[Duration]]&lt;=30,"10 to 30mins",calls[[#This Row],[Duration]]&lt;=60,"60 to 30mins",calls[[#This Row],[Duration]]&lt;=120,"1 to 2hrs",TRUE,"More than 2 hrs")</f>
        <v>1 to 2hrs</v>
      </c>
      <c r="M182">
        <f>ROUND(calls[[#This Row],[Satisfaction Rating]],0)</f>
        <v>1</v>
      </c>
      <c r="N182">
        <f>COUNTIF(calls[Customer ID], calls[[#This Row],[Customer ID]])</f>
        <v>69</v>
      </c>
      <c r="O182">
        <f>SUMIF(calls[Customer ID], calls[[#This Row],[Customer ID]], calls[Purchase Amount])</f>
        <v>6601</v>
      </c>
      <c r="P182">
        <f>calls[[#This Row],[call count]]/calls[[#This Row],[Purchase Amount]]</f>
        <v>2.15625</v>
      </c>
      <c r="Q182">
        <f>COUNTIF(calls[Customer ID],calls[[#This Row],[Customer ID]])</f>
        <v>69</v>
      </c>
      <c r="R182">
        <f>calls[[#This Row],[call count]]/calls[[#This Row],[Purchase Amount]]</f>
        <v>2.15625</v>
      </c>
    </row>
    <row r="183" spans="1:18" x14ac:dyDescent="0.4">
      <c r="A183" t="s">
        <v>213</v>
      </c>
      <c r="B183" t="s">
        <v>13</v>
      </c>
      <c r="C183">
        <v>115</v>
      </c>
      <c r="D183" s="4" t="s">
        <v>9</v>
      </c>
      <c r="E183" s="5">
        <v>44992</v>
      </c>
      <c r="F183">
        <v>48</v>
      </c>
      <c r="G183">
        <f>AVERAGEIF(calls[Representative], calls[[#This Row],[Representative]], calls[Satisfaction Rating])</f>
        <v>3.8706422018348627</v>
      </c>
      <c r="H183" t="str">
        <f>IF(AVERAGEIF(calls[Representative],calls[[#This Row],[Representative]],calls[Satisfaction Rating])&lt;3.5,"Needs Training","OK")</f>
        <v>OK</v>
      </c>
      <c r="I183">
        <v>4.7</v>
      </c>
      <c r="J183">
        <f>IF(MONTH(calls[[#This Row],[Date of Call]])&lt;=6, YEAR(calls[[#This Row],[Date of Call]]), YEAR(calls[[#This Row],[Date of Call]])+1)</f>
        <v>2023</v>
      </c>
      <c r="K183" t="str">
        <f>TEXT(calls[[#This Row],[Date of Call]],"DDDD")</f>
        <v>Tuesday</v>
      </c>
      <c r="L183" t="str" cm="1">
        <f t="array" ref="L183">_xlfn.IFS(calls[[#This Row],[Duration]]&lt;=10,"under 10 mins",calls[[#This Row],[Duration]]&lt;=30,"10 to 30mins",calls[[#This Row],[Duration]]&lt;=60,"60 to 30mins",calls[[#This Row],[Duration]]&lt;=120,"1 to 2hrs",TRUE,"More than 2 hrs")</f>
        <v>1 to 2hrs</v>
      </c>
      <c r="M183">
        <f>ROUND(calls[[#This Row],[Satisfaction Rating]],0)</f>
        <v>5</v>
      </c>
      <c r="N183">
        <f>COUNTIF(calls[Customer ID], calls[[#This Row],[Customer ID]])</f>
        <v>74</v>
      </c>
      <c r="O183">
        <f>SUMIF(calls[Customer ID], calls[[#This Row],[Customer ID]], calls[Purchase Amount])</f>
        <v>6749</v>
      </c>
      <c r="P183">
        <f>calls[[#This Row],[call count]]/calls[[#This Row],[Purchase Amount]]</f>
        <v>1.5416666666666667</v>
      </c>
      <c r="Q183">
        <f>COUNTIF(calls[Customer ID],calls[[#This Row],[Customer ID]])</f>
        <v>74</v>
      </c>
      <c r="R183">
        <f>calls[[#This Row],[call count]]/calls[[#This Row],[Purchase Amount]]</f>
        <v>1.5416666666666667</v>
      </c>
    </row>
    <row r="184" spans="1:18" x14ac:dyDescent="0.4">
      <c r="A184" t="s">
        <v>214</v>
      </c>
      <c r="B184" t="s">
        <v>21</v>
      </c>
      <c r="C184">
        <v>69</v>
      </c>
      <c r="D184" s="4" t="s">
        <v>9</v>
      </c>
      <c r="E184" s="5">
        <v>44992</v>
      </c>
      <c r="F184">
        <v>132</v>
      </c>
      <c r="G184">
        <f>AVERAGEIF(calls[Representative], calls[[#This Row],[Representative]], calls[Satisfaction Rating])</f>
        <v>3.8706422018348627</v>
      </c>
      <c r="H184" t="str">
        <f>IF(AVERAGEIF(calls[Representative],calls[[#This Row],[Representative]],calls[Satisfaction Rating])&lt;3.5,"Needs Training","OK")</f>
        <v>OK</v>
      </c>
      <c r="I184">
        <v>4.5</v>
      </c>
      <c r="J184">
        <f>IF(MONTH(calls[[#This Row],[Date of Call]])&lt;=6, YEAR(calls[[#This Row],[Date of Call]]), YEAR(calls[[#This Row],[Date of Call]])+1)</f>
        <v>2023</v>
      </c>
      <c r="K184" t="str">
        <f>TEXT(calls[[#This Row],[Date of Call]],"DDDD")</f>
        <v>Tuesday</v>
      </c>
      <c r="L184" t="str" cm="1">
        <f t="array" ref="L184">_xlfn.IFS(calls[[#This Row],[Duration]]&lt;=10,"under 10 mins",calls[[#This Row],[Duration]]&lt;=30,"10 to 30mins",calls[[#This Row],[Duration]]&lt;=60,"60 to 30mins",calls[[#This Row],[Duration]]&lt;=120,"1 to 2hrs",TRUE,"More than 2 hrs")</f>
        <v>1 to 2hrs</v>
      </c>
      <c r="M184">
        <f>ROUND(calls[[#This Row],[Satisfaction Rating]],0)</f>
        <v>5</v>
      </c>
      <c r="N184">
        <f>COUNTIF(calls[Customer ID], calls[[#This Row],[Customer ID]])</f>
        <v>67</v>
      </c>
      <c r="O184">
        <f>SUMIF(calls[Customer ID], calls[[#This Row],[Customer ID]], calls[Purchase Amount])</f>
        <v>7216</v>
      </c>
      <c r="P184">
        <f>calls[[#This Row],[call count]]/calls[[#This Row],[Purchase Amount]]</f>
        <v>0.50757575757575757</v>
      </c>
      <c r="Q184">
        <f>COUNTIF(calls[Customer ID],calls[[#This Row],[Customer ID]])</f>
        <v>67</v>
      </c>
      <c r="R184">
        <f>calls[[#This Row],[call count]]/calls[[#This Row],[Purchase Amount]]</f>
        <v>0.50757575757575757</v>
      </c>
    </row>
    <row r="185" spans="1:18" x14ac:dyDescent="0.4">
      <c r="A185" t="s">
        <v>215</v>
      </c>
      <c r="B185" t="s">
        <v>32</v>
      </c>
      <c r="C185">
        <v>103</v>
      </c>
      <c r="D185" s="4" t="s">
        <v>2</v>
      </c>
      <c r="E185" s="5">
        <v>44992</v>
      </c>
      <c r="F185">
        <v>172</v>
      </c>
      <c r="G185">
        <f>AVERAGEIF(calls[Representative], calls[[#This Row],[Representative]], calls[Satisfaction Rating])</f>
        <v>3.8824999999999998</v>
      </c>
      <c r="H185" t="str">
        <f>IF(AVERAGEIF(calls[Representative],calls[[#This Row],[Representative]],calls[Satisfaction Rating])&lt;3.5,"Needs Training","OK")</f>
        <v>OK</v>
      </c>
      <c r="I185">
        <v>4.3</v>
      </c>
      <c r="J185">
        <f>IF(MONTH(calls[[#This Row],[Date of Call]])&lt;=6, YEAR(calls[[#This Row],[Date of Call]]), YEAR(calls[[#This Row],[Date of Call]])+1)</f>
        <v>2023</v>
      </c>
      <c r="K185" t="str">
        <f>TEXT(calls[[#This Row],[Date of Call]],"DDDD")</f>
        <v>Tuesday</v>
      </c>
      <c r="L185" t="str" cm="1">
        <f t="array" ref="L185">_xlfn.IFS(calls[[#This Row],[Duration]]&lt;=10,"under 10 mins",calls[[#This Row],[Duration]]&lt;=30,"10 to 30mins",calls[[#This Row],[Duration]]&lt;=60,"60 to 30mins",calls[[#This Row],[Duration]]&lt;=120,"1 to 2hrs",TRUE,"More than 2 hrs")</f>
        <v>1 to 2hrs</v>
      </c>
      <c r="M185">
        <f>ROUND(calls[[#This Row],[Satisfaction Rating]],0)</f>
        <v>4</v>
      </c>
      <c r="N185">
        <f>COUNTIF(calls[Customer ID], calls[[#This Row],[Customer ID]])</f>
        <v>63</v>
      </c>
      <c r="O185">
        <f>SUMIF(calls[Customer ID], calls[[#This Row],[Customer ID]], calls[Purchase Amount])</f>
        <v>5634</v>
      </c>
      <c r="P185">
        <f>calls[[#This Row],[call count]]/calls[[#This Row],[Purchase Amount]]</f>
        <v>0.36627906976744184</v>
      </c>
      <c r="Q185">
        <f>COUNTIF(calls[Customer ID],calls[[#This Row],[Customer ID]])</f>
        <v>63</v>
      </c>
      <c r="R185">
        <f>calls[[#This Row],[call count]]/calls[[#This Row],[Purchase Amount]]</f>
        <v>0.36627906976744184</v>
      </c>
    </row>
    <row r="186" spans="1:18" x14ac:dyDescent="0.4">
      <c r="A186" t="s">
        <v>216</v>
      </c>
      <c r="B186" t="s">
        <v>32</v>
      </c>
      <c r="C186">
        <v>75</v>
      </c>
      <c r="D186" s="4" t="s">
        <v>2</v>
      </c>
      <c r="E186" s="5">
        <v>44992</v>
      </c>
      <c r="F186">
        <v>111</v>
      </c>
      <c r="G186">
        <f>AVERAGEIF(calls[Representative], calls[[#This Row],[Representative]], calls[Satisfaction Rating])</f>
        <v>3.8824999999999998</v>
      </c>
      <c r="H186" t="str">
        <f>IF(AVERAGEIF(calls[Representative],calls[[#This Row],[Representative]],calls[Satisfaction Rating])&lt;3.5,"Needs Training","OK")</f>
        <v>OK</v>
      </c>
      <c r="I186">
        <v>3.4</v>
      </c>
      <c r="J186">
        <f>IF(MONTH(calls[[#This Row],[Date of Call]])&lt;=6, YEAR(calls[[#This Row],[Date of Call]]), YEAR(calls[[#This Row],[Date of Call]])+1)</f>
        <v>2023</v>
      </c>
      <c r="K186" t="str">
        <f>TEXT(calls[[#This Row],[Date of Call]],"DDDD")</f>
        <v>Tuesday</v>
      </c>
      <c r="L186" t="str" cm="1">
        <f t="array" ref="L186">_xlfn.IFS(calls[[#This Row],[Duration]]&lt;=10,"under 10 mins",calls[[#This Row],[Duration]]&lt;=30,"10 to 30mins",calls[[#This Row],[Duration]]&lt;=60,"60 to 30mins",calls[[#This Row],[Duration]]&lt;=120,"1 to 2hrs",TRUE,"More than 2 hrs")</f>
        <v>1 to 2hrs</v>
      </c>
      <c r="M186">
        <f>ROUND(calls[[#This Row],[Satisfaction Rating]],0)</f>
        <v>3</v>
      </c>
      <c r="N186">
        <f>COUNTIF(calls[Customer ID], calls[[#This Row],[Customer ID]])</f>
        <v>63</v>
      </c>
      <c r="O186">
        <f>SUMIF(calls[Customer ID], calls[[#This Row],[Customer ID]], calls[Purchase Amount])</f>
        <v>5634</v>
      </c>
      <c r="P186">
        <f>calls[[#This Row],[call count]]/calls[[#This Row],[Purchase Amount]]</f>
        <v>0.56756756756756754</v>
      </c>
      <c r="Q186">
        <f>COUNTIF(calls[Customer ID],calls[[#This Row],[Customer ID]])</f>
        <v>63</v>
      </c>
      <c r="R186">
        <f>calls[[#This Row],[call count]]/calls[[#This Row],[Purchase Amount]]</f>
        <v>0.56756756756756754</v>
      </c>
    </row>
    <row r="187" spans="1:18" x14ac:dyDescent="0.4">
      <c r="A187" t="s">
        <v>217</v>
      </c>
      <c r="B187" t="s">
        <v>30</v>
      </c>
      <c r="C187">
        <v>92</v>
      </c>
      <c r="D187" s="4" t="s">
        <v>2</v>
      </c>
      <c r="E187" s="5">
        <v>44992</v>
      </c>
      <c r="F187">
        <v>58</v>
      </c>
      <c r="G187">
        <f>AVERAGEIF(calls[Representative], calls[[#This Row],[Representative]], calls[Satisfaction Rating])</f>
        <v>3.8824999999999998</v>
      </c>
      <c r="H187" t="str">
        <f>IF(AVERAGEIF(calls[Representative],calls[[#This Row],[Representative]],calls[Satisfaction Rating])&lt;3.5,"Needs Training","OK")</f>
        <v>OK</v>
      </c>
      <c r="I187">
        <v>3.6</v>
      </c>
      <c r="J187">
        <f>IF(MONTH(calls[[#This Row],[Date of Call]])&lt;=6, YEAR(calls[[#This Row],[Date of Call]]), YEAR(calls[[#This Row],[Date of Call]])+1)</f>
        <v>2023</v>
      </c>
      <c r="K187" t="str">
        <f>TEXT(calls[[#This Row],[Date of Call]],"DDDD")</f>
        <v>Tuesday</v>
      </c>
      <c r="L187" t="str" cm="1">
        <f t="array" ref="L187">_xlfn.IFS(calls[[#This Row],[Duration]]&lt;=10,"under 10 mins",calls[[#This Row],[Duration]]&lt;=30,"10 to 30mins",calls[[#This Row],[Duration]]&lt;=60,"60 to 30mins",calls[[#This Row],[Duration]]&lt;=120,"1 to 2hrs",TRUE,"More than 2 hrs")</f>
        <v>1 to 2hrs</v>
      </c>
      <c r="M187">
        <f>ROUND(calls[[#This Row],[Satisfaction Rating]],0)</f>
        <v>4</v>
      </c>
      <c r="N187">
        <f>COUNTIF(calls[Customer ID], calls[[#This Row],[Customer ID]])</f>
        <v>69</v>
      </c>
      <c r="O187">
        <f>SUMIF(calls[Customer ID], calls[[#This Row],[Customer ID]], calls[Purchase Amount])</f>
        <v>7230</v>
      </c>
      <c r="P187">
        <f>calls[[#This Row],[call count]]/calls[[#This Row],[Purchase Amount]]</f>
        <v>1.1896551724137931</v>
      </c>
      <c r="Q187">
        <f>COUNTIF(calls[Customer ID],calls[[#This Row],[Customer ID]])</f>
        <v>69</v>
      </c>
      <c r="R187">
        <f>calls[[#This Row],[call count]]/calls[[#This Row],[Purchase Amount]]</f>
        <v>1.1896551724137931</v>
      </c>
    </row>
    <row r="188" spans="1:18" x14ac:dyDescent="0.4">
      <c r="A188" t="s">
        <v>218</v>
      </c>
      <c r="B188" t="s">
        <v>30</v>
      </c>
      <c r="C188">
        <v>41</v>
      </c>
      <c r="D188" s="4" t="s">
        <v>23</v>
      </c>
      <c r="E188" s="5">
        <v>44992</v>
      </c>
      <c r="F188">
        <v>68</v>
      </c>
      <c r="G188">
        <f>AVERAGEIF(calls[Representative], calls[[#This Row],[Representative]], calls[Satisfaction Rating])</f>
        <v>3.8973118279569863</v>
      </c>
      <c r="H188" t="str">
        <f>IF(AVERAGEIF(calls[Representative],calls[[#This Row],[Representative]],calls[Satisfaction Rating])&lt;3.5,"Needs Training","OK")</f>
        <v>OK</v>
      </c>
      <c r="I188">
        <v>4</v>
      </c>
      <c r="J188">
        <f>IF(MONTH(calls[[#This Row],[Date of Call]])&lt;=6, YEAR(calls[[#This Row],[Date of Call]]), YEAR(calls[[#This Row],[Date of Call]])+1)</f>
        <v>2023</v>
      </c>
      <c r="K188" t="str">
        <f>TEXT(calls[[#This Row],[Date of Call]],"DDDD")</f>
        <v>Tuesday</v>
      </c>
      <c r="L188" t="str" cm="1">
        <f t="array" ref="L188">_xlfn.IFS(calls[[#This Row],[Duration]]&lt;=10,"under 10 mins",calls[[#This Row],[Duration]]&lt;=30,"10 to 30mins",calls[[#This Row],[Duration]]&lt;=60,"60 to 30mins",calls[[#This Row],[Duration]]&lt;=120,"1 to 2hrs",TRUE,"More than 2 hrs")</f>
        <v>60 to 30mins</v>
      </c>
      <c r="M188">
        <f>ROUND(calls[[#This Row],[Satisfaction Rating]],0)</f>
        <v>4</v>
      </c>
      <c r="N188">
        <f>COUNTIF(calls[Customer ID], calls[[#This Row],[Customer ID]])</f>
        <v>69</v>
      </c>
      <c r="O188">
        <f>SUMIF(calls[Customer ID], calls[[#This Row],[Customer ID]], calls[Purchase Amount])</f>
        <v>7230</v>
      </c>
      <c r="P188">
        <f>calls[[#This Row],[call count]]/calls[[#This Row],[Purchase Amount]]</f>
        <v>1.0147058823529411</v>
      </c>
      <c r="Q188">
        <f>COUNTIF(calls[Customer ID],calls[[#This Row],[Customer ID]])</f>
        <v>69</v>
      </c>
      <c r="R188">
        <f>calls[[#This Row],[call count]]/calls[[#This Row],[Purchase Amount]]</f>
        <v>1.0147058823529411</v>
      </c>
    </row>
    <row r="189" spans="1:18" x14ac:dyDescent="0.4">
      <c r="A189" t="s">
        <v>219</v>
      </c>
      <c r="B189" t="s">
        <v>32</v>
      </c>
      <c r="C189">
        <v>134</v>
      </c>
      <c r="D189" s="4" t="s">
        <v>14</v>
      </c>
      <c r="E189" s="5">
        <v>44992</v>
      </c>
      <c r="F189">
        <v>160</v>
      </c>
      <c r="G189">
        <f>AVERAGEIF(calls[Representative], calls[[#This Row],[Representative]], calls[Satisfaction Rating])</f>
        <v>3.9227513227513247</v>
      </c>
      <c r="H189" t="str">
        <f>IF(AVERAGEIF(calls[Representative],calls[[#This Row],[Representative]],calls[Satisfaction Rating])&lt;3.5,"Needs Training","OK")</f>
        <v>OK</v>
      </c>
      <c r="I189">
        <v>4.5</v>
      </c>
      <c r="J189">
        <f>IF(MONTH(calls[[#This Row],[Date of Call]])&lt;=6, YEAR(calls[[#This Row],[Date of Call]]), YEAR(calls[[#This Row],[Date of Call]])+1)</f>
        <v>2023</v>
      </c>
      <c r="K189" t="str">
        <f>TEXT(calls[[#This Row],[Date of Call]],"DDDD")</f>
        <v>Tuesday</v>
      </c>
      <c r="L189" t="str" cm="1">
        <f t="array" ref="L189">_xlfn.IFS(calls[[#This Row],[Duration]]&lt;=10,"under 10 mins",calls[[#This Row],[Duration]]&lt;=30,"10 to 30mins",calls[[#This Row],[Duration]]&lt;=60,"60 to 30mins",calls[[#This Row],[Duration]]&lt;=120,"1 to 2hrs",TRUE,"More than 2 hrs")</f>
        <v>More than 2 hrs</v>
      </c>
      <c r="M189">
        <f>ROUND(calls[[#This Row],[Satisfaction Rating]],0)</f>
        <v>5</v>
      </c>
      <c r="N189">
        <f>COUNTIF(calls[Customer ID], calls[[#This Row],[Customer ID]])</f>
        <v>63</v>
      </c>
      <c r="O189">
        <f>SUMIF(calls[Customer ID], calls[[#This Row],[Customer ID]], calls[Purchase Amount])</f>
        <v>5634</v>
      </c>
      <c r="P189">
        <f>calls[[#This Row],[call count]]/calls[[#This Row],[Purchase Amount]]</f>
        <v>0.39374999999999999</v>
      </c>
      <c r="Q189">
        <f>COUNTIF(calls[Customer ID],calls[[#This Row],[Customer ID]])</f>
        <v>63</v>
      </c>
      <c r="R189">
        <f>calls[[#This Row],[call count]]/calls[[#This Row],[Purchase Amount]]</f>
        <v>0.39374999999999999</v>
      </c>
    </row>
    <row r="190" spans="1:18" x14ac:dyDescent="0.4">
      <c r="A190" t="s">
        <v>220</v>
      </c>
      <c r="B190" t="s">
        <v>64</v>
      </c>
      <c r="C190">
        <v>80</v>
      </c>
      <c r="D190" s="4" t="s">
        <v>27</v>
      </c>
      <c r="E190" s="5">
        <v>44992</v>
      </c>
      <c r="F190">
        <v>45</v>
      </c>
      <c r="G190">
        <f>AVERAGEIF(calls[Representative], calls[[#This Row],[Representative]], calls[Satisfaction Rating])</f>
        <v>3.8589371980676304</v>
      </c>
      <c r="H190" t="str">
        <f>IF(AVERAGEIF(calls[Representative],calls[[#This Row],[Representative]],calls[Satisfaction Rating])&lt;3.5,"Needs Training","OK")</f>
        <v>OK</v>
      </c>
      <c r="I190">
        <v>3</v>
      </c>
      <c r="J190">
        <f>IF(MONTH(calls[[#This Row],[Date of Call]])&lt;=6, YEAR(calls[[#This Row],[Date of Call]]), YEAR(calls[[#This Row],[Date of Call]])+1)</f>
        <v>2023</v>
      </c>
      <c r="K190" t="str">
        <f>TEXT(calls[[#This Row],[Date of Call]],"DDDD")</f>
        <v>Tuesday</v>
      </c>
      <c r="L190" t="str" cm="1">
        <f t="array" ref="L190">_xlfn.IFS(calls[[#This Row],[Duration]]&lt;=10,"under 10 mins",calls[[#This Row],[Duration]]&lt;=30,"10 to 30mins",calls[[#This Row],[Duration]]&lt;=60,"60 to 30mins",calls[[#This Row],[Duration]]&lt;=120,"1 to 2hrs",TRUE,"More than 2 hrs")</f>
        <v>1 to 2hrs</v>
      </c>
      <c r="M190">
        <f>ROUND(calls[[#This Row],[Satisfaction Rating]],0)</f>
        <v>3</v>
      </c>
      <c r="N190">
        <f>COUNTIF(calls[Customer ID], calls[[#This Row],[Customer ID]])</f>
        <v>65</v>
      </c>
      <c r="O190">
        <f>SUMIF(calls[Customer ID], calls[[#This Row],[Customer ID]], calls[Purchase Amount])</f>
        <v>6785</v>
      </c>
      <c r="P190">
        <f>calls[[#This Row],[call count]]/calls[[#This Row],[Purchase Amount]]</f>
        <v>1.4444444444444444</v>
      </c>
      <c r="Q190">
        <f>COUNTIF(calls[Customer ID],calls[[#This Row],[Customer ID]])</f>
        <v>65</v>
      </c>
      <c r="R190">
        <f>calls[[#This Row],[call count]]/calls[[#This Row],[Purchase Amount]]</f>
        <v>1.4444444444444444</v>
      </c>
    </row>
    <row r="191" spans="1:18" x14ac:dyDescent="0.4">
      <c r="A191" t="s">
        <v>221</v>
      </c>
      <c r="B191" t="s">
        <v>84</v>
      </c>
      <c r="C191">
        <v>103</v>
      </c>
      <c r="D191" s="4" t="s">
        <v>9</v>
      </c>
      <c r="E191" s="5">
        <v>44993</v>
      </c>
      <c r="F191">
        <v>117</v>
      </c>
      <c r="G191">
        <f>AVERAGEIF(calls[Representative], calls[[#This Row],[Representative]], calls[Satisfaction Rating])</f>
        <v>3.8706422018348627</v>
      </c>
      <c r="H191" t="str">
        <f>IF(AVERAGEIF(calls[Representative],calls[[#This Row],[Representative]],calls[Satisfaction Rating])&lt;3.5,"Needs Training","OK")</f>
        <v>OK</v>
      </c>
      <c r="I191">
        <v>3</v>
      </c>
      <c r="J191">
        <f>IF(MONTH(calls[[#This Row],[Date of Call]])&lt;=6, YEAR(calls[[#This Row],[Date of Call]]), YEAR(calls[[#This Row],[Date of Call]])+1)</f>
        <v>2023</v>
      </c>
      <c r="K191" t="str">
        <f>TEXT(calls[[#This Row],[Date of Call]],"DDDD")</f>
        <v>Wednesday</v>
      </c>
      <c r="L191" t="str" cm="1">
        <f t="array" ref="L191">_xlfn.IFS(calls[[#This Row],[Duration]]&lt;=10,"under 10 mins",calls[[#This Row],[Duration]]&lt;=30,"10 to 30mins",calls[[#This Row],[Duration]]&lt;=60,"60 to 30mins",calls[[#This Row],[Duration]]&lt;=120,"1 to 2hrs",TRUE,"More than 2 hrs")</f>
        <v>1 to 2hrs</v>
      </c>
      <c r="M191">
        <f>ROUND(calls[[#This Row],[Satisfaction Rating]],0)</f>
        <v>3</v>
      </c>
      <c r="N191">
        <f>COUNTIF(calls[Customer ID], calls[[#This Row],[Customer ID]])</f>
        <v>59</v>
      </c>
      <c r="O191">
        <f>SUMIF(calls[Customer ID], calls[[#This Row],[Customer ID]], calls[Purchase Amount])</f>
        <v>5009</v>
      </c>
      <c r="P191">
        <f>calls[[#This Row],[call count]]/calls[[#This Row],[Purchase Amount]]</f>
        <v>0.50427350427350426</v>
      </c>
      <c r="Q191">
        <f>COUNTIF(calls[Customer ID],calls[[#This Row],[Customer ID]])</f>
        <v>59</v>
      </c>
      <c r="R191">
        <f>calls[[#This Row],[call count]]/calls[[#This Row],[Purchase Amount]]</f>
        <v>0.50427350427350426</v>
      </c>
    </row>
    <row r="192" spans="1:18" x14ac:dyDescent="0.4">
      <c r="A192" t="s">
        <v>222</v>
      </c>
      <c r="B192" t="s">
        <v>44</v>
      </c>
      <c r="C192">
        <v>20</v>
      </c>
      <c r="D192" s="4" t="s">
        <v>2</v>
      </c>
      <c r="E192" s="5">
        <v>44994</v>
      </c>
      <c r="F192">
        <v>22</v>
      </c>
      <c r="G192">
        <f>AVERAGEIF(calls[Representative], calls[[#This Row],[Representative]], calls[Satisfaction Rating])</f>
        <v>3.8824999999999998</v>
      </c>
      <c r="H192" t="str">
        <f>IF(AVERAGEIF(calls[Representative],calls[[#This Row],[Representative]],calls[Satisfaction Rating])&lt;3.5,"Needs Training","OK")</f>
        <v>OK</v>
      </c>
      <c r="I192">
        <v>1.6</v>
      </c>
      <c r="J192">
        <f>IF(MONTH(calls[[#This Row],[Date of Call]])&lt;=6, YEAR(calls[[#This Row],[Date of Call]]), YEAR(calls[[#This Row],[Date of Call]])+1)</f>
        <v>2023</v>
      </c>
      <c r="K192" t="str">
        <f>TEXT(calls[[#This Row],[Date of Call]],"DDDD")</f>
        <v>Thursday</v>
      </c>
      <c r="L192" t="str" cm="1">
        <f t="array" ref="L192">_xlfn.IFS(calls[[#This Row],[Duration]]&lt;=10,"under 10 mins",calls[[#This Row],[Duration]]&lt;=30,"10 to 30mins",calls[[#This Row],[Duration]]&lt;=60,"60 to 30mins",calls[[#This Row],[Duration]]&lt;=120,"1 to 2hrs",TRUE,"More than 2 hrs")</f>
        <v>10 to 30mins</v>
      </c>
      <c r="M192">
        <f>ROUND(calls[[#This Row],[Satisfaction Rating]],0)</f>
        <v>2</v>
      </c>
      <c r="N192">
        <f>COUNTIF(calls[Customer ID], calls[[#This Row],[Customer ID]])</f>
        <v>62</v>
      </c>
      <c r="O192">
        <f>SUMIF(calls[Customer ID], calls[[#This Row],[Customer ID]], calls[Purchase Amount])</f>
        <v>6176</v>
      </c>
      <c r="P192">
        <f>calls[[#This Row],[call count]]/calls[[#This Row],[Purchase Amount]]</f>
        <v>2.8181818181818183</v>
      </c>
      <c r="Q192">
        <f>COUNTIF(calls[Customer ID],calls[[#This Row],[Customer ID]])</f>
        <v>62</v>
      </c>
      <c r="R192">
        <f>calls[[#This Row],[call count]]/calls[[#This Row],[Purchase Amount]]</f>
        <v>2.8181818181818183</v>
      </c>
    </row>
    <row r="193" spans="1:18" x14ac:dyDescent="0.4">
      <c r="A193" t="s">
        <v>223</v>
      </c>
      <c r="B193" t="s">
        <v>84</v>
      </c>
      <c r="C193">
        <v>75</v>
      </c>
      <c r="D193" s="4" t="s">
        <v>27</v>
      </c>
      <c r="E193" s="5">
        <v>44994</v>
      </c>
      <c r="F193">
        <v>195</v>
      </c>
      <c r="G193">
        <f>AVERAGEIF(calls[Representative], calls[[#This Row],[Representative]], calls[Satisfaction Rating])</f>
        <v>3.8589371980676304</v>
      </c>
      <c r="H193" t="str">
        <f>IF(AVERAGEIF(calls[Representative],calls[[#This Row],[Representative]],calls[Satisfaction Rating])&lt;3.5,"Needs Training","OK")</f>
        <v>OK</v>
      </c>
      <c r="I193">
        <v>3</v>
      </c>
      <c r="J193">
        <f>IF(MONTH(calls[[#This Row],[Date of Call]])&lt;=6, YEAR(calls[[#This Row],[Date of Call]]), YEAR(calls[[#This Row],[Date of Call]])+1)</f>
        <v>2023</v>
      </c>
      <c r="K193" t="str">
        <f>TEXT(calls[[#This Row],[Date of Call]],"DDDD")</f>
        <v>Thursday</v>
      </c>
      <c r="L193" t="str" cm="1">
        <f t="array" ref="L193">_xlfn.IFS(calls[[#This Row],[Duration]]&lt;=10,"under 10 mins",calls[[#This Row],[Duration]]&lt;=30,"10 to 30mins",calls[[#This Row],[Duration]]&lt;=60,"60 to 30mins",calls[[#This Row],[Duration]]&lt;=120,"1 to 2hrs",TRUE,"More than 2 hrs")</f>
        <v>1 to 2hrs</v>
      </c>
      <c r="M193">
        <f>ROUND(calls[[#This Row],[Satisfaction Rating]],0)</f>
        <v>3</v>
      </c>
      <c r="N193">
        <f>COUNTIF(calls[Customer ID], calls[[#This Row],[Customer ID]])</f>
        <v>59</v>
      </c>
      <c r="O193">
        <f>SUMIF(calls[Customer ID], calls[[#This Row],[Customer ID]], calls[Purchase Amount])</f>
        <v>5009</v>
      </c>
      <c r="P193">
        <f>calls[[#This Row],[call count]]/calls[[#This Row],[Purchase Amount]]</f>
        <v>0.30256410256410254</v>
      </c>
      <c r="Q193">
        <f>COUNTIF(calls[Customer ID],calls[[#This Row],[Customer ID]])</f>
        <v>59</v>
      </c>
      <c r="R193">
        <f>calls[[#This Row],[call count]]/calls[[#This Row],[Purchase Amount]]</f>
        <v>0.30256410256410254</v>
      </c>
    </row>
    <row r="194" spans="1:18" x14ac:dyDescent="0.4">
      <c r="A194" t="s">
        <v>224</v>
      </c>
      <c r="B194" t="s">
        <v>30</v>
      </c>
      <c r="C194">
        <v>80</v>
      </c>
      <c r="D194" s="4" t="s">
        <v>14</v>
      </c>
      <c r="E194" s="5">
        <v>44994</v>
      </c>
      <c r="F194">
        <v>168</v>
      </c>
      <c r="G194">
        <f>AVERAGEIF(calls[Representative], calls[[#This Row],[Representative]], calls[Satisfaction Rating])</f>
        <v>3.9227513227513247</v>
      </c>
      <c r="H194" t="str">
        <f>IF(AVERAGEIF(calls[Representative],calls[[#This Row],[Representative]],calls[Satisfaction Rating])&lt;3.5,"Needs Training","OK")</f>
        <v>OK</v>
      </c>
      <c r="I194">
        <v>3.7</v>
      </c>
      <c r="J194">
        <f>IF(MONTH(calls[[#This Row],[Date of Call]])&lt;=6, YEAR(calls[[#This Row],[Date of Call]]), YEAR(calls[[#This Row],[Date of Call]])+1)</f>
        <v>2023</v>
      </c>
      <c r="K194" t="str">
        <f>TEXT(calls[[#This Row],[Date of Call]],"DDDD")</f>
        <v>Thursday</v>
      </c>
      <c r="L194" t="str" cm="1">
        <f t="array" ref="L194">_xlfn.IFS(calls[[#This Row],[Duration]]&lt;=10,"under 10 mins",calls[[#This Row],[Duration]]&lt;=30,"10 to 30mins",calls[[#This Row],[Duration]]&lt;=60,"60 to 30mins",calls[[#This Row],[Duration]]&lt;=120,"1 to 2hrs",TRUE,"More than 2 hrs")</f>
        <v>1 to 2hrs</v>
      </c>
      <c r="M194">
        <f>ROUND(calls[[#This Row],[Satisfaction Rating]],0)</f>
        <v>4</v>
      </c>
      <c r="N194">
        <f>COUNTIF(calls[Customer ID], calls[[#This Row],[Customer ID]])</f>
        <v>69</v>
      </c>
      <c r="O194">
        <f>SUMIF(calls[Customer ID], calls[[#This Row],[Customer ID]], calls[Purchase Amount])</f>
        <v>7230</v>
      </c>
      <c r="P194">
        <f>calls[[#This Row],[call count]]/calls[[#This Row],[Purchase Amount]]</f>
        <v>0.4107142857142857</v>
      </c>
      <c r="Q194">
        <f>COUNTIF(calls[Customer ID],calls[[#This Row],[Customer ID]])</f>
        <v>69</v>
      </c>
      <c r="R194">
        <f>calls[[#This Row],[call count]]/calls[[#This Row],[Purchase Amount]]</f>
        <v>0.4107142857142857</v>
      </c>
    </row>
    <row r="195" spans="1:18" x14ac:dyDescent="0.4">
      <c r="A195" t="s">
        <v>225</v>
      </c>
      <c r="B195" t="s">
        <v>21</v>
      </c>
      <c r="C195">
        <v>85</v>
      </c>
      <c r="D195" s="4" t="s">
        <v>23</v>
      </c>
      <c r="E195" s="5">
        <v>44995</v>
      </c>
      <c r="F195">
        <v>46</v>
      </c>
      <c r="G195">
        <f>AVERAGEIF(calls[Representative], calls[[#This Row],[Representative]], calls[Satisfaction Rating])</f>
        <v>3.8973118279569863</v>
      </c>
      <c r="H195" t="str">
        <f>IF(AVERAGEIF(calls[Representative],calls[[#This Row],[Representative]],calls[Satisfaction Rating])&lt;3.5,"Needs Training","OK")</f>
        <v>OK</v>
      </c>
      <c r="I195">
        <v>4.9000000000000004</v>
      </c>
      <c r="J195">
        <f>IF(MONTH(calls[[#This Row],[Date of Call]])&lt;=6, YEAR(calls[[#This Row],[Date of Call]]), YEAR(calls[[#This Row],[Date of Call]])+1)</f>
        <v>2023</v>
      </c>
      <c r="K195" t="str">
        <f>TEXT(calls[[#This Row],[Date of Call]],"DDDD")</f>
        <v>Friday</v>
      </c>
      <c r="L195" t="str" cm="1">
        <f t="array" ref="L195">_xlfn.IFS(calls[[#This Row],[Duration]]&lt;=10,"under 10 mins",calls[[#This Row],[Duration]]&lt;=30,"10 to 30mins",calls[[#This Row],[Duration]]&lt;=60,"60 to 30mins",calls[[#This Row],[Duration]]&lt;=120,"1 to 2hrs",TRUE,"More than 2 hrs")</f>
        <v>1 to 2hrs</v>
      </c>
      <c r="M195">
        <f>ROUND(calls[[#This Row],[Satisfaction Rating]],0)</f>
        <v>5</v>
      </c>
      <c r="N195">
        <f>COUNTIF(calls[Customer ID], calls[[#This Row],[Customer ID]])</f>
        <v>67</v>
      </c>
      <c r="O195">
        <f>SUMIF(calls[Customer ID], calls[[#This Row],[Customer ID]], calls[Purchase Amount])</f>
        <v>7216</v>
      </c>
      <c r="P195">
        <f>calls[[#This Row],[call count]]/calls[[#This Row],[Purchase Amount]]</f>
        <v>1.4565217391304348</v>
      </c>
      <c r="Q195">
        <f>COUNTIF(calls[Customer ID],calls[[#This Row],[Customer ID]])</f>
        <v>67</v>
      </c>
      <c r="R195">
        <f>calls[[#This Row],[call count]]/calls[[#This Row],[Purchase Amount]]</f>
        <v>1.4565217391304348</v>
      </c>
    </row>
    <row r="196" spans="1:18" x14ac:dyDescent="0.4">
      <c r="A196" t="s">
        <v>226</v>
      </c>
      <c r="B196" t="s">
        <v>6</v>
      </c>
      <c r="C196">
        <v>155</v>
      </c>
      <c r="D196" s="4" t="s">
        <v>2</v>
      </c>
      <c r="E196" s="5">
        <v>44995</v>
      </c>
      <c r="F196">
        <v>164</v>
      </c>
      <c r="G196">
        <f>AVERAGEIF(calls[Representative], calls[[#This Row],[Representative]], calls[Satisfaction Rating])</f>
        <v>3.8824999999999998</v>
      </c>
      <c r="H196" t="str">
        <f>IF(AVERAGEIF(calls[Representative],calls[[#This Row],[Representative]],calls[Satisfaction Rating])&lt;3.5,"Needs Training","OK")</f>
        <v>OK</v>
      </c>
      <c r="I196">
        <v>3.4</v>
      </c>
      <c r="J196">
        <f>IF(MONTH(calls[[#This Row],[Date of Call]])&lt;=6, YEAR(calls[[#This Row],[Date of Call]]), YEAR(calls[[#This Row],[Date of Call]])+1)</f>
        <v>2023</v>
      </c>
      <c r="K196" t="str">
        <f>TEXT(calls[[#This Row],[Date of Call]],"DDDD")</f>
        <v>Friday</v>
      </c>
      <c r="L196" t="str" cm="1">
        <f t="array" ref="L196">_xlfn.IFS(calls[[#This Row],[Duration]]&lt;=10,"under 10 mins",calls[[#This Row],[Duration]]&lt;=30,"10 to 30mins",calls[[#This Row],[Duration]]&lt;=60,"60 to 30mins",calls[[#This Row],[Duration]]&lt;=120,"1 to 2hrs",TRUE,"More than 2 hrs")</f>
        <v>More than 2 hrs</v>
      </c>
      <c r="M196">
        <f>ROUND(calls[[#This Row],[Satisfaction Rating]],0)</f>
        <v>3</v>
      </c>
      <c r="N196">
        <f>COUNTIF(calls[Customer ID], calls[[#This Row],[Customer ID]])</f>
        <v>82</v>
      </c>
      <c r="O196">
        <f>SUMIF(calls[Customer ID], calls[[#This Row],[Customer ID]], calls[Purchase Amount])</f>
        <v>7689</v>
      </c>
      <c r="P196">
        <f>calls[[#This Row],[call count]]/calls[[#This Row],[Purchase Amount]]</f>
        <v>0.5</v>
      </c>
      <c r="Q196">
        <f>COUNTIF(calls[Customer ID],calls[[#This Row],[Customer ID]])</f>
        <v>82</v>
      </c>
      <c r="R196">
        <f>calls[[#This Row],[call count]]/calls[[#This Row],[Purchase Amount]]</f>
        <v>0.5</v>
      </c>
    </row>
    <row r="197" spans="1:18" x14ac:dyDescent="0.4">
      <c r="A197" t="s">
        <v>227</v>
      </c>
      <c r="B197" t="s">
        <v>21</v>
      </c>
      <c r="C197">
        <v>63</v>
      </c>
      <c r="D197" s="4" t="s">
        <v>23</v>
      </c>
      <c r="E197" s="5">
        <v>44995</v>
      </c>
      <c r="F197">
        <v>48</v>
      </c>
      <c r="G197">
        <f>AVERAGEIF(calls[Representative], calls[[#This Row],[Representative]], calls[Satisfaction Rating])</f>
        <v>3.8973118279569863</v>
      </c>
      <c r="H197" t="str">
        <f>IF(AVERAGEIF(calls[Representative],calls[[#This Row],[Representative]],calls[Satisfaction Rating])&lt;3.5,"Needs Training","OK")</f>
        <v>OK</v>
      </c>
      <c r="I197">
        <v>5</v>
      </c>
      <c r="J197">
        <f>IF(MONTH(calls[[#This Row],[Date of Call]])&lt;=6, YEAR(calls[[#This Row],[Date of Call]]), YEAR(calls[[#This Row],[Date of Call]])+1)</f>
        <v>2023</v>
      </c>
      <c r="K197" t="str">
        <f>TEXT(calls[[#This Row],[Date of Call]],"DDDD")</f>
        <v>Friday</v>
      </c>
      <c r="L197" t="str" cm="1">
        <f t="array" ref="L197">_xlfn.IFS(calls[[#This Row],[Duration]]&lt;=10,"under 10 mins",calls[[#This Row],[Duration]]&lt;=30,"10 to 30mins",calls[[#This Row],[Duration]]&lt;=60,"60 to 30mins",calls[[#This Row],[Duration]]&lt;=120,"1 to 2hrs",TRUE,"More than 2 hrs")</f>
        <v>1 to 2hrs</v>
      </c>
      <c r="M197">
        <f>ROUND(calls[[#This Row],[Satisfaction Rating]],0)</f>
        <v>5</v>
      </c>
      <c r="N197">
        <f>COUNTIF(calls[Customer ID], calls[[#This Row],[Customer ID]])</f>
        <v>67</v>
      </c>
      <c r="O197">
        <f>SUMIF(calls[Customer ID], calls[[#This Row],[Customer ID]], calls[Purchase Amount])</f>
        <v>7216</v>
      </c>
      <c r="P197">
        <f>calls[[#This Row],[call count]]/calls[[#This Row],[Purchase Amount]]</f>
        <v>1.3958333333333333</v>
      </c>
      <c r="Q197">
        <f>COUNTIF(calls[Customer ID],calls[[#This Row],[Customer ID]])</f>
        <v>67</v>
      </c>
      <c r="R197">
        <f>calls[[#This Row],[call count]]/calls[[#This Row],[Purchase Amount]]</f>
        <v>1.3958333333333333</v>
      </c>
    </row>
    <row r="198" spans="1:18" x14ac:dyDescent="0.4">
      <c r="A198" t="s">
        <v>228</v>
      </c>
      <c r="B198" t="s">
        <v>8</v>
      </c>
      <c r="C198">
        <v>105</v>
      </c>
      <c r="D198" s="4" t="s">
        <v>9</v>
      </c>
      <c r="E198" s="5">
        <v>44995</v>
      </c>
      <c r="F198">
        <v>96</v>
      </c>
      <c r="G198">
        <f>AVERAGEIF(calls[Representative], calls[[#This Row],[Representative]], calls[Satisfaction Rating])</f>
        <v>3.8706422018348627</v>
      </c>
      <c r="H198" t="str">
        <f>IF(AVERAGEIF(calls[Representative],calls[[#This Row],[Representative]],calls[Satisfaction Rating])&lt;3.5,"Needs Training","OK")</f>
        <v>OK</v>
      </c>
      <c r="I198">
        <v>5</v>
      </c>
      <c r="J198">
        <f>IF(MONTH(calls[[#This Row],[Date of Call]])&lt;=6, YEAR(calls[[#This Row],[Date of Call]]), YEAR(calls[[#This Row],[Date of Call]])+1)</f>
        <v>2023</v>
      </c>
      <c r="K198" t="str">
        <f>TEXT(calls[[#This Row],[Date of Call]],"DDDD")</f>
        <v>Friday</v>
      </c>
      <c r="L198" t="str" cm="1">
        <f t="array" ref="L198">_xlfn.IFS(calls[[#This Row],[Duration]]&lt;=10,"under 10 mins",calls[[#This Row],[Duration]]&lt;=30,"10 to 30mins",calls[[#This Row],[Duration]]&lt;=60,"60 to 30mins",calls[[#This Row],[Duration]]&lt;=120,"1 to 2hrs",TRUE,"More than 2 hrs")</f>
        <v>1 to 2hrs</v>
      </c>
      <c r="M198">
        <f>ROUND(calls[[#This Row],[Satisfaction Rating]],0)</f>
        <v>5</v>
      </c>
      <c r="N198">
        <f>COUNTIF(calls[Customer ID], calls[[#This Row],[Customer ID]])</f>
        <v>79</v>
      </c>
      <c r="O198">
        <f>SUMIF(calls[Customer ID], calls[[#This Row],[Customer ID]], calls[Purchase Amount])</f>
        <v>7747</v>
      </c>
      <c r="P198">
        <f>calls[[#This Row],[call count]]/calls[[#This Row],[Purchase Amount]]</f>
        <v>0.82291666666666663</v>
      </c>
      <c r="Q198">
        <f>COUNTIF(calls[Customer ID],calls[[#This Row],[Customer ID]])</f>
        <v>79</v>
      </c>
      <c r="R198">
        <f>calls[[#This Row],[call count]]/calls[[#This Row],[Purchase Amount]]</f>
        <v>0.82291666666666663</v>
      </c>
    </row>
    <row r="199" spans="1:18" x14ac:dyDescent="0.4">
      <c r="A199" t="s">
        <v>229</v>
      </c>
      <c r="B199" t="s">
        <v>21</v>
      </c>
      <c r="C199">
        <v>71</v>
      </c>
      <c r="D199" s="4" t="s">
        <v>23</v>
      </c>
      <c r="E199" s="5">
        <v>44995</v>
      </c>
      <c r="F199">
        <v>105</v>
      </c>
      <c r="G199">
        <f>AVERAGEIF(calls[Representative], calls[[#This Row],[Representative]], calls[Satisfaction Rating])</f>
        <v>3.8973118279569863</v>
      </c>
      <c r="H199" t="str">
        <f>IF(AVERAGEIF(calls[Representative],calls[[#This Row],[Representative]],calls[Satisfaction Rating])&lt;3.5,"Needs Training","OK")</f>
        <v>OK</v>
      </c>
      <c r="I199">
        <v>4</v>
      </c>
      <c r="J199">
        <f>IF(MONTH(calls[[#This Row],[Date of Call]])&lt;=6, YEAR(calls[[#This Row],[Date of Call]]), YEAR(calls[[#This Row],[Date of Call]])+1)</f>
        <v>2023</v>
      </c>
      <c r="K199" t="str">
        <f>TEXT(calls[[#This Row],[Date of Call]],"DDDD")</f>
        <v>Friday</v>
      </c>
      <c r="L199" t="str" cm="1">
        <f t="array" ref="L199">_xlfn.IFS(calls[[#This Row],[Duration]]&lt;=10,"under 10 mins",calls[[#This Row],[Duration]]&lt;=30,"10 to 30mins",calls[[#This Row],[Duration]]&lt;=60,"60 to 30mins",calls[[#This Row],[Duration]]&lt;=120,"1 to 2hrs",TRUE,"More than 2 hrs")</f>
        <v>1 to 2hrs</v>
      </c>
      <c r="M199">
        <f>ROUND(calls[[#This Row],[Satisfaction Rating]],0)</f>
        <v>4</v>
      </c>
      <c r="N199">
        <f>COUNTIF(calls[Customer ID], calls[[#This Row],[Customer ID]])</f>
        <v>67</v>
      </c>
      <c r="O199">
        <f>SUMIF(calls[Customer ID], calls[[#This Row],[Customer ID]], calls[Purchase Amount])</f>
        <v>7216</v>
      </c>
      <c r="P199">
        <f>calls[[#This Row],[call count]]/calls[[#This Row],[Purchase Amount]]</f>
        <v>0.63809523809523805</v>
      </c>
      <c r="Q199">
        <f>COUNTIF(calls[Customer ID],calls[[#This Row],[Customer ID]])</f>
        <v>67</v>
      </c>
      <c r="R199">
        <f>calls[[#This Row],[call count]]/calls[[#This Row],[Purchase Amount]]</f>
        <v>0.63809523809523805</v>
      </c>
    </row>
    <row r="200" spans="1:18" x14ac:dyDescent="0.4">
      <c r="A200" t="s">
        <v>230</v>
      </c>
      <c r="B200" t="s">
        <v>6</v>
      </c>
      <c r="C200">
        <v>100</v>
      </c>
      <c r="D200" s="4" t="s">
        <v>23</v>
      </c>
      <c r="E200" s="5">
        <v>44996</v>
      </c>
      <c r="F200">
        <v>44</v>
      </c>
      <c r="G200">
        <f>AVERAGEIF(calls[Representative], calls[[#This Row],[Representative]], calls[Satisfaction Rating])</f>
        <v>3.8973118279569863</v>
      </c>
      <c r="H200" t="str">
        <f>IF(AVERAGEIF(calls[Representative],calls[[#This Row],[Representative]],calls[Satisfaction Rating])&lt;3.5,"Needs Training","OK")</f>
        <v>OK</v>
      </c>
      <c r="I200">
        <v>3.6</v>
      </c>
      <c r="J200">
        <f>IF(MONTH(calls[[#This Row],[Date of Call]])&lt;=6, YEAR(calls[[#This Row],[Date of Call]]), YEAR(calls[[#This Row],[Date of Call]])+1)</f>
        <v>2023</v>
      </c>
      <c r="K200" t="str">
        <f>TEXT(calls[[#This Row],[Date of Call]],"DDDD")</f>
        <v>Saturday</v>
      </c>
      <c r="L200" t="str" cm="1">
        <f t="array" ref="L200">_xlfn.IFS(calls[[#This Row],[Duration]]&lt;=10,"under 10 mins",calls[[#This Row],[Duration]]&lt;=30,"10 to 30mins",calls[[#This Row],[Duration]]&lt;=60,"60 to 30mins",calls[[#This Row],[Duration]]&lt;=120,"1 to 2hrs",TRUE,"More than 2 hrs")</f>
        <v>1 to 2hrs</v>
      </c>
      <c r="M200">
        <f>ROUND(calls[[#This Row],[Satisfaction Rating]],0)</f>
        <v>4</v>
      </c>
      <c r="N200">
        <f>COUNTIF(calls[Customer ID], calls[[#This Row],[Customer ID]])</f>
        <v>82</v>
      </c>
      <c r="O200">
        <f>SUMIF(calls[Customer ID], calls[[#This Row],[Customer ID]], calls[Purchase Amount])</f>
        <v>7689</v>
      </c>
      <c r="P200">
        <f>calls[[#This Row],[call count]]/calls[[#This Row],[Purchase Amount]]</f>
        <v>1.8636363636363635</v>
      </c>
      <c r="Q200">
        <f>COUNTIF(calls[Customer ID],calls[[#This Row],[Customer ID]])</f>
        <v>82</v>
      </c>
      <c r="R200">
        <f>calls[[#This Row],[call count]]/calls[[#This Row],[Purchase Amount]]</f>
        <v>1.8636363636363635</v>
      </c>
    </row>
    <row r="201" spans="1:18" x14ac:dyDescent="0.4">
      <c r="A201" t="s">
        <v>231</v>
      </c>
      <c r="B201" t="s">
        <v>1</v>
      </c>
      <c r="C201">
        <v>93</v>
      </c>
      <c r="D201" s="4" t="s">
        <v>14</v>
      </c>
      <c r="E201" s="5">
        <v>44996</v>
      </c>
      <c r="F201">
        <v>132</v>
      </c>
      <c r="G201">
        <f>AVERAGEIF(calls[Representative], calls[[#This Row],[Representative]], calls[Satisfaction Rating])</f>
        <v>3.9227513227513247</v>
      </c>
      <c r="H201" t="str">
        <f>IF(AVERAGEIF(calls[Representative],calls[[#This Row],[Representative]],calls[Satisfaction Rating])&lt;3.5,"Needs Training","OK")</f>
        <v>OK</v>
      </c>
      <c r="I201">
        <v>3.7</v>
      </c>
      <c r="J201">
        <f>IF(MONTH(calls[[#This Row],[Date of Call]])&lt;=6, YEAR(calls[[#This Row],[Date of Call]]), YEAR(calls[[#This Row],[Date of Call]])+1)</f>
        <v>2023</v>
      </c>
      <c r="K201" t="str">
        <f>TEXT(calls[[#This Row],[Date of Call]],"DDDD")</f>
        <v>Saturday</v>
      </c>
      <c r="L201" t="str" cm="1">
        <f t="array" ref="L201">_xlfn.IFS(calls[[#This Row],[Duration]]&lt;=10,"under 10 mins",calls[[#This Row],[Duration]]&lt;=30,"10 to 30mins",calls[[#This Row],[Duration]]&lt;=60,"60 to 30mins",calls[[#This Row],[Duration]]&lt;=120,"1 to 2hrs",TRUE,"More than 2 hrs")</f>
        <v>1 to 2hrs</v>
      </c>
      <c r="M201">
        <f>ROUND(calls[[#This Row],[Satisfaction Rating]],0)</f>
        <v>4</v>
      </c>
      <c r="N201">
        <f>COUNTIF(calls[Customer ID], calls[[#This Row],[Customer ID]])</f>
        <v>50</v>
      </c>
      <c r="O201">
        <f>SUMIF(calls[Customer ID], calls[[#This Row],[Customer ID]], calls[Purchase Amount])</f>
        <v>4804</v>
      </c>
      <c r="P201">
        <f>calls[[#This Row],[call count]]/calls[[#This Row],[Purchase Amount]]</f>
        <v>0.37878787878787878</v>
      </c>
      <c r="Q201">
        <f>COUNTIF(calls[Customer ID],calls[[#This Row],[Customer ID]])</f>
        <v>50</v>
      </c>
      <c r="R201">
        <f>calls[[#This Row],[call count]]/calls[[#This Row],[Purchase Amount]]</f>
        <v>0.37878787878787878</v>
      </c>
    </row>
    <row r="202" spans="1:18" x14ac:dyDescent="0.4">
      <c r="A202" t="s">
        <v>232</v>
      </c>
      <c r="B202" t="s">
        <v>8</v>
      </c>
      <c r="C202">
        <v>84</v>
      </c>
      <c r="D202" s="4" t="s">
        <v>2</v>
      </c>
      <c r="E202" s="5">
        <v>44996</v>
      </c>
      <c r="F202">
        <v>54</v>
      </c>
      <c r="G202">
        <f>AVERAGEIF(calls[Representative], calls[[#This Row],[Representative]], calls[Satisfaction Rating])</f>
        <v>3.8824999999999998</v>
      </c>
      <c r="H202" t="str">
        <f>IF(AVERAGEIF(calls[Representative],calls[[#This Row],[Representative]],calls[Satisfaction Rating])&lt;3.5,"Needs Training","OK")</f>
        <v>OK</v>
      </c>
      <c r="I202">
        <v>4.2</v>
      </c>
      <c r="J202">
        <f>IF(MONTH(calls[[#This Row],[Date of Call]])&lt;=6, YEAR(calls[[#This Row],[Date of Call]]), YEAR(calls[[#This Row],[Date of Call]])+1)</f>
        <v>2023</v>
      </c>
      <c r="K202" t="str">
        <f>TEXT(calls[[#This Row],[Date of Call]],"DDDD")</f>
        <v>Saturday</v>
      </c>
      <c r="L202" t="str" cm="1">
        <f t="array" ref="L202">_xlfn.IFS(calls[[#This Row],[Duration]]&lt;=10,"under 10 mins",calls[[#This Row],[Duration]]&lt;=30,"10 to 30mins",calls[[#This Row],[Duration]]&lt;=60,"60 to 30mins",calls[[#This Row],[Duration]]&lt;=120,"1 to 2hrs",TRUE,"More than 2 hrs")</f>
        <v>1 to 2hrs</v>
      </c>
      <c r="M202">
        <f>ROUND(calls[[#This Row],[Satisfaction Rating]],0)</f>
        <v>4</v>
      </c>
      <c r="N202">
        <f>COUNTIF(calls[Customer ID], calls[[#This Row],[Customer ID]])</f>
        <v>79</v>
      </c>
      <c r="O202">
        <f>SUMIF(calls[Customer ID], calls[[#This Row],[Customer ID]], calls[Purchase Amount])</f>
        <v>7747</v>
      </c>
      <c r="P202">
        <f>calls[[#This Row],[call count]]/calls[[#This Row],[Purchase Amount]]</f>
        <v>1.462962962962963</v>
      </c>
      <c r="Q202">
        <f>COUNTIF(calls[Customer ID],calls[[#This Row],[Customer ID]])</f>
        <v>79</v>
      </c>
      <c r="R202">
        <f>calls[[#This Row],[call count]]/calls[[#This Row],[Purchase Amount]]</f>
        <v>1.462962962962963</v>
      </c>
    </row>
    <row r="203" spans="1:18" x14ac:dyDescent="0.4">
      <c r="A203" t="s">
        <v>233</v>
      </c>
      <c r="B203" t="s">
        <v>64</v>
      </c>
      <c r="C203">
        <v>56</v>
      </c>
      <c r="D203" s="4" t="s">
        <v>27</v>
      </c>
      <c r="E203" s="5">
        <v>44996</v>
      </c>
      <c r="F203">
        <v>129</v>
      </c>
      <c r="G203">
        <f>AVERAGEIF(calls[Representative], calls[[#This Row],[Representative]], calls[Satisfaction Rating])</f>
        <v>3.8589371980676304</v>
      </c>
      <c r="H203" t="str">
        <f>IF(AVERAGEIF(calls[Representative],calls[[#This Row],[Representative]],calls[Satisfaction Rating])&lt;3.5,"Needs Training","OK")</f>
        <v>OK</v>
      </c>
      <c r="I203">
        <v>2.1</v>
      </c>
      <c r="J203">
        <f>IF(MONTH(calls[[#This Row],[Date of Call]])&lt;=6, YEAR(calls[[#This Row],[Date of Call]]), YEAR(calls[[#This Row],[Date of Call]])+1)</f>
        <v>2023</v>
      </c>
      <c r="K203" t="str">
        <f>TEXT(calls[[#This Row],[Date of Call]],"DDDD")</f>
        <v>Saturday</v>
      </c>
      <c r="L203" t="str" cm="1">
        <f t="array" ref="L203">_xlfn.IFS(calls[[#This Row],[Duration]]&lt;=10,"under 10 mins",calls[[#This Row],[Duration]]&lt;=30,"10 to 30mins",calls[[#This Row],[Duration]]&lt;=60,"60 to 30mins",calls[[#This Row],[Duration]]&lt;=120,"1 to 2hrs",TRUE,"More than 2 hrs")</f>
        <v>60 to 30mins</v>
      </c>
      <c r="M203">
        <f>ROUND(calls[[#This Row],[Satisfaction Rating]],0)</f>
        <v>2</v>
      </c>
      <c r="N203">
        <f>COUNTIF(calls[Customer ID], calls[[#This Row],[Customer ID]])</f>
        <v>65</v>
      </c>
      <c r="O203">
        <f>SUMIF(calls[Customer ID], calls[[#This Row],[Customer ID]], calls[Purchase Amount])</f>
        <v>6785</v>
      </c>
      <c r="P203">
        <f>calls[[#This Row],[call count]]/calls[[#This Row],[Purchase Amount]]</f>
        <v>0.50387596899224807</v>
      </c>
      <c r="Q203">
        <f>COUNTIF(calls[Customer ID],calls[[#This Row],[Customer ID]])</f>
        <v>65</v>
      </c>
      <c r="R203">
        <f>calls[[#This Row],[call count]]/calls[[#This Row],[Purchase Amount]]</f>
        <v>0.50387596899224807</v>
      </c>
    </row>
    <row r="204" spans="1:18" x14ac:dyDescent="0.4">
      <c r="A204" t="s">
        <v>234</v>
      </c>
      <c r="B204" t="s">
        <v>64</v>
      </c>
      <c r="C204">
        <v>63</v>
      </c>
      <c r="D204" s="4" t="s">
        <v>23</v>
      </c>
      <c r="E204" s="5">
        <v>44996</v>
      </c>
      <c r="F204">
        <v>42</v>
      </c>
      <c r="G204">
        <f>AVERAGEIF(calls[Representative], calls[[#This Row],[Representative]], calls[Satisfaction Rating])</f>
        <v>3.8973118279569863</v>
      </c>
      <c r="H204" t="str">
        <f>IF(AVERAGEIF(calls[Representative],calls[[#This Row],[Representative]],calls[Satisfaction Rating])&lt;3.5,"Needs Training","OK")</f>
        <v>OK</v>
      </c>
      <c r="I204">
        <v>4</v>
      </c>
      <c r="J204">
        <f>IF(MONTH(calls[[#This Row],[Date of Call]])&lt;=6, YEAR(calls[[#This Row],[Date of Call]]), YEAR(calls[[#This Row],[Date of Call]])+1)</f>
        <v>2023</v>
      </c>
      <c r="K204" t="str">
        <f>TEXT(calls[[#This Row],[Date of Call]],"DDDD")</f>
        <v>Saturday</v>
      </c>
      <c r="L204" t="str" cm="1">
        <f t="array" ref="L204">_xlfn.IFS(calls[[#This Row],[Duration]]&lt;=10,"under 10 mins",calls[[#This Row],[Duration]]&lt;=30,"10 to 30mins",calls[[#This Row],[Duration]]&lt;=60,"60 to 30mins",calls[[#This Row],[Duration]]&lt;=120,"1 to 2hrs",TRUE,"More than 2 hrs")</f>
        <v>1 to 2hrs</v>
      </c>
      <c r="M204">
        <f>ROUND(calls[[#This Row],[Satisfaction Rating]],0)</f>
        <v>4</v>
      </c>
      <c r="N204">
        <f>COUNTIF(calls[Customer ID], calls[[#This Row],[Customer ID]])</f>
        <v>65</v>
      </c>
      <c r="O204">
        <f>SUMIF(calls[Customer ID], calls[[#This Row],[Customer ID]], calls[Purchase Amount])</f>
        <v>6785</v>
      </c>
      <c r="P204">
        <f>calls[[#This Row],[call count]]/calls[[#This Row],[Purchase Amount]]</f>
        <v>1.5476190476190477</v>
      </c>
      <c r="Q204">
        <f>COUNTIF(calls[Customer ID],calls[[#This Row],[Customer ID]])</f>
        <v>65</v>
      </c>
      <c r="R204">
        <f>calls[[#This Row],[call count]]/calls[[#This Row],[Purchase Amount]]</f>
        <v>1.5476190476190477</v>
      </c>
    </row>
    <row r="205" spans="1:18" x14ac:dyDescent="0.4">
      <c r="A205" t="s">
        <v>235</v>
      </c>
      <c r="B205" t="s">
        <v>40</v>
      </c>
      <c r="C205">
        <v>83</v>
      </c>
      <c r="D205" s="4" t="s">
        <v>23</v>
      </c>
      <c r="E205" s="5">
        <v>44996</v>
      </c>
      <c r="F205">
        <v>42</v>
      </c>
      <c r="G205">
        <f>AVERAGEIF(calls[Representative], calls[[#This Row],[Representative]], calls[Satisfaction Rating])</f>
        <v>3.8973118279569863</v>
      </c>
      <c r="H205" t="str">
        <f>IF(AVERAGEIF(calls[Representative],calls[[#This Row],[Representative]],calls[Satisfaction Rating])&lt;3.5,"Needs Training","OK")</f>
        <v>OK</v>
      </c>
      <c r="I205">
        <v>4.2</v>
      </c>
      <c r="J205">
        <f>IF(MONTH(calls[[#This Row],[Date of Call]])&lt;=6, YEAR(calls[[#This Row],[Date of Call]]), YEAR(calls[[#This Row],[Date of Call]])+1)</f>
        <v>2023</v>
      </c>
      <c r="K205" t="str">
        <f>TEXT(calls[[#This Row],[Date of Call]],"DDDD")</f>
        <v>Saturday</v>
      </c>
      <c r="L205" t="str" cm="1">
        <f t="array" ref="L205">_xlfn.IFS(calls[[#This Row],[Duration]]&lt;=10,"under 10 mins",calls[[#This Row],[Duration]]&lt;=30,"10 to 30mins",calls[[#This Row],[Duration]]&lt;=60,"60 to 30mins",calls[[#This Row],[Duration]]&lt;=120,"1 to 2hrs",TRUE,"More than 2 hrs")</f>
        <v>1 to 2hrs</v>
      </c>
      <c r="M205">
        <f>ROUND(calls[[#This Row],[Satisfaction Rating]],0)</f>
        <v>4</v>
      </c>
      <c r="N205">
        <f>COUNTIF(calls[Customer ID], calls[[#This Row],[Customer ID]])</f>
        <v>69</v>
      </c>
      <c r="O205">
        <f>SUMIF(calls[Customer ID], calls[[#This Row],[Customer ID]], calls[Purchase Amount])</f>
        <v>6601</v>
      </c>
      <c r="P205">
        <f>calls[[#This Row],[call count]]/calls[[#This Row],[Purchase Amount]]</f>
        <v>1.6428571428571428</v>
      </c>
      <c r="Q205">
        <f>COUNTIF(calls[Customer ID],calls[[#This Row],[Customer ID]])</f>
        <v>69</v>
      </c>
      <c r="R205">
        <f>calls[[#This Row],[call count]]/calls[[#This Row],[Purchase Amount]]</f>
        <v>1.6428571428571428</v>
      </c>
    </row>
    <row r="206" spans="1:18" x14ac:dyDescent="0.4">
      <c r="A206" t="s">
        <v>236</v>
      </c>
      <c r="B206" t="s">
        <v>30</v>
      </c>
      <c r="C206">
        <v>134</v>
      </c>
      <c r="D206" s="4" t="s">
        <v>2</v>
      </c>
      <c r="E206" s="5">
        <v>44996</v>
      </c>
      <c r="F206">
        <v>180</v>
      </c>
      <c r="G206">
        <f>AVERAGEIF(calls[Representative], calls[[#This Row],[Representative]], calls[Satisfaction Rating])</f>
        <v>3.8824999999999998</v>
      </c>
      <c r="H206" t="str">
        <f>IF(AVERAGEIF(calls[Representative],calls[[#This Row],[Representative]],calls[Satisfaction Rating])&lt;3.5,"Needs Training","OK")</f>
        <v>OK</v>
      </c>
      <c r="I206">
        <v>3.1</v>
      </c>
      <c r="J206">
        <f>IF(MONTH(calls[[#This Row],[Date of Call]])&lt;=6, YEAR(calls[[#This Row],[Date of Call]]), YEAR(calls[[#This Row],[Date of Call]])+1)</f>
        <v>2023</v>
      </c>
      <c r="K206" t="str">
        <f>TEXT(calls[[#This Row],[Date of Call]],"DDDD")</f>
        <v>Saturday</v>
      </c>
      <c r="L206" t="str" cm="1">
        <f t="array" ref="L206">_xlfn.IFS(calls[[#This Row],[Duration]]&lt;=10,"under 10 mins",calls[[#This Row],[Duration]]&lt;=30,"10 to 30mins",calls[[#This Row],[Duration]]&lt;=60,"60 to 30mins",calls[[#This Row],[Duration]]&lt;=120,"1 to 2hrs",TRUE,"More than 2 hrs")</f>
        <v>More than 2 hrs</v>
      </c>
      <c r="M206">
        <f>ROUND(calls[[#This Row],[Satisfaction Rating]],0)</f>
        <v>3</v>
      </c>
      <c r="N206">
        <f>COUNTIF(calls[Customer ID], calls[[#This Row],[Customer ID]])</f>
        <v>69</v>
      </c>
      <c r="O206">
        <f>SUMIF(calls[Customer ID], calls[[#This Row],[Customer ID]], calls[Purchase Amount])</f>
        <v>7230</v>
      </c>
      <c r="P206">
        <f>calls[[#This Row],[call count]]/calls[[#This Row],[Purchase Amount]]</f>
        <v>0.38333333333333336</v>
      </c>
      <c r="Q206">
        <f>COUNTIF(calls[Customer ID],calls[[#This Row],[Customer ID]])</f>
        <v>69</v>
      </c>
      <c r="R206">
        <f>calls[[#This Row],[call count]]/calls[[#This Row],[Purchase Amount]]</f>
        <v>0.38333333333333336</v>
      </c>
    </row>
    <row r="207" spans="1:18" x14ac:dyDescent="0.4">
      <c r="A207" t="s">
        <v>237</v>
      </c>
      <c r="B207" t="s">
        <v>13</v>
      </c>
      <c r="C207">
        <v>73</v>
      </c>
      <c r="D207" s="4" t="s">
        <v>23</v>
      </c>
      <c r="E207" s="5">
        <v>44997</v>
      </c>
      <c r="F207">
        <v>34</v>
      </c>
      <c r="G207">
        <f>AVERAGEIF(calls[Representative], calls[[#This Row],[Representative]], calls[Satisfaction Rating])</f>
        <v>3.8973118279569863</v>
      </c>
      <c r="H207" t="str">
        <f>IF(AVERAGEIF(calls[Representative],calls[[#This Row],[Representative]],calls[Satisfaction Rating])&lt;3.5,"Needs Training","OK")</f>
        <v>OK</v>
      </c>
      <c r="I207">
        <v>4.8</v>
      </c>
      <c r="J207">
        <f>IF(MONTH(calls[[#This Row],[Date of Call]])&lt;=6, YEAR(calls[[#This Row],[Date of Call]]), YEAR(calls[[#This Row],[Date of Call]])+1)</f>
        <v>2023</v>
      </c>
      <c r="K207" t="str">
        <f>TEXT(calls[[#This Row],[Date of Call]],"DDDD")</f>
        <v>Sunday</v>
      </c>
      <c r="L207" t="str" cm="1">
        <f t="array" ref="L207">_xlfn.IFS(calls[[#This Row],[Duration]]&lt;=10,"under 10 mins",calls[[#This Row],[Duration]]&lt;=30,"10 to 30mins",calls[[#This Row],[Duration]]&lt;=60,"60 to 30mins",calls[[#This Row],[Duration]]&lt;=120,"1 to 2hrs",TRUE,"More than 2 hrs")</f>
        <v>1 to 2hrs</v>
      </c>
      <c r="M207">
        <f>ROUND(calls[[#This Row],[Satisfaction Rating]],0)</f>
        <v>5</v>
      </c>
      <c r="N207">
        <f>COUNTIF(calls[Customer ID], calls[[#This Row],[Customer ID]])</f>
        <v>74</v>
      </c>
      <c r="O207">
        <f>SUMIF(calls[Customer ID], calls[[#This Row],[Customer ID]], calls[Purchase Amount])</f>
        <v>6749</v>
      </c>
      <c r="P207">
        <f>calls[[#This Row],[call count]]/calls[[#This Row],[Purchase Amount]]</f>
        <v>2.1764705882352939</v>
      </c>
      <c r="Q207">
        <f>COUNTIF(calls[Customer ID],calls[[#This Row],[Customer ID]])</f>
        <v>74</v>
      </c>
      <c r="R207">
        <f>calls[[#This Row],[call count]]/calls[[#This Row],[Purchase Amount]]</f>
        <v>2.1764705882352939</v>
      </c>
    </row>
    <row r="208" spans="1:18" x14ac:dyDescent="0.4">
      <c r="A208" t="s">
        <v>238</v>
      </c>
      <c r="B208" t="s">
        <v>84</v>
      </c>
      <c r="C208">
        <v>6</v>
      </c>
      <c r="D208" s="4" t="s">
        <v>27</v>
      </c>
      <c r="E208" s="5">
        <v>44997</v>
      </c>
      <c r="F208">
        <v>29</v>
      </c>
      <c r="G208">
        <f>AVERAGEIF(calls[Representative], calls[[#This Row],[Representative]], calls[Satisfaction Rating])</f>
        <v>3.8589371980676304</v>
      </c>
      <c r="H208" t="str">
        <f>IF(AVERAGEIF(calls[Representative],calls[[#This Row],[Representative]],calls[Satisfaction Rating])&lt;3.5,"Needs Training","OK")</f>
        <v>OK</v>
      </c>
      <c r="I208">
        <v>4.7</v>
      </c>
      <c r="J208">
        <f>IF(MONTH(calls[[#This Row],[Date of Call]])&lt;=6, YEAR(calls[[#This Row],[Date of Call]]), YEAR(calls[[#This Row],[Date of Call]])+1)</f>
        <v>2023</v>
      </c>
      <c r="K208" t="str">
        <f>TEXT(calls[[#This Row],[Date of Call]],"DDDD")</f>
        <v>Sunday</v>
      </c>
      <c r="L208" t="str" cm="1">
        <f t="array" ref="L208">_xlfn.IFS(calls[[#This Row],[Duration]]&lt;=10,"under 10 mins",calls[[#This Row],[Duration]]&lt;=30,"10 to 30mins",calls[[#This Row],[Duration]]&lt;=60,"60 to 30mins",calls[[#This Row],[Duration]]&lt;=120,"1 to 2hrs",TRUE,"More than 2 hrs")</f>
        <v>under 10 mins</v>
      </c>
      <c r="M208">
        <f>ROUND(calls[[#This Row],[Satisfaction Rating]],0)</f>
        <v>5</v>
      </c>
      <c r="N208">
        <f>COUNTIF(calls[Customer ID], calls[[#This Row],[Customer ID]])</f>
        <v>59</v>
      </c>
      <c r="O208">
        <f>SUMIF(calls[Customer ID], calls[[#This Row],[Customer ID]], calls[Purchase Amount])</f>
        <v>5009</v>
      </c>
      <c r="P208">
        <f>calls[[#This Row],[call count]]/calls[[#This Row],[Purchase Amount]]</f>
        <v>2.0344827586206895</v>
      </c>
      <c r="Q208">
        <f>COUNTIF(calls[Customer ID],calls[[#This Row],[Customer ID]])</f>
        <v>59</v>
      </c>
      <c r="R208">
        <f>calls[[#This Row],[call count]]/calls[[#This Row],[Purchase Amount]]</f>
        <v>2.0344827586206895</v>
      </c>
    </row>
    <row r="209" spans="1:18" x14ac:dyDescent="0.4">
      <c r="A209" t="s">
        <v>239</v>
      </c>
      <c r="B209" t="s">
        <v>54</v>
      </c>
      <c r="C209">
        <v>46</v>
      </c>
      <c r="D209" s="4" t="s">
        <v>9</v>
      </c>
      <c r="E209" s="5">
        <v>44997</v>
      </c>
      <c r="F209">
        <v>165</v>
      </c>
      <c r="G209">
        <f>AVERAGEIF(calls[Representative], calls[[#This Row],[Representative]], calls[Satisfaction Rating])</f>
        <v>3.8706422018348627</v>
      </c>
      <c r="H209" t="str">
        <f>IF(AVERAGEIF(calls[Representative],calls[[#This Row],[Representative]],calls[Satisfaction Rating])&lt;3.5,"Needs Training","OK")</f>
        <v>OK</v>
      </c>
      <c r="I209">
        <v>3.3</v>
      </c>
      <c r="J209">
        <f>IF(MONTH(calls[[#This Row],[Date of Call]])&lt;=6, YEAR(calls[[#This Row],[Date of Call]]), YEAR(calls[[#This Row],[Date of Call]])+1)</f>
        <v>2023</v>
      </c>
      <c r="K209" t="str">
        <f>TEXT(calls[[#This Row],[Date of Call]],"DDDD")</f>
        <v>Sunday</v>
      </c>
      <c r="L209" t="str" cm="1">
        <f t="array" ref="L209">_xlfn.IFS(calls[[#This Row],[Duration]]&lt;=10,"under 10 mins",calls[[#This Row],[Duration]]&lt;=30,"10 to 30mins",calls[[#This Row],[Duration]]&lt;=60,"60 to 30mins",calls[[#This Row],[Duration]]&lt;=120,"1 to 2hrs",TRUE,"More than 2 hrs")</f>
        <v>60 to 30mins</v>
      </c>
      <c r="M209">
        <f>ROUND(calls[[#This Row],[Satisfaction Rating]],0)</f>
        <v>3</v>
      </c>
      <c r="N209">
        <f>COUNTIF(calls[Customer ID], calls[[#This Row],[Customer ID]])</f>
        <v>70</v>
      </c>
      <c r="O209">
        <f>SUMIF(calls[Customer ID], calls[[#This Row],[Customer ID]], calls[Purchase Amount])</f>
        <v>6819</v>
      </c>
      <c r="P209">
        <f>calls[[#This Row],[call count]]/calls[[#This Row],[Purchase Amount]]</f>
        <v>0.42424242424242425</v>
      </c>
      <c r="Q209">
        <f>COUNTIF(calls[Customer ID],calls[[#This Row],[Customer ID]])</f>
        <v>70</v>
      </c>
      <c r="R209">
        <f>calls[[#This Row],[call count]]/calls[[#This Row],[Purchase Amount]]</f>
        <v>0.42424242424242425</v>
      </c>
    </row>
    <row r="210" spans="1:18" x14ac:dyDescent="0.4">
      <c r="A210" t="s">
        <v>240</v>
      </c>
      <c r="B210" t="s">
        <v>84</v>
      </c>
      <c r="C210">
        <v>121</v>
      </c>
      <c r="D210" s="4" t="s">
        <v>23</v>
      </c>
      <c r="E210" s="5">
        <v>44998</v>
      </c>
      <c r="F210">
        <v>32</v>
      </c>
      <c r="G210">
        <f>AVERAGEIF(calls[Representative], calls[[#This Row],[Representative]], calls[Satisfaction Rating])</f>
        <v>3.8973118279569863</v>
      </c>
      <c r="H210" t="str">
        <f>IF(AVERAGEIF(calls[Representative],calls[[#This Row],[Representative]],calls[Satisfaction Rating])&lt;3.5,"Needs Training","OK")</f>
        <v>OK</v>
      </c>
      <c r="I210">
        <v>3.7</v>
      </c>
      <c r="J210">
        <f>IF(MONTH(calls[[#This Row],[Date of Call]])&lt;=6, YEAR(calls[[#This Row],[Date of Call]]), YEAR(calls[[#This Row],[Date of Call]])+1)</f>
        <v>2023</v>
      </c>
      <c r="K210" t="str">
        <f>TEXT(calls[[#This Row],[Date of Call]],"DDDD")</f>
        <v>Monday</v>
      </c>
      <c r="L210" t="str" cm="1">
        <f t="array" ref="L210">_xlfn.IFS(calls[[#This Row],[Duration]]&lt;=10,"under 10 mins",calls[[#This Row],[Duration]]&lt;=30,"10 to 30mins",calls[[#This Row],[Duration]]&lt;=60,"60 to 30mins",calls[[#This Row],[Duration]]&lt;=120,"1 to 2hrs",TRUE,"More than 2 hrs")</f>
        <v>More than 2 hrs</v>
      </c>
      <c r="M210">
        <f>ROUND(calls[[#This Row],[Satisfaction Rating]],0)</f>
        <v>4</v>
      </c>
      <c r="N210">
        <f>COUNTIF(calls[Customer ID], calls[[#This Row],[Customer ID]])</f>
        <v>59</v>
      </c>
      <c r="O210">
        <f>SUMIF(calls[Customer ID], calls[[#This Row],[Customer ID]], calls[Purchase Amount])</f>
        <v>5009</v>
      </c>
      <c r="P210">
        <f>calls[[#This Row],[call count]]/calls[[#This Row],[Purchase Amount]]</f>
        <v>1.84375</v>
      </c>
      <c r="Q210">
        <f>COUNTIF(calls[Customer ID],calls[[#This Row],[Customer ID]])</f>
        <v>59</v>
      </c>
      <c r="R210">
        <f>calls[[#This Row],[call count]]/calls[[#This Row],[Purchase Amount]]</f>
        <v>1.84375</v>
      </c>
    </row>
    <row r="211" spans="1:18" x14ac:dyDescent="0.4">
      <c r="A211" t="s">
        <v>241</v>
      </c>
      <c r="B211" t="s">
        <v>64</v>
      </c>
      <c r="C211">
        <v>61</v>
      </c>
      <c r="D211" s="4" t="s">
        <v>14</v>
      </c>
      <c r="E211" s="5">
        <v>44998</v>
      </c>
      <c r="F211">
        <v>160</v>
      </c>
      <c r="G211">
        <f>AVERAGEIF(calls[Representative], calls[[#This Row],[Representative]], calls[Satisfaction Rating])</f>
        <v>3.9227513227513247</v>
      </c>
      <c r="H211" t="str">
        <f>IF(AVERAGEIF(calls[Representative],calls[[#This Row],[Representative]],calls[Satisfaction Rating])&lt;3.5,"Needs Training","OK")</f>
        <v>OK</v>
      </c>
      <c r="I211">
        <v>4.9000000000000004</v>
      </c>
      <c r="J211">
        <f>IF(MONTH(calls[[#This Row],[Date of Call]])&lt;=6, YEAR(calls[[#This Row],[Date of Call]]), YEAR(calls[[#This Row],[Date of Call]])+1)</f>
        <v>2023</v>
      </c>
      <c r="K211" t="str">
        <f>TEXT(calls[[#This Row],[Date of Call]],"DDDD")</f>
        <v>Monday</v>
      </c>
      <c r="L211" t="str" cm="1">
        <f t="array" ref="L211">_xlfn.IFS(calls[[#This Row],[Duration]]&lt;=10,"under 10 mins",calls[[#This Row],[Duration]]&lt;=30,"10 to 30mins",calls[[#This Row],[Duration]]&lt;=60,"60 to 30mins",calls[[#This Row],[Duration]]&lt;=120,"1 to 2hrs",TRUE,"More than 2 hrs")</f>
        <v>1 to 2hrs</v>
      </c>
      <c r="M211">
        <f>ROUND(calls[[#This Row],[Satisfaction Rating]],0)</f>
        <v>5</v>
      </c>
      <c r="N211">
        <f>COUNTIF(calls[Customer ID], calls[[#This Row],[Customer ID]])</f>
        <v>65</v>
      </c>
      <c r="O211">
        <f>SUMIF(calls[Customer ID], calls[[#This Row],[Customer ID]], calls[Purchase Amount])</f>
        <v>6785</v>
      </c>
      <c r="P211">
        <f>calls[[#This Row],[call count]]/calls[[#This Row],[Purchase Amount]]</f>
        <v>0.40625</v>
      </c>
      <c r="Q211">
        <f>COUNTIF(calls[Customer ID],calls[[#This Row],[Customer ID]])</f>
        <v>65</v>
      </c>
      <c r="R211">
        <f>calls[[#This Row],[call count]]/calls[[#This Row],[Purchase Amount]]</f>
        <v>0.40625</v>
      </c>
    </row>
    <row r="212" spans="1:18" x14ac:dyDescent="0.4">
      <c r="A212" t="s">
        <v>242</v>
      </c>
      <c r="B212" t="s">
        <v>30</v>
      </c>
      <c r="C212">
        <v>144</v>
      </c>
      <c r="D212" s="4" t="s">
        <v>2</v>
      </c>
      <c r="E212" s="5">
        <v>44998</v>
      </c>
      <c r="F212">
        <v>140</v>
      </c>
      <c r="G212">
        <f>AVERAGEIF(calls[Representative], calls[[#This Row],[Representative]], calls[Satisfaction Rating])</f>
        <v>3.8824999999999998</v>
      </c>
      <c r="H212" t="str">
        <f>IF(AVERAGEIF(calls[Representative],calls[[#This Row],[Representative]],calls[Satisfaction Rating])&lt;3.5,"Needs Training","OK")</f>
        <v>OK</v>
      </c>
      <c r="I212">
        <v>3.5</v>
      </c>
      <c r="J212">
        <f>IF(MONTH(calls[[#This Row],[Date of Call]])&lt;=6, YEAR(calls[[#This Row],[Date of Call]]), YEAR(calls[[#This Row],[Date of Call]])+1)</f>
        <v>2023</v>
      </c>
      <c r="K212" t="str">
        <f>TEXT(calls[[#This Row],[Date of Call]],"DDDD")</f>
        <v>Monday</v>
      </c>
      <c r="L212" t="str" cm="1">
        <f t="array" ref="L212">_xlfn.IFS(calls[[#This Row],[Duration]]&lt;=10,"under 10 mins",calls[[#This Row],[Duration]]&lt;=30,"10 to 30mins",calls[[#This Row],[Duration]]&lt;=60,"60 to 30mins",calls[[#This Row],[Duration]]&lt;=120,"1 to 2hrs",TRUE,"More than 2 hrs")</f>
        <v>More than 2 hrs</v>
      </c>
      <c r="M212">
        <f>ROUND(calls[[#This Row],[Satisfaction Rating]],0)</f>
        <v>4</v>
      </c>
      <c r="N212">
        <f>COUNTIF(calls[Customer ID], calls[[#This Row],[Customer ID]])</f>
        <v>69</v>
      </c>
      <c r="O212">
        <f>SUMIF(calls[Customer ID], calls[[#This Row],[Customer ID]], calls[Purchase Amount])</f>
        <v>7230</v>
      </c>
      <c r="P212">
        <f>calls[[#This Row],[call count]]/calls[[#This Row],[Purchase Amount]]</f>
        <v>0.49285714285714288</v>
      </c>
      <c r="Q212">
        <f>COUNTIF(calls[Customer ID],calls[[#This Row],[Customer ID]])</f>
        <v>69</v>
      </c>
      <c r="R212">
        <f>calls[[#This Row],[call count]]/calls[[#This Row],[Purchase Amount]]</f>
        <v>0.49285714285714288</v>
      </c>
    </row>
    <row r="213" spans="1:18" x14ac:dyDescent="0.4">
      <c r="A213" t="s">
        <v>243</v>
      </c>
      <c r="B213" t="s">
        <v>54</v>
      </c>
      <c r="C213">
        <v>145</v>
      </c>
      <c r="D213" s="4" t="s">
        <v>2</v>
      </c>
      <c r="E213" s="5">
        <v>44998</v>
      </c>
      <c r="F213">
        <v>136</v>
      </c>
      <c r="G213">
        <f>AVERAGEIF(calls[Representative], calls[[#This Row],[Representative]], calls[Satisfaction Rating])</f>
        <v>3.8824999999999998</v>
      </c>
      <c r="H213" t="str">
        <f>IF(AVERAGEIF(calls[Representative],calls[[#This Row],[Representative]],calls[Satisfaction Rating])&lt;3.5,"Needs Training","OK")</f>
        <v>OK</v>
      </c>
      <c r="I213">
        <v>4.4000000000000004</v>
      </c>
      <c r="J213">
        <f>IF(MONTH(calls[[#This Row],[Date of Call]])&lt;=6, YEAR(calls[[#This Row],[Date of Call]]), YEAR(calls[[#This Row],[Date of Call]])+1)</f>
        <v>2023</v>
      </c>
      <c r="K213" t="str">
        <f>TEXT(calls[[#This Row],[Date of Call]],"DDDD")</f>
        <v>Monday</v>
      </c>
      <c r="L213" t="str" cm="1">
        <f t="array" ref="L213">_xlfn.IFS(calls[[#This Row],[Duration]]&lt;=10,"under 10 mins",calls[[#This Row],[Duration]]&lt;=30,"10 to 30mins",calls[[#This Row],[Duration]]&lt;=60,"60 to 30mins",calls[[#This Row],[Duration]]&lt;=120,"1 to 2hrs",TRUE,"More than 2 hrs")</f>
        <v>More than 2 hrs</v>
      </c>
      <c r="M213">
        <f>ROUND(calls[[#This Row],[Satisfaction Rating]],0)</f>
        <v>4</v>
      </c>
      <c r="N213">
        <f>COUNTIF(calls[Customer ID], calls[[#This Row],[Customer ID]])</f>
        <v>70</v>
      </c>
      <c r="O213">
        <f>SUMIF(calls[Customer ID], calls[[#This Row],[Customer ID]], calls[Purchase Amount])</f>
        <v>6819</v>
      </c>
      <c r="P213">
        <f>calls[[#This Row],[call count]]/calls[[#This Row],[Purchase Amount]]</f>
        <v>0.51470588235294112</v>
      </c>
      <c r="Q213">
        <f>COUNTIF(calls[Customer ID],calls[[#This Row],[Customer ID]])</f>
        <v>70</v>
      </c>
      <c r="R213">
        <f>calls[[#This Row],[call count]]/calls[[#This Row],[Purchase Amount]]</f>
        <v>0.51470588235294112</v>
      </c>
    </row>
    <row r="214" spans="1:18" x14ac:dyDescent="0.4">
      <c r="A214" t="s">
        <v>244</v>
      </c>
      <c r="B214" t="s">
        <v>8</v>
      </c>
      <c r="C214">
        <v>85</v>
      </c>
      <c r="D214" s="4" t="s">
        <v>27</v>
      </c>
      <c r="E214" s="5">
        <v>44998</v>
      </c>
      <c r="F214">
        <v>66</v>
      </c>
      <c r="G214">
        <f>AVERAGEIF(calls[Representative], calls[[#This Row],[Representative]], calls[Satisfaction Rating])</f>
        <v>3.8589371980676304</v>
      </c>
      <c r="H214" t="str">
        <f>IF(AVERAGEIF(calls[Representative],calls[[#This Row],[Representative]],calls[Satisfaction Rating])&lt;3.5,"Needs Training","OK")</f>
        <v>OK</v>
      </c>
      <c r="I214">
        <v>2.8</v>
      </c>
      <c r="J214">
        <f>IF(MONTH(calls[[#This Row],[Date of Call]])&lt;=6, YEAR(calls[[#This Row],[Date of Call]]), YEAR(calls[[#This Row],[Date of Call]])+1)</f>
        <v>2023</v>
      </c>
      <c r="K214" t="str">
        <f>TEXT(calls[[#This Row],[Date of Call]],"DDDD")</f>
        <v>Monday</v>
      </c>
      <c r="L214" t="str" cm="1">
        <f t="array" ref="L214">_xlfn.IFS(calls[[#This Row],[Duration]]&lt;=10,"under 10 mins",calls[[#This Row],[Duration]]&lt;=30,"10 to 30mins",calls[[#This Row],[Duration]]&lt;=60,"60 to 30mins",calls[[#This Row],[Duration]]&lt;=120,"1 to 2hrs",TRUE,"More than 2 hrs")</f>
        <v>1 to 2hrs</v>
      </c>
      <c r="M214">
        <f>ROUND(calls[[#This Row],[Satisfaction Rating]],0)</f>
        <v>3</v>
      </c>
      <c r="N214">
        <f>COUNTIF(calls[Customer ID], calls[[#This Row],[Customer ID]])</f>
        <v>79</v>
      </c>
      <c r="O214">
        <f>SUMIF(calls[Customer ID], calls[[#This Row],[Customer ID]], calls[Purchase Amount])</f>
        <v>7747</v>
      </c>
      <c r="P214">
        <f>calls[[#This Row],[call count]]/calls[[#This Row],[Purchase Amount]]</f>
        <v>1.196969696969697</v>
      </c>
      <c r="Q214">
        <f>COUNTIF(calls[Customer ID],calls[[#This Row],[Customer ID]])</f>
        <v>79</v>
      </c>
      <c r="R214">
        <f>calls[[#This Row],[call count]]/calls[[#This Row],[Purchase Amount]]</f>
        <v>1.196969696969697</v>
      </c>
    </row>
    <row r="215" spans="1:18" x14ac:dyDescent="0.4">
      <c r="A215" t="s">
        <v>245</v>
      </c>
      <c r="B215" t="s">
        <v>54</v>
      </c>
      <c r="C215">
        <v>13</v>
      </c>
      <c r="D215" s="4" t="s">
        <v>14</v>
      </c>
      <c r="E215" s="5">
        <v>44999</v>
      </c>
      <c r="F215">
        <v>63</v>
      </c>
      <c r="G215">
        <f>AVERAGEIF(calls[Representative], calls[[#This Row],[Representative]], calls[Satisfaction Rating])</f>
        <v>3.9227513227513247</v>
      </c>
      <c r="H215" t="str">
        <f>IF(AVERAGEIF(calls[Representative],calls[[#This Row],[Representative]],calls[Satisfaction Rating])&lt;3.5,"Needs Training","OK")</f>
        <v>OK</v>
      </c>
      <c r="I215">
        <v>4.0999999999999996</v>
      </c>
      <c r="J215">
        <f>IF(MONTH(calls[[#This Row],[Date of Call]])&lt;=6, YEAR(calls[[#This Row],[Date of Call]]), YEAR(calls[[#This Row],[Date of Call]])+1)</f>
        <v>2023</v>
      </c>
      <c r="K215" t="str">
        <f>TEXT(calls[[#This Row],[Date of Call]],"DDDD")</f>
        <v>Tuesday</v>
      </c>
      <c r="L215" t="str" cm="1">
        <f t="array" ref="L215">_xlfn.IFS(calls[[#This Row],[Duration]]&lt;=10,"under 10 mins",calls[[#This Row],[Duration]]&lt;=30,"10 to 30mins",calls[[#This Row],[Duration]]&lt;=60,"60 to 30mins",calls[[#This Row],[Duration]]&lt;=120,"1 to 2hrs",TRUE,"More than 2 hrs")</f>
        <v>10 to 30mins</v>
      </c>
      <c r="M215">
        <f>ROUND(calls[[#This Row],[Satisfaction Rating]],0)</f>
        <v>4</v>
      </c>
      <c r="N215">
        <f>COUNTIF(calls[Customer ID], calls[[#This Row],[Customer ID]])</f>
        <v>70</v>
      </c>
      <c r="O215">
        <f>SUMIF(calls[Customer ID], calls[[#This Row],[Customer ID]], calls[Purchase Amount])</f>
        <v>6819</v>
      </c>
      <c r="P215">
        <f>calls[[#This Row],[call count]]/calls[[#This Row],[Purchase Amount]]</f>
        <v>1.1111111111111112</v>
      </c>
      <c r="Q215">
        <f>COUNTIF(calls[Customer ID],calls[[#This Row],[Customer ID]])</f>
        <v>70</v>
      </c>
      <c r="R215">
        <f>calls[[#This Row],[call count]]/calls[[#This Row],[Purchase Amount]]</f>
        <v>1.1111111111111112</v>
      </c>
    </row>
    <row r="216" spans="1:18" x14ac:dyDescent="0.4">
      <c r="A216" t="s">
        <v>246</v>
      </c>
      <c r="B216" t="s">
        <v>1</v>
      </c>
      <c r="C216">
        <v>142</v>
      </c>
      <c r="D216" s="4" t="s">
        <v>23</v>
      </c>
      <c r="E216" s="5">
        <v>44999</v>
      </c>
      <c r="F216">
        <v>44</v>
      </c>
      <c r="G216">
        <f>AVERAGEIF(calls[Representative], calls[[#This Row],[Representative]], calls[Satisfaction Rating])</f>
        <v>3.8973118279569863</v>
      </c>
      <c r="H216" t="str">
        <f>IF(AVERAGEIF(calls[Representative],calls[[#This Row],[Representative]],calls[Satisfaction Rating])&lt;3.5,"Needs Training","OK")</f>
        <v>OK</v>
      </c>
      <c r="I216">
        <v>3.5</v>
      </c>
      <c r="J216">
        <f>IF(MONTH(calls[[#This Row],[Date of Call]])&lt;=6, YEAR(calls[[#This Row],[Date of Call]]), YEAR(calls[[#This Row],[Date of Call]])+1)</f>
        <v>2023</v>
      </c>
      <c r="K216" t="str">
        <f>TEXT(calls[[#This Row],[Date of Call]],"DDDD")</f>
        <v>Tuesday</v>
      </c>
      <c r="L216" t="str" cm="1">
        <f t="array" ref="L216">_xlfn.IFS(calls[[#This Row],[Duration]]&lt;=10,"under 10 mins",calls[[#This Row],[Duration]]&lt;=30,"10 to 30mins",calls[[#This Row],[Duration]]&lt;=60,"60 to 30mins",calls[[#This Row],[Duration]]&lt;=120,"1 to 2hrs",TRUE,"More than 2 hrs")</f>
        <v>More than 2 hrs</v>
      </c>
      <c r="M216">
        <f>ROUND(calls[[#This Row],[Satisfaction Rating]],0)</f>
        <v>4</v>
      </c>
      <c r="N216">
        <f>COUNTIF(calls[Customer ID], calls[[#This Row],[Customer ID]])</f>
        <v>50</v>
      </c>
      <c r="O216">
        <f>SUMIF(calls[Customer ID], calls[[#This Row],[Customer ID]], calls[Purchase Amount])</f>
        <v>4804</v>
      </c>
      <c r="P216">
        <f>calls[[#This Row],[call count]]/calls[[#This Row],[Purchase Amount]]</f>
        <v>1.1363636363636365</v>
      </c>
      <c r="Q216">
        <f>COUNTIF(calls[Customer ID],calls[[#This Row],[Customer ID]])</f>
        <v>50</v>
      </c>
      <c r="R216">
        <f>calls[[#This Row],[call count]]/calls[[#This Row],[Purchase Amount]]</f>
        <v>1.1363636363636365</v>
      </c>
    </row>
    <row r="217" spans="1:18" x14ac:dyDescent="0.4">
      <c r="A217" t="s">
        <v>247</v>
      </c>
      <c r="B217" t="s">
        <v>30</v>
      </c>
      <c r="C217">
        <v>28</v>
      </c>
      <c r="D217" s="4" t="s">
        <v>9</v>
      </c>
      <c r="E217" s="5">
        <v>44999</v>
      </c>
      <c r="F217">
        <v>78</v>
      </c>
      <c r="G217">
        <f>AVERAGEIF(calls[Representative], calls[[#This Row],[Representative]], calls[Satisfaction Rating])</f>
        <v>3.8706422018348627</v>
      </c>
      <c r="H217" t="str">
        <f>IF(AVERAGEIF(calls[Representative],calls[[#This Row],[Representative]],calls[Satisfaction Rating])&lt;3.5,"Needs Training","OK")</f>
        <v>OK</v>
      </c>
      <c r="I217">
        <v>3.8</v>
      </c>
      <c r="J217">
        <f>IF(MONTH(calls[[#This Row],[Date of Call]])&lt;=6, YEAR(calls[[#This Row],[Date of Call]]), YEAR(calls[[#This Row],[Date of Call]])+1)</f>
        <v>2023</v>
      </c>
      <c r="K217" t="str">
        <f>TEXT(calls[[#This Row],[Date of Call]],"DDDD")</f>
        <v>Tuesday</v>
      </c>
      <c r="L217" t="str" cm="1">
        <f t="array" ref="L217">_xlfn.IFS(calls[[#This Row],[Duration]]&lt;=10,"under 10 mins",calls[[#This Row],[Duration]]&lt;=30,"10 to 30mins",calls[[#This Row],[Duration]]&lt;=60,"60 to 30mins",calls[[#This Row],[Duration]]&lt;=120,"1 to 2hrs",TRUE,"More than 2 hrs")</f>
        <v>10 to 30mins</v>
      </c>
      <c r="M217">
        <f>ROUND(calls[[#This Row],[Satisfaction Rating]],0)</f>
        <v>4</v>
      </c>
      <c r="N217">
        <f>COUNTIF(calls[Customer ID], calls[[#This Row],[Customer ID]])</f>
        <v>69</v>
      </c>
      <c r="O217">
        <f>SUMIF(calls[Customer ID], calls[[#This Row],[Customer ID]], calls[Purchase Amount])</f>
        <v>7230</v>
      </c>
      <c r="P217">
        <f>calls[[#This Row],[call count]]/calls[[#This Row],[Purchase Amount]]</f>
        <v>0.88461538461538458</v>
      </c>
      <c r="Q217">
        <f>COUNTIF(calls[Customer ID],calls[[#This Row],[Customer ID]])</f>
        <v>69</v>
      </c>
      <c r="R217">
        <f>calls[[#This Row],[call count]]/calls[[#This Row],[Purchase Amount]]</f>
        <v>0.88461538461538458</v>
      </c>
    </row>
    <row r="218" spans="1:18" x14ac:dyDescent="0.4">
      <c r="A218" t="s">
        <v>248</v>
      </c>
      <c r="B218" t="s">
        <v>30</v>
      </c>
      <c r="C218">
        <v>119</v>
      </c>
      <c r="D218" s="4" t="s">
        <v>23</v>
      </c>
      <c r="E218" s="5">
        <v>44999</v>
      </c>
      <c r="F218">
        <v>20</v>
      </c>
      <c r="G218">
        <f>AVERAGEIF(calls[Representative], calls[[#This Row],[Representative]], calls[Satisfaction Rating])</f>
        <v>3.8973118279569863</v>
      </c>
      <c r="H218" t="str">
        <f>IF(AVERAGEIF(calls[Representative],calls[[#This Row],[Representative]],calls[Satisfaction Rating])&lt;3.5,"Needs Training","OK")</f>
        <v>OK</v>
      </c>
      <c r="I218">
        <v>3.9</v>
      </c>
      <c r="J218">
        <f>IF(MONTH(calls[[#This Row],[Date of Call]])&lt;=6, YEAR(calls[[#This Row],[Date of Call]]), YEAR(calls[[#This Row],[Date of Call]])+1)</f>
        <v>2023</v>
      </c>
      <c r="K218" t="str">
        <f>TEXT(calls[[#This Row],[Date of Call]],"DDDD")</f>
        <v>Tuesday</v>
      </c>
      <c r="L218" t="str" cm="1">
        <f t="array" ref="L218">_xlfn.IFS(calls[[#This Row],[Duration]]&lt;=10,"under 10 mins",calls[[#This Row],[Duration]]&lt;=30,"10 to 30mins",calls[[#This Row],[Duration]]&lt;=60,"60 to 30mins",calls[[#This Row],[Duration]]&lt;=120,"1 to 2hrs",TRUE,"More than 2 hrs")</f>
        <v>1 to 2hrs</v>
      </c>
      <c r="M218">
        <f>ROUND(calls[[#This Row],[Satisfaction Rating]],0)</f>
        <v>4</v>
      </c>
      <c r="N218">
        <f>COUNTIF(calls[Customer ID], calls[[#This Row],[Customer ID]])</f>
        <v>69</v>
      </c>
      <c r="O218">
        <f>SUMIF(calls[Customer ID], calls[[#This Row],[Customer ID]], calls[Purchase Amount])</f>
        <v>7230</v>
      </c>
      <c r="P218">
        <f>calls[[#This Row],[call count]]/calls[[#This Row],[Purchase Amount]]</f>
        <v>3.45</v>
      </c>
      <c r="Q218">
        <f>COUNTIF(calls[Customer ID],calls[[#This Row],[Customer ID]])</f>
        <v>69</v>
      </c>
      <c r="R218">
        <f>calls[[#This Row],[call count]]/calls[[#This Row],[Purchase Amount]]</f>
        <v>3.45</v>
      </c>
    </row>
    <row r="219" spans="1:18" x14ac:dyDescent="0.4">
      <c r="A219" t="s">
        <v>249</v>
      </c>
      <c r="B219" t="s">
        <v>84</v>
      </c>
      <c r="C219">
        <v>65</v>
      </c>
      <c r="D219" s="4" t="s">
        <v>27</v>
      </c>
      <c r="E219" s="5">
        <v>44999</v>
      </c>
      <c r="F219">
        <v>84</v>
      </c>
      <c r="G219">
        <f>AVERAGEIF(calls[Representative], calls[[#This Row],[Representative]], calls[Satisfaction Rating])</f>
        <v>3.8589371980676304</v>
      </c>
      <c r="H219" t="str">
        <f>IF(AVERAGEIF(calls[Representative],calls[[#This Row],[Representative]],calls[Satisfaction Rating])&lt;3.5,"Needs Training","OK")</f>
        <v>OK</v>
      </c>
      <c r="I219">
        <v>2.5</v>
      </c>
      <c r="J219">
        <f>IF(MONTH(calls[[#This Row],[Date of Call]])&lt;=6, YEAR(calls[[#This Row],[Date of Call]]), YEAR(calls[[#This Row],[Date of Call]])+1)</f>
        <v>2023</v>
      </c>
      <c r="K219" t="str">
        <f>TEXT(calls[[#This Row],[Date of Call]],"DDDD")</f>
        <v>Tuesday</v>
      </c>
      <c r="L219" t="str" cm="1">
        <f t="array" ref="L219">_xlfn.IFS(calls[[#This Row],[Duration]]&lt;=10,"under 10 mins",calls[[#This Row],[Duration]]&lt;=30,"10 to 30mins",calls[[#This Row],[Duration]]&lt;=60,"60 to 30mins",calls[[#This Row],[Duration]]&lt;=120,"1 to 2hrs",TRUE,"More than 2 hrs")</f>
        <v>1 to 2hrs</v>
      </c>
      <c r="M219">
        <f>ROUND(calls[[#This Row],[Satisfaction Rating]],0)</f>
        <v>3</v>
      </c>
      <c r="N219">
        <f>COUNTIF(calls[Customer ID], calls[[#This Row],[Customer ID]])</f>
        <v>59</v>
      </c>
      <c r="O219">
        <f>SUMIF(calls[Customer ID], calls[[#This Row],[Customer ID]], calls[Purchase Amount])</f>
        <v>5009</v>
      </c>
      <c r="P219">
        <f>calls[[#This Row],[call count]]/calls[[#This Row],[Purchase Amount]]</f>
        <v>0.70238095238095233</v>
      </c>
      <c r="Q219">
        <f>COUNTIF(calls[Customer ID],calls[[#This Row],[Customer ID]])</f>
        <v>59</v>
      </c>
      <c r="R219">
        <f>calls[[#This Row],[call count]]/calls[[#This Row],[Purchase Amount]]</f>
        <v>0.70238095238095233</v>
      </c>
    </row>
    <row r="220" spans="1:18" x14ac:dyDescent="0.4">
      <c r="A220" t="s">
        <v>250</v>
      </c>
      <c r="B220" t="s">
        <v>32</v>
      </c>
      <c r="C220">
        <v>68</v>
      </c>
      <c r="D220" s="4" t="s">
        <v>27</v>
      </c>
      <c r="E220" s="5">
        <v>44999</v>
      </c>
      <c r="F220">
        <v>32</v>
      </c>
      <c r="G220">
        <f>AVERAGEIF(calls[Representative], calls[[#This Row],[Representative]], calls[Satisfaction Rating])</f>
        <v>3.8589371980676304</v>
      </c>
      <c r="H220" t="str">
        <f>IF(AVERAGEIF(calls[Representative],calls[[#This Row],[Representative]],calls[Satisfaction Rating])&lt;3.5,"Needs Training","OK")</f>
        <v>OK</v>
      </c>
      <c r="I220">
        <v>4.9000000000000004</v>
      </c>
      <c r="J220">
        <f>IF(MONTH(calls[[#This Row],[Date of Call]])&lt;=6, YEAR(calls[[#This Row],[Date of Call]]), YEAR(calls[[#This Row],[Date of Call]])+1)</f>
        <v>2023</v>
      </c>
      <c r="K220" t="str">
        <f>TEXT(calls[[#This Row],[Date of Call]],"DDDD")</f>
        <v>Tuesday</v>
      </c>
      <c r="L220" t="str" cm="1">
        <f t="array" ref="L220">_xlfn.IFS(calls[[#This Row],[Duration]]&lt;=10,"under 10 mins",calls[[#This Row],[Duration]]&lt;=30,"10 to 30mins",calls[[#This Row],[Duration]]&lt;=60,"60 to 30mins",calls[[#This Row],[Duration]]&lt;=120,"1 to 2hrs",TRUE,"More than 2 hrs")</f>
        <v>1 to 2hrs</v>
      </c>
      <c r="M220">
        <f>ROUND(calls[[#This Row],[Satisfaction Rating]],0)</f>
        <v>5</v>
      </c>
      <c r="N220">
        <f>COUNTIF(calls[Customer ID], calls[[#This Row],[Customer ID]])</f>
        <v>63</v>
      </c>
      <c r="O220">
        <f>SUMIF(calls[Customer ID], calls[[#This Row],[Customer ID]], calls[Purchase Amount])</f>
        <v>5634</v>
      </c>
      <c r="P220">
        <f>calls[[#This Row],[call count]]/calls[[#This Row],[Purchase Amount]]</f>
        <v>1.96875</v>
      </c>
      <c r="Q220">
        <f>COUNTIF(calls[Customer ID],calls[[#This Row],[Customer ID]])</f>
        <v>63</v>
      </c>
      <c r="R220">
        <f>calls[[#This Row],[call count]]/calls[[#This Row],[Purchase Amount]]</f>
        <v>1.96875</v>
      </c>
    </row>
    <row r="221" spans="1:18" x14ac:dyDescent="0.4">
      <c r="A221" t="s">
        <v>251</v>
      </c>
      <c r="B221" t="s">
        <v>40</v>
      </c>
      <c r="C221">
        <v>72</v>
      </c>
      <c r="D221" s="4" t="s">
        <v>9</v>
      </c>
      <c r="E221" s="5">
        <v>44999</v>
      </c>
      <c r="F221">
        <v>132</v>
      </c>
      <c r="G221">
        <f>AVERAGEIF(calls[Representative], calls[[#This Row],[Representative]], calls[Satisfaction Rating])</f>
        <v>3.8706422018348627</v>
      </c>
      <c r="H221" t="str">
        <f>IF(AVERAGEIF(calls[Representative],calls[[#This Row],[Representative]],calls[Satisfaction Rating])&lt;3.5,"Needs Training","OK")</f>
        <v>OK</v>
      </c>
      <c r="I221">
        <v>3.4</v>
      </c>
      <c r="J221">
        <f>IF(MONTH(calls[[#This Row],[Date of Call]])&lt;=6, YEAR(calls[[#This Row],[Date of Call]]), YEAR(calls[[#This Row],[Date of Call]])+1)</f>
        <v>2023</v>
      </c>
      <c r="K221" t="str">
        <f>TEXT(calls[[#This Row],[Date of Call]],"DDDD")</f>
        <v>Tuesday</v>
      </c>
      <c r="L221" t="str" cm="1">
        <f t="array" ref="L221">_xlfn.IFS(calls[[#This Row],[Duration]]&lt;=10,"under 10 mins",calls[[#This Row],[Duration]]&lt;=30,"10 to 30mins",calls[[#This Row],[Duration]]&lt;=60,"60 to 30mins",calls[[#This Row],[Duration]]&lt;=120,"1 to 2hrs",TRUE,"More than 2 hrs")</f>
        <v>1 to 2hrs</v>
      </c>
      <c r="M221">
        <f>ROUND(calls[[#This Row],[Satisfaction Rating]],0)</f>
        <v>3</v>
      </c>
      <c r="N221">
        <f>COUNTIF(calls[Customer ID], calls[[#This Row],[Customer ID]])</f>
        <v>69</v>
      </c>
      <c r="O221">
        <f>SUMIF(calls[Customer ID], calls[[#This Row],[Customer ID]], calls[Purchase Amount])</f>
        <v>6601</v>
      </c>
      <c r="P221">
        <f>calls[[#This Row],[call count]]/calls[[#This Row],[Purchase Amount]]</f>
        <v>0.52272727272727271</v>
      </c>
      <c r="Q221">
        <f>COUNTIF(calls[Customer ID],calls[[#This Row],[Customer ID]])</f>
        <v>69</v>
      </c>
      <c r="R221">
        <f>calls[[#This Row],[call count]]/calls[[#This Row],[Purchase Amount]]</f>
        <v>0.52272727272727271</v>
      </c>
    </row>
    <row r="222" spans="1:18" x14ac:dyDescent="0.4">
      <c r="A222" t="s">
        <v>252</v>
      </c>
      <c r="B222" t="s">
        <v>40</v>
      </c>
      <c r="C222">
        <v>63</v>
      </c>
      <c r="D222" s="4" t="s">
        <v>2</v>
      </c>
      <c r="E222" s="5">
        <v>44999</v>
      </c>
      <c r="F222">
        <v>105</v>
      </c>
      <c r="G222">
        <f>AVERAGEIF(calls[Representative], calls[[#This Row],[Representative]], calls[Satisfaction Rating])</f>
        <v>3.8824999999999998</v>
      </c>
      <c r="H222" t="str">
        <f>IF(AVERAGEIF(calls[Representative],calls[[#This Row],[Representative]],calls[Satisfaction Rating])&lt;3.5,"Needs Training","OK")</f>
        <v>OK</v>
      </c>
      <c r="I222">
        <v>3.3</v>
      </c>
      <c r="J222">
        <f>IF(MONTH(calls[[#This Row],[Date of Call]])&lt;=6, YEAR(calls[[#This Row],[Date of Call]]), YEAR(calls[[#This Row],[Date of Call]])+1)</f>
        <v>2023</v>
      </c>
      <c r="K222" t="str">
        <f>TEXT(calls[[#This Row],[Date of Call]],"DDDD")</f>
        <v>Tuesday</v>
      </c>
      <c r="L222" t="str" cm="1">
        <f t="array" ref="L222">_xlfn.IFS(calls[[#This Row],[Duration]]&lt;=10,"under 10 mins",calls[[#This Row],[Duration]]&lt;=30,"10 to 30mins",calls[[#This Row],[Duration]]&lt;=60,"60 to 30mins",calls[[#This Row],[Duration]]&lt;=120,"1 to 2hrs",TRUE,"More than 2 hrs")</f>
        <v>1 to 2hrs</v>
      </c>
      <c r="M222">
        <f>ROUND(calls[[#This Row],[Satisfaction Rating]],0)</f>
        <v>3</v>
      </c>
      <c r="N222">
        <f>COUNTIF(calls[Customer ID], calls[[#This Row],[Customer ID]])</f>
        <v>69</v>
      </c>
      <c r="O222">
        <f>SUMIF(calls[Customer ID], calls[[#This Row],[Customer ID]], calls[Purchase Amount])</f>
        <v>6601</v>
      </c>
      <c r="P222">
        <f>calls[[#This Row],[call count]]/calls[[#This Row],[Purchase Amount]]</f>
        <v>0.65714285714285714</v>
      </c>
      <c r="Q222">
        <f>COUNTIF(calls[Customer ID],calls[[#This Row],[Customer ID]])</f>
        <v>69</v>
      </c>
      <c r="R222">
        <f>calls[[#This Row],[call count]]/calls[[#This Row],[Purchase Amount]]</f>
        <v>0.65714285714285714</v>
      </c>
    </row>
    <row r="223" spans="1:18" x14ac:dyDescent="0.4">
      <c r="A223" t="s">
        <v>253</v>
      </c>
      <c r="B223" t="s">
        <v>6</v>
      </c>
      <c r="C223">
        <v>139</v>
      </c>
      <c r="D223" s="4" t="s">
        <v>23</v>
      </c>
      <c r="E223" s="5">
        <v>45000</v>
      </c>
      <c r="F223">
        <v>48</v>
      </c>
      <c r="G223">
        <f>AVERAGEIF(calls[Representative], calls[[#This Row],[Representative]], calls[Satisfaction Rating])</f>
        <v>3.8973118279569863</v>
      </c>
      <c r="H223" t="str">
        <f>IF(AVERAGEIF(calls[Representative],calls[[#This Row],[Representative]],calls[Satisfaction Rating])&lt;3.5,"Needs Training","OK")</f>
        <v>OK</v>
      </c>
      <c r="I223">
        <v>4.7</v>
      </c>
      <c r="J223">
        <f>IF(MONTH(calls[[#This Row],[Date of Call]])&lt;=6, YEAR(calls[[#This Row],[Date of Call]]), YEAR(calls[[#This Row],[Date of Call]])+1)</f>
        <v>2023</v>
      </c>
      <c r="K223" t="str">
        <f>TEXT(calls[[#This Row],[Date of Call]],"DDDD")</f>
        <v>Wednesday</v>
      </c>
      <c r="L223" t="str" cm="1">
        <f t="array" ref="L223">_xlfn.IFS(calls[[#This Row],[Duration]]&lt;=10,"under 10 mins",calls[[#This Row],[Duration]]&lt;=30,"10 to 30mins",calls[[#This Row],[Duration]]&lt;=60,"60 to 30mins",calls[[#This Row],[Duration]]&lt;=120,"1 to 2hrs",TRUE,"More than 2 hrs")</f>
        <v>More than 2 hrs</v>
      </c>
      <c r="M223">
        <f>ROUND(calls[[#This Row],[Satisfaction Rating]],0)</f>
        <v>5</v>
      </c>
      <c r="N223">
        <f>COUNTIF(calls[Customer ID], calls[[#This Row],[Customer ID]])</f>
        <v>82</v>
      </c>
      <c r="O223">
        <f>SUMIF(calls[Customer ID], calls[[#This Row],[Customer ID]], calls[Purchase Amount])</f>
        <v>7689</v>
      </c>
      <c r="P223">
        <f>calls[[#This Row],[call count]]/calls[[#This Row],[Purchase Amount]]</f>
        <v>1.7083333333333333</v>
      </c>
      <c r="Q223">
        <f>COUNTIF(calls[Customer ID],calls[[#This Row],[Customer ID]])</f>
        <v>82</v>
      </c>
      <c r="R223">
        <f>calls[[#This Row],[call count]]/calls[[#This Row],[Purchase Amount]]</f>
        <v>1.7083333333333333</v>
      </c>
    </row>
    <row r="224" spans="1:18" x14ac:dyDescent="0.4">
      <c r="A224" t="s">
        <v>254</v>
      </c>
      <c r="B224" t="s">
        <v>30</v>
      </c>
      <c r="C224">
        <v>59</v>
      </c>
      <c r="D224" s="4" t="s">
        <v>23</v>
      </c>
      <c r="E224" s="5">
        <v>45000</v>
      </c>
      <c r="F224">
        <v>64</v>
      </c>
      <c r="G224">
        <f>AVERAGEIF(calls[Representative], calls[[#This Row],[Representative]], calls[Satisfaction Rating])</f>
        <v>3.8973118279569863</v>
      </c>
      <c r="H224" t="str">
        <f>IF(AVERAGEIF(calls[Representative],calls[[#This Row],[Representative]],calls[Satisfaction Rating])&lt;3.5,"Needs Training","OK")</f>
        <v>OK</v>
      </c>
      <c r="I224">
        <v>4</v>
      </c>
      <c r="J224">
        <f>IF(MONTH(calls[[#This Row],[Date of Call]])&lt;=6, YEAR(calls[[#This Row],[Date of Call]]), YEAR(calls[[#This Row],[Date of Call]])+1)</f>
        <v>2023</v>
      </c>
      <c r="K224" t="str">
        <f>TEXT(calls[[#This Row],[Date of Call]],"DDDD")</f>
        <v>Wednesday</v>
      </c>
      <c r="L224" t="str" cm="1">
        <f t="array" ref="L224">_xlfn.IFS(calls[[#This Row],[Duration]]&lt;=10,"under 10 mins",calls[[#This Row],[Duration]]&lt;=30,"10 to 30mins",calls[[#This Row],[Duration]]&lt;=60,"60 to 30mins",calls[[#This Row],[Duration]]&lt;=120,"1 to 2hrs",TRUE,"More than 2 hrs")</f>
        <v>60 to 30mins</v>
      </c>
      <c r="M224">
        <f>ROUND(calls[[#This Row],[Satisfaction Rating]],0)</f>
        <v>4</v>
      </c>
      <c r="N224">
        <f>COUNTIF(calls[Customer ID], calls[[#This Row],[Customer ID]])</f>
        <v>69</v>
      </c>
      <c r="O224">
        <f>SUMIF(calls[Customer ID], calls[[#This Row],[Customer ID]], calls[Purchase Amount])</f>
        <v>7230</v>
      </c>
      <c r="P224">
        <f>calls[[#This Row],[call count]]/calls[[#This Row],[Purchase Amount]]</f>
        <v>1.078125</v>
      </c>
      <c r="Q224">
        <f>COUNTIF(calls[Customer ID],calls[[#This Row],[Customer ID]])</f>
        <v>69</v>
      </c>
      <c r="R224">
        <f>calls[[#This Row],[call count]]/calls[[#This Row],[Purchase Amount]]</f>
        <v>1.078125</v>
      </c>
    </row>
    <row r="225" spans="1:18" x14ac:dyDescent="0.4">
      <c r="A225" t="s">
        <v>255</v>
      </c>
      <c r="B225" t="s">
        <v>44</v>
      </c>
      <c r="C225">
        <v>138</v>
      </c>
      <c r="D225" s="4" t="s">
        <v>2</v>
      </c>
      <c r="E225" s="5">
        <v>45000</v>
      </c>
      <c r="F225">
        <v>44</v>
      </c>
      <c r="G225">
        <f>AVERAGEIF(calls[Representative], calls[[#This Row],[Representative]], calls[Satisfaction Rating])</f>
        <v>3.8824999999999998</v>
      </c>
      <c r="H225" t="str">
        <f>IF(AVERAGEIF(calls[Representative],calls[[#This Row],[Representative]],calls[Satisfaction Rating])&lt;3.5,"Needs Training","OK")</f>
        <v>OK</v>
      </c>
      <c r="I225">
        <v>3.8</v>
      </c>
      <c r="J225">
        <f>IF(MONTH(calls[[#This Row],[Date of Call]])&lt;=6, YEAR(calls[[#This Row],[Date of Call]]), YEAR(calls[[#This Row],[Date of Call]])+1)</f>
        <v>2023</v>
      </c>
      <c r="K225" t="str">
        <f>TEXT(calls[[#This Row],[Date of Call]],"DDDD")</f>
        <v>Wednesday</v>
      </c>
      <c r="L225" t="str" cm="1">
        <f t="array" ref="L225">_xlfn.IFS(calls[[#This Row],[Duration]]&lt;=10,"under 10 mins",calls[[#This Row],[Duration]]&lt;=30,"10 to 30mins",calls[[#This Row],[Duration]]&lt;=60,"60 to 30mins",calls[[#This Row],[Duration]]&lt;=120,"1 to 2hrs",TRUE,"More than 2 hrs")</f>
        <v>More than 2 hrs</v>
      </c>
      <c r="M225">
        <f>ROUND(calls[[#This Row],[Satisfaction Rating]],0)</f>
        <v>4</v>
      </c>
      <c r="N225">
        <f>COUNTIF(calls[Customer ID], calls[[#This Row],[Customer ID]])</f>
        <v>62</v>
      </c>
      <c r="O225">
        <f>SUMIF(calls[Customer ID], calls[[#This Row],[Customer ID]], calls[Purchase Amount])</f>
        <v>6176</v>
      </c>
      <c r="P225">
        <f>calls[[#This Row],[call count]]/calls[[#This Row],[Purchase Amount]]</f>
        <v>1.4090909090909092</v>
      </c>
      <c r="Q225">
        <f>COUNTIF(calls[Customer ID],calls[[#This Row],[Customer ID]])</f>
        <v>62</v>
      </c>
      <c r="R225">
        <f>calls[[#This Row],[call count]]/calls[[#This Row],[Purchase Amount]]</f>
        <v>1.4090909090909092</v>
      </c>
    </row>
    <row r="226" spans="1:18" x14ac:dyDescent="0.4">
      <c r="A226" t="s">
        <v>256</v>
      </c>
      <c r="B226" t="s">
        <v>6</v>
      </c>
      <c r="C226">
        <v>47</v>
      </c>
      <c r="D226" s="4" t="s">
        <v>9</v>
      </c>
      <c r="E226" s="5">
        <v>45000</v>
      </c>
      <c r="F226">
        <v>120</v>
      </c>
      <c r="G226">
        <f>AVERAGEIF(calls[Representative], calls[[#This Row],[Representative]], calls[Satisfaction Rating])</f>
        <v>3.8706422018348627</v>
      </c>
      <c r="H226" t="str">
        <f>IF(AVERAGEIF(calls[Representative],calls[[#This Row],[Representative]],calls[Satisfaction Rating])&lt;3.5,"Needs Training","OK")</f>
        <v>OK</v>
      </c>
      <c r="I226">
        <v>3.1</v>
      </c>
      <c r="J226">
        <f>IF(MONTH(calls[[#This Row],[Date of Call]])&lt;=6, YEAR(calls[[#This Row],[Date of Call]]), YEAR(calls[[#This Row],[Date of Call]])+1)</f>
        <v>2023</v>
      </c>
      <c r="K226" t="str">
        <f>TEXT(calls[[#This Row],[Date of Call]],"DDDD")</f>
        <v>Wednesday</v>
      </c>
      <c r="L226" t="str" cm="1">
        <f t="array" ref="L226">_xlfn.IFS(calls[[#This Row],[Duration]]&lt;=10,"under 10 mins",calls[[#This Row],[Duration]]&lt;=30,"10 to 30mins",calls[[#This Row],[Duration]]&lt;=60,"60 to 30mins",calls[[#This Row],[Duration]]&lt;=120,"1 to 2hrs",TRUE,"More than 2 hrs")</f>
        <v>60 to 30mins</v>
      </c>
      <c r="M226">
        <f>ROUND(calls[[#This Row],[Satisfaction Rating]],0)</f>
        <v>3</v>
      </c>
      <c r="N226">
        <f>COUNTIF(calls[Customer ID], calls[[#This Row],[Customer ID]])</f>
        <v>82</v>
      </c>
      <c r="O226">
        <f>SUMIF(calls[Customer ID], calls[[#This Row],[Customer ID]], calls[Purchase Amount])</f>
        <v>7689</v>
      </c>
      <c r="P226">
        <f>calls[[#This Row],[call count]]/calls[[#This Row],[Purchase Amount]]</f>
        <v>0.68333333333333335</v>
      </c>
      <c r="Q226">
        <f>COUNTIF(calls[Customer ID],calls[[#This Row],[Customer ID]])</f>
        <v>82</v>
      </c>
      <c r="R226">
        <f>calls[[#This Row],[call count]]/calls[[#This Row],[Purchase Amount]]</f>
        <v>0.68333333333333335</v>
      </c>
    </row>
    <row r="227" spans="1:18" x14ac:dyDescent="0.4">
      <c r="A227" t="s">
        <v>257</v>
      </c>
      <c r="B227" t="s">
        <v>44</v>
      </c>
      <c r="C227">
        <v>74</v>
      </c>
      <c r="D227" s="4" t="s">
        <v>9</v>
      </c>
      <c r="E227" s="5">
        <v>45000</v>
      </c>
      <c r="F227">
        <v>144</v>
      </c>
      <c r="G227">
        <f>AVERAGEIF(calls[Representative], calls[[#This Row],[Representative]], calls[Satisfaction Rating])</f>
        <v>3.8706422018348627</v>
      </c>
      <c r="H227" t="str">
        <f>IF(AVERAGEIF(calls[Representative],calls[[#This Row],[Representative]],calls[Satisfaction Rating])&lt;3.5,"Needs Training","OK")</f>
        <v>OK</v>
      </c>
      <c r="I227">
        <v>4.8</v>
      </c>
      <c r="J227">
        <f>IF(MONTH(calls[[#This Row],[Date of Call]])&lt;=6, YEAR(calls[[#This Row],[Date of Call]]), YEAR(calls[[#This Row],[Date of Call]])+1)</f>
        <v>2023</v>
      </c>
      <c r="K227" t="str">
        <f>TEXT(calls[[#This Row],[Date of Call]],"DDDD")</f>
        <v>Wednesday</v>
      </c>
      <c r="L227" t="str" cm="1">
        <f t="array" ref="L227">_xlfn.IFS(calls[[#This Row],[Duration]]&lt;=10,"under 10 mins",calls[[#This Row],[Duration]]&lt;=30,"10 to 30mins",calls[[#This Row],[Duration]]&lt;=60,"60 to 30mins",calls[[#This Row],[Duration]]&lt;=120,"1 to 2hrs",TRUE,"More than 2 hrs")</f>
        <v>1 to 2hrs</v>
      </c>
      <c r="M227">
        <f>ROUND(calls[[#This Row],[Satisfaction Rating]],0)</f>
        <v>5</v>
      </c>
      <c r="N227">
        <f>COUNTIF(calls[Customer ID], calls[[#This Row],[Customer ID]])</f>
        <v>62</v>
      </c>
      <c r="O227">
        <f>SUMIF(calls[Customer ID], calls[[#This Row],[Customer ID]], calls[Purchase Amount])</f>
        <v>6176</v>
      </c>
      <c r="P227">
        <f>calls[[#This Row],[call count]]/calls[[#This Row],[Purchase Amount]]</f>
        <v>0.43055555555555558</v>
      </c>
      <c r="Q227">
        <f>COUNTIF(calls[Customer ID],calls[[#This Row],[Customer ID]])</f>
        <v>62</v>
      </c>
      <c r="R227">
        <f>calls[[#This Row],[call count]]/calls[[#This Row],[Purchase Amount]]</f>
        <v>0.43055555555555558</v>
      </c>
    </row>
    <row r="228" spans="1:18" x14ac:dyDescent="0.4">
      <c r="A228" t="s">
        <v>258</v>
      </c>
      <c r="B228" t="s">
        <v>40</v>
      </c>
      <c r="C228">
        <v>65</v>
      </c>
      <c r="D228" s="4" t="s">
        <v>9</v>
      </c>
      <c r="E228" s="5">
        <v>45000</v>
      </c>
      <c r="F228">
        <v>87</v>
      </c>
      <c r="G228">
        <f>AVERAGEIF(calls[Representative], calls[[#This Row],[Representative]], calls[Satisfaction Rating])</f>
        <v>3.8706422018348627</v>
      </c>
      <c r="H228" t="str">
        <f>IF(AVERAGEIF(calls[Representative],calls[[#This Row],[Representative]],calls[Satisfaction Rating])&lt;3.5,"Needs Training","OK")</f>
        <v>OK</v>
      </c>
      <c r="I228">
        <v>2.7</v>
      </c>
      <c r="J228">
        <f>IF(MONTH(calls[[#This Row],[Date of Call]])&lt;=6, YEAR(calls[[#This Row],[Date of Call]]), YEAR(calls[[#This Row],[Date of Call]])+1)</f>
        <v>2023</v>
      </c>
      <c r="K228" t="str">
        <f>TEXT(calls[[#This Row],[Date of Call]],"DDDD")</f>
        <v>Wednesday</v>
      </c>
      <c r="L228" t="str" cm="1">
        <f t="array" ref="L228">_xlfn.IFS(calls[[#This Row],[Duration]]&lt;=10,"under 10 mins",calls[[#This Row],[Duration]]&lt;=30,"10 to 30mins",calls[[#This Row],[Duration]]&lt;=60,"60 to 30mins",calls[[#This Row],[Duration]]&lt;=120,"1 to 2hrs",TRUE,"More than 2 hrs")</f>
        <v>1 to 2hrs</v>
      </c>
      <c r="M228">
        <f>ROUND(calls[[#This Row],[Satisfaction Rating]],0)</f>
        <v>3</v>
      </c>
      <c r="N228">
        <f>COUNTIF(calls[Customer ID], calls[[#This Row],[Customer ID]])</f>
        <v>69</v>
      </c>
      <c r="O228">
        <f>SUMIF(calls[Customer ID], calls[[#This Row],[Customer ID]], calls[Purchase Amount])</f>
        <v>6601</v>
      </c>
      <c r="P228">
        <f>calls[[#This Row],[call count]]/calls[[#This Row],[Purchase Amount]]</f>
        <v>0.7931034482758621</v>
      </c>
      <c r="Q228">
        <f>COUNTIF(calls[Customer ID],calls[[#This Row],[Customer ID]])</f>
        <v>69</v>
      </c>
      <c r="R228">
        <f>calls[[#This Row],[call count]]/calls[[#This Row],[Purchase Amount]]</f>
        <v>0.7931034482758621</v>
      </c>
    </row>
    <row r="229" spans="1:18" x14ac:dyDescent="0.4">
      <c r="A229" t="s">
        <v>259</v>
      </c>
      <c r="B229" t="s">
        <v>13</v>
      </c>
      <c r="C229">
        <v>123</v>
      </c>
      <c r="D229" s="4" t="s">
        <v>27</v>
      </c>
      <c r="E229" s="5">
        <v>45000</v>
      </c>
      <c r="F229">
        <v>36</v>
      </c>
      <c r="G229">
        <f>AVERAGEIF(calls[Representative], calls[[#This Row],[Representative]], calls[Satisfaction Rating])</f>
        <v>3.8589371980676304</v>
      </c>
      <c r="H229" t="str">
        <f>IF(AVERAGEIF(calls[Representative],calls[[#This Row],[Representative]],calls[Satisfaction Rating])&lt;3.5,"Needs Training","OK")</f>
        <v>OK</v>
      </c>
      <c r="I229">
        <v>3.6</v>
      </c>
      <c r="J229">
        <f>IF(MONTH(calls[[#This Row],[Date of Call]])&lt;=6, YEAR(calls[[#This Row],[Date of Call]]), YEAR(calls[[#This Row],[Date of Call]])+1)</f>
        <v>2023</v>
      </c>
      <c r="K229" t="str">
        <f>TEXT(calls[[#This Row],[Date of Call]],"DDDD")</f>
        <v>Wednesday</v>
      </c>
      <c r="L229" t="str" cm="1">
        <f t="array" ref="L229">_xlfn.IFS(calls[[#This Row],[Duration]]&lt;=10,"under 10 mins",calls[[#This Row],[Duration]]&lt;=30,"10 to 30mins",calls[[#This Row],[Duration]]&lt;=60,"60 to 30mins",calls[[#This Row],[Duration]]&lt;=120,"1 to 2hrs",TRUE,"More than 2 hrs")</f>
        <v>More than 2 hrs</v>
      </c>
      <c r="M229">
        <f>ROUND(calls[[#This Row],[Satisfaction Rating]],0)</f>
        <v>4</v>
      </c>
      <c r="N229">
        <f>COUNTIF(calls[Customer ID], calls[[#This Row],[Customer ID]])</f>
        <v>74</v>
      </c>
      <c r="O229">
        <f>SUMIF(calls[Customer ID], calls[[#This Row],[Customer ID]], calls[Purchase Amount])</f>
        <v>6749</v>
      </c>
      <c r="P229">
        <f>calls[[#This Row],[call count]]/calls[[#This Row],[Purchase Amount]]</f>
        <v>2.0555555555555554</v>
      </c>
      <c r="Q229">
        <f>COUNTIF(calls[Customer ID],calls[[#This Row],[Customer ID]])</f>
        <v>74</v>
      </c>
      <c r="R229">
        <f>calls[[#This Row],[call count]]/calls[[#This Row],[Purchase Amount]]</f>
        <v>2.0555555555555554</v>
      </c>
    </row>
    <row r="230" spans="1:18" x14ac:dyDescent="0.4">
      <c r="A230" t="s">
        <v>260</v>
      </c>
      <c r="B230" t="s">
        <v>40</v>
      </c>
      <c r="C230">
        <v>90</v>
      </c>
      <c r="D230" s="4" t="s">
        <v>23</v>
      </c>
      <c r="E230" s="5">
        <v>45001</v>
      </c>
      <c r="F230">
        <v>72</v>
      </c>
      <c r="G230">
        <f>AVERAGEIF(calls[Representative], calls[[#This Row],[Representative]], calls[Satisfaction Rating])</f>
        <v>3.8973118279569863</v>
      </c>
      <c r="H230" t="str">
        <f>IF(AVERAGEIF(calls[Representative],calls[[#This Row],[Representative]],calls[Satisfaction Rating])&lt;3.5,"Needs Training","OK")</f>
        <v>OK</v>
      </c>
      <c r="I230">
        <v>4.7</v>
      </c>
      <c r="J230">
        <f>IF(MONTH(calls[[#This Row],[Date of Call]])&lt;=6, YEAR(calls[[#This Row],[Date of Call]]), YEAR(calls[[#This Row],[Date of Call]])+1)</f>
        <v>2023</v>
      </c>
      <c r="K230" t="str">
        <f>TEXT(calls[[#This Row],[Date of Call]],"DDDD")</f>
        <v>Thursday</v>
      </c>
      <c r="L230" t="str" cm="1">
        <f t="array" ref="L230">_xlfn.IFS(calls[[#This Row],[Duration]]&lt;=10,"under 10 mins",calls[[#This Row],[Duration]]&lt;=30,"10 to 30mins",calls[[#This Row],[Duration]]&lt;=60,"60 to 30mins",calls[[#This Row],[Duration]]&lt;=120,"1 to 2hrs",TRUE,"More than 2 hrs")</f>
        <v>1 to 2hrs</v>
      </c>
      <c r="M230">
        <f>ROUND(calls[[#This Row],[Satisfaction Rating]],0)</f>
        <v>5</v>
      </c>
      <c r="N230">
        <f>COUNTIF(calls[Customer ID], calls[[#This Row],[Customer ID]])</f>
        <v>69</v>
      </c>
      <c r="O230">
        <f>SUMIF(calls[Customer ID], calls[[#This Row],[Customer ID]], calls[Purchase Amount])</f>
        <v>6601</v>
      </c>
      <c r="P230">
        <f>calls[[#This Row],[call count]]/calls[[#This Row],[Purchase Amount]]</f>
        <v>0.95833333333333337</v>
      </c>
      <c r="Q230">
        <f>COUNTIF(calls[Customer ID],calls[[#This Row],[Customer ID]])</f>
        <v>69</v>
      </c>
      <c r="R230">
        <f>calls[[#This Row],[call count]]/calls[[#This Row],[Purchase Amount]]</f>
        <v>0.95833333333333337</v>
      </c>
    </row>
    <row r="231" spans="1:18" x14ac:dyDescent="0.4">
      <c r="A231" t="s">
        <v>261</v>
      </c>
      <c r="B231" t="s">
        <v>64</v>
      </c>
      <c r="C231">
        <v>127</v>
      </c>
      <c r="D231" s="4" t="s">
        <v>2</v>
      </c>
      <c r="E231" s="5">
        <v>45001</v>
      </c>
      <c r="F231">
        <v>150</v>
      </c>
      <c r="G231">
        <f>AVERAGEIF(calls[Representative], calls[[#This Row],[Representative]], calls[Satisfaction Rating])</f>
        <v>3.8824999999999998</v>
      </c>
      <c r="H231" t="str">
        <f>IF(AVERAGEIF(calls[Representative],calls[[#This Row],[Representative]],calls[Satisfaction Rating])&lt;3.5,"Needs Training","OK")</f>
        <v>OK</v>
      </c>
      <c r="I231">
        <v>4.4000000000000004</v>
      </c>
      <c r="J231">
        <f>IF(MONTH(calls[[#This Row],[Date of Call]])&lt;=6, YEAR(calls[[#This Row],[Date of Call]]), YEAR(calls[[#This Row],[Date of Call]])+1)</f>
        <v>2023</v>
      </c>
      <c r="K231" t="str">
        <f>TEXT(calls[[#This Row],[Date of Call]],"DDDD")</f>
        <v>Thursday</v>
      </c>
      <c r="L231" t="str" cm="1">
        <f t="array" ref="L231">_xlfn.IFS(calls[[#This Row],[Duration]]&lt;=10,"under 10 mins",calls[[#This Row],[Duration]]&lt;=30,"10 to 30mins",calls[[#This Row],[Duration]]&lt;=60,"60 to 30mins",calls[[#This Row],[Duration]]&lt;=120,"1 to 2hrs",TRUE,"More than 2 hrs")</f>
        <v>More than 2 hrs</v>
      </c>
      <c r="M231">
        <f>ROUND(calls[[#This Row],[Satisfaction Rating]],0)</f>
        <v>4</v>
      </c>
      <c r="N231">
        <f>COUNTIF(calls[Customer ID], calls[[#This Row],[Customer ID]])</f>
        <v>65</v>
      </c>
      <c r="O231">
        <f>SUMIF(calls[Customer ID], calls[[#This Row],[Customer ID]], calls[Purchase Amount])</f>
        <v>6785</v>
      </c>
      <c r="P231">
        <f>calls[[#This Row],[call count]]/calls[[#This Row],[Purchase Amount]]</f>
        <v>0.43333333333333335</v>
      </c>
      <c r="Q231">
        <f>COUNTIF(calls[Customer ID],calls[[#This Row],[Customer ID]])</f>
        <v>65</v>
      </c>
      <c r="R231">
        <f>calls[[#This Row],[call count]]/calls[[#This Row],[Purchase Amount]]</f>
        <v>0.43333333333333335</v>
      </c>
    </row>
    <row r="232" spans="1:18" x14ac:dyDescent="0.4">
      <c r="A232" t="s">
        <v>262</v>
      </c>
      <c r="B232" t="s">
        <v>11</v>
      </c>
      <c r="C232">
        <v>60</v>
      </c>
      <c r="D232" s="4" t="s">
        <v>9</v>
      </c>
      <c r="E232" s="5">
        <v>45001</v>
      </c>
      <c r="F232">
        <v>68</v>
      </c>
      <c r="G232">
        <f>AVERAGEIF(calls[Representative], calls[[#This Row],[Representative]], calls[Satisfaction Rating])</f>
        <v>3.8706422018348627</v>
      </c>
      <c r="H232" t="str">
        <f>IF(AVERAGEIF(calls[Representative],calls[[#This Row],[Representative]],calls[Satisfaction Rating])&lt;3.5,"Needs Training","OK")</f>
        <v>OK</v>
      </c>
      <c r="I232">
        <v>4.3</v>
      </c>
      <c r="J232">
        <f>IF(MONTH(calls[[#This Row],[Date of Call]])&lt;=6, YEAR(calls[[#This Row],[Date of Call]]), YEAR(calls[[#This Row],[Date of Call]])+1)</f>
        <v>2023</v>
      </c>
      <c r="K232" t="str">
        <f>TEXT(calls[[#This Row],[Date of Call]],"DDDD")</f>
        <v>Thursday</v>
      </c>
      <c r="L232" t="str" cm="1">
        <f t="array" ref="L232">_xlfn.IFS(calls[[#This Row],[Duration]]&lt;=10,"under 10 mins",calls[[#This Row],[Duration]]&lt;=30,"10 to 30mins",calls[[#This Row],[Duration]]&lt;=60,"60 to 30mins",calls[[#This Row],[Duration]]&lt;=120,"1 to 2hrs",TRUE,"More than 2 hrs")</f>
        <v>60 to 30mins</v>
      </c>
      <c r="M232">
        <f>ROUND(calls[[#This Row],[Satisfaction Rating]],0)</f>
        <v>4</v>
      </c>
      <c r="N232">
        <f>COUNTIF(calls[Customer ID], calls[[#This Row],[Customer ID]])</f>
        <v>60</v>
      </c>
      <c r="O232">
        <f>SUMIF(calls[Customer ID], calls[[#This Row],[Customer ID]], calls[Purchase Amount])</f>
        <v>5404</v>
      </c>
      <c r="P232">
        <f>calls[[#This Row],[call count]]/calls[[#This Row],[Purchase Amount]]</f>
        <v>0.88235294117647056</v>
      </c>
      <c r="Q232">
        <f>COUNTIF(calls[Customer ID],calls[[#This Row],[Customer ID]])</f>
        <v>60</v>
      </c>
      <c r="R232">
        <f>calls[[#This Row],[call count]]/calls[[#This Row],[Purchase Amount]]</f>
        <v>0.88235294117647056</v>
      </c>
    </row>
    <row r="233" spans="1:18" x14ac:dyDescent="0.4">
      <c r="A233" t="s">
        <v>263</v>
      </c>
      <c r="B233" t="s">
        <v>6</v>
      </c>
      <c r="C233">
        <v>94</v>
      </c>
      <c r="D233" s="4" t="s">
        <v>2</v>
      </c>
      <c r="E233" s="5">
        <v>45001</v>
      </c>
      <c r="F233">
        <v>99</v>
      </c>
      <c r="G233">
        <f>AVERAGEIF(calls[Representative], calls[[#This Row],[Representative]], calls[Satisfaction Rating])</f>
        <v>3.8824999999999998</v>
      </c>
      <c r="H233" t="str">
        <f>IF(AVERAGEIF(calls[Representative],calls[[#This Row],[Representative]],calls[Satisfaction Rating])&lt;3.5,"Needs Training","OK")</f>
        <v>OK</v>
      </c>
      <c r="I233">
        <v>4.9000000000000004</v>
      </c>
      <c r="J233">
        <f>IF(MONTH(calls[[#This Row],[Date of Call]])&lt;=6, YEAR(calls[[#This Row],[Date of Call]]), YEAR(calls[[#This Row],[Date of Call]])+1)</f>
        <v>2023</v>
      </c>
      <c r="K233" t="str">
        <f>TEXT(calls[[#This Row],[Date of Call]],"DDDD")</f>
        <v>Thursday</v>
      </c>
      <c r="L233" t="str" cm="1">
        <f t="array" ref="L233">_xlfn.IFS(calls[[#This Row],[Duration]]&lt;=10,"under 10 mins",calls[[#This Row],[Duration]]&lt;=30,"10 to 30mins",calls[[#This Row],[Duration]]&lt;=60,"60 to 30mins",calls[[#This Row],[Duration]]&lt;=120,"1 to 2hrs",TRUE,"More than 2 hrs")</f>
        <v>1 to 2hrs</v>
      </c>
      <c r="M233">
        <f>ROUND(calls[[#This Row],[Satisfaction Rating]],0)</f>
        <v>5</v>
      </c>
      <c r="N233">
        <f>COUNTIF(calls[Customer ID], calls[[#This Row],[Customer ID]])</f>
        <v>82</v>
      </c>
      <c r="O233">
        <f>SUMIF(calls[Customer ID], calls[[#This Row],[Customer ID]], calls[Purchase Amount])</f>
        <v>7689</v>
      </c>
      <c r="P233">
        <f>calls[[#This Row],[call count]]/calls[[#This Row],[Purchase Amount]]</f>
        <v>0.82828282828282829</v>
      </c>
      <c r="Q233">
        <f>COUNTIF(calls[Customer ID],calls[[#This Row],[Customer ID]])</f>
        <v>82</v>
      </c>
      <c r="R233">
        <f>calls[[#This Row],[call count]]/calls[[#This Row],[Purchase Amount]]</f>
        <v>0.82828282828282829</v>
      </c>
    </row>
    <row r="234" spans="1:18" x14ac:dyDescent="0.4">
      <c r="A234" t="s">
        <v>264</v>
      </c>
      <c r="B234" t="s">
        <v>13</v>
      </c>
      <c r="C234">
        <v>54</v>
      </c>
      <c r="D234" s="4" t="s">
        <v>9</v>
      </c>
      <c r="E234" s="5">
        <v>45001</v>
      </c>
      <c r="F234">
        <v>26</v>
      </c>
      <c r="G234">
        <f>AVERAGEIF(calls[Representative], calls[[#This Row],[Representative]], calls[Satisfaction Rating])</f>
        <v>3.8706422018348627</v>
      </c>
      <c r="H234" t="str">
        <f>IF(AVERAGEIF(calls[Representative],calls[[#This Row],[Representative]],calls[Satisfaction Rating])&lt;3.5,"Needs Training","OK")</f>
        <v>OK</v>
      </c>
      <c r="I234">
        <v>4.8</v>
      </c>
      <c r="J234">
        <f>IF(MONTH(calls[[#This Row],[Date of Call]])&lt;=6, YEAR(calls[[#This Row],[Date of Call]]), YEAR(calls[[#This Row],[Date of Call]])+1)</f>
        <v>2023</v>
      </c>
      <c r="K234" t="str">
        <f>TEXT(calls[[#This Row],[Date of Call]],"DDDD")</f>
        <v>Thursday</v>
      </c>
      <c r="L234" t="str" cm="1">
        <f t="array" ref="L234">_xlfn.IFS(calls[[#This Row],[Duration]]&lt;=10,"under 10 mins",calls[[#This Row],[Duration]]&lt;=30,"10 to 30mins",calls[[#This Row],[Duration]]&lt;=60,"60 to 30mins",calls[[#This Row],[Duration]]&lt;=120,"1 to 2hrs",TRUE,"More than 2 hrs")</f>
        <v>60 to 30mins</v>
      </c>
      <c r="M234">
        <f>ROUND(calls[[#This Row],[Satisfaction Rating]],0)</f>
        <v>5</v>
      </c>
      <c r="N234">
        <f>COUNTIF(calls[Customer ID], calls[[#This Row],[Customer ID]])</f>
        <v>74</v>
      </c>
      <c r="O234">
        <f>SUMIF(calls[Customer ID], calls[[#This Row],[Customer ID]], calls[Purchase Amount])</f>
        <v>6749</v>
      </c>
      <c r="P234">
        <f>calls[[#This Row],[call count]]/calls[[#This Row],[Purchase Amount]]</f>
        <v>2.8461538461538463</v>
      </c>
      <c r="Q234">
        <f>COUNTIF(calls[Customer ID],calls[[#This Row],[Customer ID]])</f>
        <v>74</v>
      </c>
      <c r="R234">
        <f>calls[[#This Row],[call count]]/calls[[#This Row],[Purchase Amount]]</f>
        <v>2.8461538461538463</v>
      </c>
    </row>
    <row r="235" spans="1:18" x14ac:dyDescent="0.4">
      <c r="A235" t="s">
        <v>265</v>
      </c>
      <c r="B235" t="s">
        <v>40</v>
      </c>
      <c r="C235">
        <v>104</v>
      </c>
      <c r="D235" s="4" t="s">
        <v>9</v>
      </c>
      <c r="E235" s="5">
        <v>45001</v>
      </c>
      <c r="F235">
        <v>88</v>
      </c>
      <c r="G235">
        <f>AVERAGEIF(calls[Representative], calls[[#This Row],[Representative]], calls[Satisfaction Rating])</f>
        <v>3.8706422018348627</v>
      </c>
      <c r="H235" t="str">
        <f>IF(AVERAGEIF(calls[Representative],calls[[#This Row],[Representative]],calls[Satisfaction Rating])&lt;3.5,"Needs Training","OK")</f>
        <v>OK</v>
      </c>
      <c r="I235">
        <v>3.2</v>
      </c>
      <c r="J235">
        <f>IF(MONTH(calls[[#This Row],[Date of Call]])&lt;=6, YEAR(calls[[#This Row],[Date of Call]]), YEAR(calls[[#This Row],[Date of Call]])+1)</f>
        <v>2023</v>
      </c>
      <c r="K235" t="str">
        <f>TEXT(calls[[#This Row],[Date of Call]],"DDDD")</f>
        <v>Thursday</v>
      </c>
      <c r="L235" t="str" cm="1">
        <f t="array" ref="L235">_xlfn.IFS(calls[[#This Row],[Duration]]&lt;=10,"under 10 mins",calls[[#This Row],[Duration]]&lt;=30,"10 to 30mins",calls[[#This Row],[Duration]]&lt;=60,"60 to 30mins",calls[[#This Row],[Duration]]&lt;=120,"1 to 2hrs",TRUE,"More than 2 hrs")</f>
        <v>1 to 2hrs</v>
      </c>
      <c r="M235">
        <f>ROUND(calls[[#This Row],[Satisfaction Rating]],0)</f>
        <v>3</v>
      </c>
      <c r="N235">
        <f>COUNTIF(calls[Customer ID], calls[[#This Row],[Customer ID]])</f>
        <v>69</v>
      </c>
      <c r="O235">
        <f>SUMIF(calls[Customer ID], calls[[#This Row],[Customer ID]], calls[Purchase Amount])</f>
        <v>6601</v>
      </c>
      <c r="P235">
        <f>calls[[#This Row],[call count]]/calls[[#This Row],[Purchase Amount]]</f>
        <v>0.78409090909090906</v>
      </c>
      <c r="Q235">
        <f>COUNTIF(calls[Customer ID],calls[[#This Row],[Customer ID]])</f>
        <v>69</v>
      </c>
      <c r="R235">
        <f>calls[[#This Row],[call count]]/calls[[#This Row],[Purchase Amount]]</f>
        <v>0.78409090909090906</v>
      </c>
    </row>
    <row r="236" spans="1:18" x14ac:dyDescent="0.4">
      <c r="A236" t="s">
        <v>266</v>
      </c>
      <c r="B236" t="s">
        <v>21</v>
      </c>
      <c r="C236">
        <v>100</v>
      </c>
      <c r="D236" s="4" t="s">
        <v>9</v>
      </c>
      <c r="E236" s="5">
        <v>45001</v>
      </c>
      <c r="F236">
        <v>124</v>
      </c>
      <c r="G236">
        <f>AVERAGEIF(calls[Representative], calls[[#This Row],[Representative]], calls[Satisfaction Rating])</f>
        <v>3.8706422018348627</v>
      </c>
      <c r="H236" t="str">
        <f>IF(AVERAGEIF(calls[Representative],calls[[#This Row],[Representative]],calls[Satisfaction Rating])&lt;3.5,"Needs Training","OK")</f>
        <v>OK</v>
      </c>
      <c r="I236">
        <v>3.4</v>
      </c>
      <c r="J236">
        <f>IF(MONTH(calls[[#This Row],[Date of Call]])&lt;=6, YEAR(calls[[#This Row],[Date of Call]]), YEAR(calls[[#This Row],[Date of Call]])+1)</f>
        <v>2023</v>
      </c>
      <c r="K236" t="str">
        <f>TEXT(calls[[#This Row],[Date of Call]],"DDDD")</f>
        <v>Thursday</v>
      </c>
      <c r="L236" t="str" cm="1">
        <f t="array" ref="L236">_xlfn.IFS(calls[[#This Row],[Duration]]&lt;=10,"under 10 mins",calls[[#This Row],[Duration]]&lt;=30,"10 to 30mins",calls[[#This Row],[Duration]]&lt;=60,"60 to 30mins",calls[[#This Row],[Duration]]&lt;=120,"1 to 2hrs",TRUE,"More than 2 hrs")</f>
        <v>1 to 2hrs</v>
      </c>
      <c r="M236">
        <f>ROUND(calls[[#This Row],[Satisfaction Rating]],0)</f>
        <v>3</v>
      </c>
      <c r="N236">
        <f>COUNTIF(calls[Customer ID], calls[[#This Row],[Customer ID]])</f>
        <v>67</v>
      </c>
      <c r="O236">
        <f>SUMIF(calls[Customer ID], calls[[#This Row],[Customer ID]], calls[Purchase Amount])</f>
        <v>7216</v>
      </c>
      <c r="P236">
        <f>calls[[#This Row],[call count]]/calls[[#This Row],[Purchase Amount]]</f>
        <v>0.54032258064516125</v>
      </c>
      <c r="Q236">
        <f>COUNTIF(calls[Customer ID],calls[[#This Row],[Customer ID]])</f>
        <v>67</v>
      </c>
      <c r="R236">
        <f>calls[[#This Row],[call count]]/calls[[#This Row],[Purchase Amount]]</f>
        <v>0.54032258064516125</v>
      </c>
    </row>
    <row r="237" spans="1:18" x14ac:dyDescent="0.4">
      <c r="A237" t="s">
        <v>267</v>
      </c>
      <c r="B237" t="s">
        <v>44</v>
      </c>
      <c r="C237">
        <v>84</v>
      </c>
      <c r="D237" s="4" t="s">
        <v>9</v>
      </c>
      <c r="E237" s="5">
        <v>45001</v>
      </c>
      <c r="F237">
        <v>72</v>
      </c>
      <c r="G237">
        <f>AVERAGEIF(calls[Representative], calls[[#This Row],[Representative]], calls[Satisfaction Rating])</f>
        <v>3.8706422018348627</v>
      </c>
      <c r="H237" t="str">
        <f>IF(AVERAGEIF(calls[Representative],calls[[#This Row],[Representative]],calls[Satisfaction Rating])&lt;3.5,"Needs Training","OK")</f>
        <v>OK</v>
      </c>
      <c r="I237">
        <v>3.5</v>
      </c>
      <c r="J237">
        <f>IF(MONTH(calls[[#This Row],[Date of Call]])&lt;=6, YEAR(calls[[#This Row],[Date of Call]]), YEAR(calls[[#This Row],[Date of Call]])+1)</f>
        <v>2023</v>
      </c>
      <c r="K237" t="str">
        <f>TEXT(calls[[#This Row],[Date of Call]],"DDDD")</f>
        <v>Thursday</v>
      </c>
      <c r="L237" t="str" cm="1">
        <f t="array" ref="L237">_xlfn.IFS(calls[[#This Row],[Duration]]&lt;=10,"under 10 mins",calls[[#This Row],[Duration]]&lt;=30,"10 to 30mins",calls[[#This Row],[Duration]]&lt;=60,"60 to 30mins",calls[[#This Row],[Duration]]&lt;=120,"1 to 2hrs",TRUE,"More than 2 hrs")</f>
        <v>1 to 2hrs</v>
      </c>
      <c r="M237">
        <f>ROUND(calls[[#This Row],[Satisfaction Rating]],0)</f>
        <v>4</v>
      </c>
      <c r="N237">
        <f>COUNTIF(calls[Customer ID], calls[[#This Row],[Customer ID]])</f>
        <v>62</v>
      </c>
      <c r="O237">
        <f>SUMIF(calls[Customer ID], calls[[#This Row],[Customer ID]], calls[Purchase Amount])</f>
        <v>6176</v>
      </c>
      <c r="P237">
        <f>calls[[#This Row],[call count]]/calls[[#This Row],[Purchase Amount]]</f>
        <v>0.86111111111111116</v>
      </c>
      <c r="Q237">
        <f>COUNTIF(calls[Customer ID],calls[[#This Row],[Customer ID]])</f>
        <v>62</v>
      </c>
      <c r="R237">
        <f>calls[[#This Row],[call count]]/calls[[#This Row],[Purchase Amount]]</f>
        <v>0.86111111111111116</v>
      </c>
    </row>
    <row r="238" spans="1:18" x14ac:dyDescent="0.4">
      <c r="A238" t="s">
        <v>268</v>
      </c>
      <c r="B238" t="s">
        <v>1</v>
      </c>
      <c r="C238">
        <v>92</v>
      </c>
      <c r="D238" s="4" t="s">
        <v>14</v>
      </c>
      <c r="E238" s="5">
        <v>45002</v>
      </c>
      <c r="F238">
        <v>125</v>
      </c>
      <c r="G238">
        <f>AVERAGEIF(calls[Representative], calls[[#This Row],[Representative]], calls[Satisfaction Rating])</f>
        <v>3.9227513227513247</v>
      </c>
      <c r="H238" t="str">
        <f>IF(AVERAGEIF(calls[Representative],calls[[#This Row],[Representative]],calls[Satisfaction Rating])&lt;3.5,"Needs Training","OK")</f>
        <v>OK</v>
      </c>
      <c r="I238">
        <v>4.9000000000000004</v>
      </c>
      <c r="J238">
        <f>IF(MONTH(calls[[#This Row],[Date of Call]])&lt;=6, YEAR(calls[[#This Row],[Date of Call]]), YEAR(calls[[#This Row],[Date of Call]])+1)</f>
        <v>2023</v>
      </c>
      <c r="K238" t="str">
        <f>TEXT(calls[[#This Row],[Date of Call]],"DDDD")</f>
        <v>Friday</v>
      </c>
      <c r="L238" t="str" cm="1">
        <f t="array" ref="L238">_xlfn.IFS(calls[[#This Row],[Duration]]&lt;=10,"under 10 mins",calls[[#This Row],[Duration]]&lt;=30,"10 to 30mins",calls[[#This Row],[Duration]]&lt;=60,"60 to 30mins",calls[[#This Row],[Duration]]&lt;=120,"1 to 2hrs",TRUE,"More than 2 hrs")</f>
        <v>1 to 2hrs</v>
      </c>
      <c r="M238">
        <f>ROUND(calls[[#This Row],[Satisfaction Rating]],0)</f>
        <v>5</v>
      </c>
      <c r="N238">
        <f>COUNTIF(calls[Customer ID], calls[[#This Row],[Customer ID]])</f>
        <v>50</v>
      </c>
      <c r="O238">
        <f>SUMIF(calls[Customer ID], calls[[#This Row],[Customer ID]], calls[Purchase Amount])</f>
        <v>4804</v>
      </c>
      <c r="P238">
        <f>calls[[#This Row],[call count]]/calls[[#This Row],[Purchase Amount]]</f>
        <v>0.4</v>
      </c>
      <c r="Q238">
        <f>COUNTIF(calls[Customer ID],calls[[#This Row],[Customer ID]])</f>
        <v>50</v>
      </c>
      <c r="R238">
        <f>calls[[#This Row],[call count]]/calls[[#This Row],[Purchase Amount]]</f>
        <v>0.4</v>
      </c>
    </row>
    <row r="239" spans="1:18" x14ac:dyDescent="0.4">
      <c r="A239" t="s">
        <v>269</v>
      </c>
      <c r="B239" t="s">
        <v>26</v>
      </c>
      <c r="C239">
        <v>64</v>
      </c>
      <c r="D239" s="4" t="s">
        <v>2</v>
      </c>
      <c r="E239" s="5">
        <v>45002</v>
      </c>
      <c r="F239">
        <v>22</v>
      </c>
      <c r="G239">
        <f>AVERAGEIF(calls[Representative], calls[[#This Row],[Representative]], calls[Satisfaction Rating])</f>
        <v>3.8824999999999998</v>
      </c>
      <c r="H239" t="str">
        <f>IF(AVERAGEIF(calls[Representative],calls[[#This Row],[Representative]],calls[Satisfaction Rating])&lt;3.5,"Needs Training","OK")</f>
        <v>OK</v>
      </c>
      <c r="I239">
        <v>4.0999999999999996</v>
      </c>
      <c r="J239">
        <f>IF(MONTH(calls[[#This Row],[Date of Call]])&lt;=6, YEAR(calls[[#This Row],[Date of Call]]), YEAR(calls[[#This Row],[Date of Call]])+1)</f>
        <v>2023</v>
      </c>
      <c r="K239" t="str">
        <f>TEXT(calls[[#This Row],[Date of Call]],"DDDD")</f>
        <v>Friday</v>
      </c>
      <c r="L239" t="str" cm="1">
        <f t="array" ref="L239">_xlfn.IFS(calls[[#This Row],[Duration]]&lt;=10,"under 10 mins",calls[[#This Row],[Duration]]&lt;=30,"10 to 30mins",calls[[#This Row],[Duration]]&lt;=60,"60 to 30mins",calls[[#This Row],[Duration]]&lt;=120,"1 to 2hrs",TRUE,"More than 2 hrs")</f>
        <v>1 to 2hrs</v>
      </c>
      <c r="M239">
        <f>ROUND(calls[[#This Row],[Satisfaction Rating]],0)</f>
        <v>4</v>
      </c>
      <c r="N239">
        <f>COUNTIF(calls[Customer ID], calls[[#This Row],[Customer ID]])</f>
        <v>72</v>
      </c>
      <c r="O239">
        <f>SUMIF(calls[Customer ID], calls[[#This Row],[Customer ID]], calls[Purchase Amount])</f>
        <v>6242</v>
      </c>
      <c r="P239">
        <f>calls[[#This Row],[call count]]/calls[[#This Row],[Purchase Amount]]</f>
        <v>3.2727272727272729</v>
      </c>
      <c r="Q239">
        <f>COUNTIF(calls[Customer ID],calls[[#This Row],[Customer ID]])</f>
        <v>72</v>
      </c>
      <c r="R239">
        <f>calls[[#This Row],[call count]]/calls[[#This Row],[Purchase Amount]]</f>
        <v>3.2727272727272729</v>
      </c>
    </row>
    <row r="240" spans="1:18" x14ac:dyDescent="0.4">
      <c r="A240" t="s">
        <v>270</v>
      </c>
      <c r="B240" t="s">
        <v>8</v>
      </c>
      <c r="C240">
        <v>89</v>
      </c>
      <c r="D240" s="4" t="s">
        <v>23</v>
      </c>
      <c r="E240" s="5">
        <v>45003</v>
      </c>
      <c r="F240">
        <v>70</v>
      </c>
      <c r="G240">
        <f>AVERAGEIF(calls[Representative], calls[[#This Row],[Representative]], calls[Satisfaction Rating])</f>
        <v>3.8973118279569863</v>
      </c>
      <c r="H240" t="str">
        <f>IF(AVERAGEIF(calls[Representative],calls[[#This Row],[Representative]],calls[Satisfaction Rating])&lt;3.5,"Needs Training","OK")</f>
        <v>OK</v>
      </c>
      <c r="I240">
        <v>4.9000000000000004</v>
      </c>
      <c r="J240">
        <f>IF(MONTH(calls[[#This Row],[Date of Call]])&lt;=6, YEAR(calls[[#This Row],[Date of Call]]), YEAR(calls[[#This Row],[Date of Call]])+1)</f>
        <v>2023</v>
      </c>
      <c r="K240" t="str">
        <f>TEXT(calls[[#This Row],[Date of Call]],"DDDD")</f>
        <v>Saturday</v>
      </c>
      <c r="L240" t="str" cm="1">
        <f t="array" ref="L240">_xlfn.IFS(calls[[#This Row],[Duration]]&lt;=10,"under 10 mins",calls[[#This Row],[Duration]]&lt;=30,"10 to 30mins",calls[[#This Row],[Duration]]&lt;=60,"60 to 30mins",calls[[#This Row],[Duration]]&lt;=120,"1 to 2hrs",TRUE,"More than 2 hrs")</f>
        <v>1 to 2hrs</v>
      </c>
      <c r="M240">
        <f>ROUND(calls[[#This Row],[Satisfaction Rating]],0)</f>
        <v>5</v>
      </c>
      <c r="N240">
        <f>COUNTIF(calls[Customer ID], calls[[#This Row],[Customer ID]])</f>
        <v>79</v>
      </c>
      <c r="O240">
        <f>SUMIF(calls[Customer ID], calls[[#This Row],[Customer ID]], calls[Purchase Amount])</f>
        <v>7747</v>
      </c>
      <c r="P240">
        <f>calls[[#This Row],[call count]]/calls[[#This Row],[Purchase Amount]]</f>
        <v>1.1285714285714286</v>
      </c>
      <c r="Q240">
        <f>COUNTIF(calls[Customer ID],calls[[#This Row],[Customer ID]])</f>
        <v>79</v>
      </c>
      <c r="R240">
        <f>calls[[#This Row],[call count]]/calls[[#This Row],[Purchase Amount]]</f>
        <v>1.1285714285714286</v>
      </c>
    </row>
    <row r="241" spans="1:18" x14ac:dyDescent="0.4">
      <c r="A241" t="s">
        <v>271</v>
      </c>
      <c r="B241" t="s">
        <v>51</v>
      </c>
      <c r="C241">
        <v>40</v>
      </c>
      <c r="D241" s="4" t="s">
        <v>9</v>
      </c>
      <c r="E241" s="5">
        <v>45003</v>
      </c>
      <c r="F241">
        <v>24</v>
      </c>
      <c r="G241">
        <f>AVERAGEIF(calls[Representative], calls[[#This Row],[Representative]], calls[Satisfaction Rating])</f>
        <v>3.8706422018348627</v>
      </c>
      <c r="H241" t="str">
        <f>IF(AVERAGEIF(calls[Representative],calls[[#This Row],[Representative]],calls[Satisfaction Rating])&lt;3.5,"Needs Training","OK")</f>
        <v>OK</v>
      </c>
      <c r="I241">
        <v>4.3</v>
      </c>
      <c r="J241">
        <f>IF(MONTH(calls[[#This Row],[Date of Call]])&lt;=6, YEAR(calls[[#This Row],[Date of Call]]), YEAR(calls[[#This Row],[Date of Call]])+1)</f>
        <v>2023</v>
      </c>
      <c r="K241" t="str">
        <f>TEXT(calls[[#This Row],[Date of Call]],"DDDD")</f>
        <v>Saturday</v>
      </c>
      <c r="L241" t="str" cm="1">
        <f t="array" ref="L241">_xlfn.IFS(calls[[#This Row],[Duration]]&lt;=10,"under 10 mins",calls[[#This Row],[Duration]]&lt;=30,"10 to 30mins",calls[[#This Row],[Duration]]&lt;=60,"60 to 30mins",calls[[#This Row],[Duration]]&lt;=120,"1 to 2hrs",TRUE,"More than 2 hrs")</f>
        <v>60 to 30mins</v>
      </c>
      <c r="M241">
        <f>ROUND(calls[[#This Row],[Satisfaction Rating]],0)</f>
        <v>4</v>
      </c>
      <c r="N241">
        <f>COUNTIF(calls[Customer ID], calls[[#This Row],[Customer ID]])</f>
        <v>59</v>
      </c>
      <c r="O241">
        <f>SUMIF(calls[Customer ID], calls[[#This Row],[Customer ID]], calls[Purchase Amount])</f>
        <v>6518</v>
      </c>
      <c r="P241">
        <f>calls[[#This Row],[call count]]/calls[[#This Row],[Purchase Amount]]</f>
        <v>2.4583333333333335</v>
      </c>
      <c r="Q241">
        <f>COUNTIF(calls[Customer ID],calls[[#This Row],[Customer ID]])</f>
        <v>59</v>
      </c>
      <c r="R241">
        <f>calls[[#This Row],[call count]]/calls[[#This Row],[Purchase Amount]]</f>
        <v>2.4583333333333335</v>
      </c>
    </row>
    <row r="242" spans="1:18" x14ac:dyDescent="0.4">
      <c r="A242" t="s">
        <v>272</v>
      </c>
      <c r="B242" t="s">
        <v>30</v>
      </c>
      <c r="C242">
        <v>75</v>
      </c>
      <c r="D242" s="4" t="s">
        <v>27</v>
      </c>
      <c r="E242" s="5">
        <v>45003</v>
      </c>
      <c r="F242">
        <v>32</v>
      </c>
      <c r="G242">
        <f>AVERAGEIF(calls[Representative], calls[[#This Row],[Representative]], calls[Satisfaction Rating])</f>
        <v>3.8589371980676304</v>
      </c>
      <c r="H242" t="str">
        <f>IF(AVERAGEIF(calls[Representative],calls[[#This Row],[Representative]],calls[Satisfaction Rating])&lt;3.5,"Needs Training","OK")</f>
        <v>OK</v>
      </c>
      <c r="I242">
        <v>4.0999999999999996</v>
      </c>
      <c r="J242">
        <f>IF(MONTH(calls[[#This Row],[Date of Call]])&lt;=6, YEAR(calls[[#This Row],[Date of Call]]), YEAR(calls[[#This Row],[Date of Call]])+1)</f>
        <v>2023</v>
      </c>
      <c r="K242" t="str">
        <f>TEXT(calls[[#This Row],[Date of Call]],"DDDD")</f>
        <v>Saturday</v>
      </c>
      <c r="L242" t="str" cm="1">
        <f t="array" ref="L242">_xlfn.IFS(calls[[#This Row],[Duration]]&lt;=10,"under 10 mins",calls[[#This Row],[Duration]]&lt;=30,"10 to 30mins",calls[[#This Row],[Duration]]&lt;=60,"60 to 30mins",calls[[#This Row],[Duration]]&lt;=120,"1 to 2hrs",TRUE,"More than 2 hrs")</f>
        <v>1 to 2hrs</v>
      </c>
      <c r="M242">
        <f>ROUND(calls[[#This Row],[Satisfaction Rating]],0)</f>
        <v>4</v>
      </c>
      <c r="N242">
        <f>COUNTIF(calls[Customer ID], calls[[#This Row],[Customer ID]])</f>
        <v>69</v>
      </c>
      <c r="O242">
        <f>SUMIF(calls[Customer ID], calls[[#This Row],[Customer ID]], calls[Purchase Amount])</f>
        <v>7230</v>
      </c>
      <c r="P242">
        <f>calls[[#This Row],[call count]]/calls[[#This Row],[Purchase Amount]]</f>
        <v>2.15625</v>
      </c>
      <c r="Q242">
        <f>COUNTIF(calls[Customer ID],calls[[#This Row],[Customer ID]])</f>
        <v>69</v>
      </c>
      <c r="R242">
        <f>calls[[#This Row],[call count]]/calls[[#This Row],[Purchase Amount]]</f>
        <v>2.15625</v>
      </c>
    </row>
    <row r="243" spans="1:18" x14ac:dyDescent="0.4">
      <c r="A243" t="s">
        <v>273</v>
      </c>
      <c r="B243" t="s">
        <v>64</v>
      </c>
      <c r="C243">
        <v>106</v>
      </c>
      <c r="D243" s="4" t="s">
        <v>14</v>
      </c>
      <c r="E243" s="5">
        <v>45003</v>
      </c>
      <c r="F243">
        <v>112</v>
      </c>
      <c r="G243">
        <f>AVERAGEIF(calls[Representative], calls[[#This Row],[Representative]], calls[Satisfaction Rating])</f>
        <v>3.9227513227513247</v>
      </c>
      <c r="H243" t="str">
        <f>IF(AVERAGEIF(calls[Representative],calls[[#This Row],[Representative]],calls[Satisfaction Rating])&lt;3.5,"Needs Training","OK")</f>
        <v>OK</v>
      </c>
      <c r="I243">
        <v>4.4000000000000004</v>
      </c>
      <c r="J243">
        <f>IF(MONTH(calls[[#This Row],[Date of Call]])&lt;=6, YEAR(calls[[#This Row],[Date of Call]]), YEAR(calls[[#This Row],[Date of Call]])+1)</f>
        <v>2023</v>
      </c>
      <c r="K243" t="str">
        <f>TEXT(calls[[#This Row],[Date of Call]],"DDDD")</f>
        <v>Saturday</v>
      </c>
      <c r="L243" t="str" cm="1">
        <f t="array" ref="L243">_xlfn.IFS(calls[[#This Row],[Duration]]&lt;=10,"under 10 mins",calls[[#This Row],[Duration]]&lt;=30,"10 to 30mins",calls[[#This Row],[Duration]]&lt;=60,"60 to 30mins",calls[[#This Row],[Duration]]&lt;=120,"1 to 2hrs",TRUE,"More than 2 hrs")</f>
        <v>1 to 2hrs</v>
      </c>
      <c r="M243">
        <f>ROUND(calls[[#This Row],[Satisfaction Rating]],0)</f>
        <v>4</v>
      </c>
      <c r="N243">
        <f>COUNTIF(calls[Customer ID], calls[[#This Row],[Customer ID]])</f>
        <v>65</v>
      </c>
      <c r="O243">
        <f>SUMIF(calls[Customer ID], calls[[#This Row],[Customer ID]], calls[Purchase Amount])</f>
        <v>6785</v>
      </c>
      <c r="P243">
        <f>calls[[#This Row],[call count]]/calls[[#This Row],[Purchase Amount]]</f>
        <v>0.5803571428571429</v>
      </c>
      <c r="Q243">
        <f>COUNTIF(calls[Customer ID],calls[[#This Row],[Customer ID]])</f>
        <v>65</v>
      </c>
      <c r="R243">
        <f>calls[[#This Row],[call count]]/calls[[#This Row],[Purchase Amount]]</f>
        <v>0.5803571428571429</v>
      </c>
    </row>
    <row r="244" spans="1:18" x14ac:dyDescent="0.4">
      <c r="A244" t="s">
        <v>274</v>
      </c>
      <c r="B244" t="s">
        <v>26</v>
      </c>
      <c r="C244">
        <v>58</v>
      </c>
      <c r="D244" s="4" t="s">
        <v>9</v>
      </c>
      <c r="E244" s="5">
        <v>45004</v>
      </c>
      <c r="F244">
        <v>43</v>
      </c>
      <c r="G244">
        <f>AVERAGEIF(calls[Representative], calls[[#This Row],[Representative]], calls[Satisfaction Rating])</f>
        <v>3.8706422018348627</v>
      </c>
      <c r="H244" t="str">
        <f>IF(AVERAGEIF(calls[Representative],calls[[#This Row],[Representative]],calls[Satisfaction Rating])&lt;3.5,"Needs Training","OK")</f>
        <v>OK</v>
      </c>
      <c r="I244">
        <v>4.5</v>
      </c>
      <c r="J244">
        <f>IF(MONTH(calls[[#This Row],[Date of Call]])&lt;=6, YEAR(calls[[#This Row],[Date of Call]]), YEAR(calls[[#This Row],[Date of Call]])+1)</f>
        <v>2023</v>
      </c>
      <c r="K244" t="str">
        <f>TEXT(calls[[#This Row],[Date of Call]],"DDDD")</f>
        <v>Sunday</v>
      </c>
      <c r="L244" t="str" cm="1">
        <f t="array" ref="L244">_xlfn.IFS(calls[[#This Row],[Duration]]&lt;=10,"under 10 mins",calls[[#This Row],[Duration]]&lt;=30,"10 to 30mins",calls[[#This Row],[Duration]]&lt;=60,"60 to 30mins",calls[[#This Row],[Duration]]&lt;=120,"1 to 2hrs",TRUE,"More than 2 hrs")</f>
        <v>60 to 30mins</v>
      </c>
      <c r="M244">
        <f>ROUND(calls[[#This Row],[Satisfaction Rating]],0)</f>
        <v>5</v>
      </c>
      <c r="N244">
        <f>COUNTIF(calls[Customer ID], calls[[#This Row],[Customer ID]])</f>
        <v>72</v>
      </c>
      <c r="O244">
        <f>SUMIF(calls[Customer ID], calls[[#This Row],[Customer ID]], calls[Purchase Amount])</f>
        <v>6242</v>
      </c>
      <c r="P244">
        <f>calls[[#This Row],[call count]]/calls[[#This Row],[Purchase Amount]]</f>
        <v>1.6744186046511629</v>
      </c>
      <c r="Q244">
        <f>COUNTIF(calls[Customer ID],calls[[#This Row],[Customer ID]])</f>
        <v>72</v>
      </c>
      <c r="R244">
        <f>calls[[#This Row],[call count]]/calls[[#This Row],[Purchase Amount]]</f>
        <v>1.6744186046511629</v>
      </c>
    </row>
    <row r="245" spans="1:18" x14ac:dyDescent="0.4">
      <c r="A245" t="s">
        <v>275</v>
      </c>
      <c r="B245" t="s">
        <v>44</v>
      </c>
      <c r="C245">
        <v>84</v>
      </c>
      <c r="D245" s="4" t="s">
        <v>14</v>
      </c>
      <c r="E245" s="5">
        <v>45004</v>
      </c>
      <c r="F245">
        <v>22</v>
      </c>
      <c r="G245">
        <f>AVERAGEIF(calls[Representative], calls[[#This Row],[Representative]], calls[Satisfaction Rating])</f>
        <v>3.9227513227513247</v>
      </c>
      <c r="H245" t="str">
        <f>IF(AVERAGEIF(calls[Representative],calls[[#This Row],[Representative]],calls[Satisfaction Rating])&lt;3.5,"Needs Training","OK")</f>
        <v>OK</v>
      </c>
      <c r="I245">
        <v>3.5</v>
      </c>
      <c r="J245">
        <f>IF(MONTH(calls[[#This Row],[Date of Call]])&lt;=6, YEAR(calls[[#This Row],[Date of Call]]), YEAR(calls[[#This Row],[Date of Call]])+1)</f>
        <v>2023</v>
      </c>
      <c r="K245" t="str">
        <f>TEXT(calls[[#This Row],[Date of Call]],"DDDD")</f>
        <v>Sunday</v>
      </c>
      <c r="L245" t="str" cm="1">
        <f t="array" ref="L245">_xlfn.IFS(calls[[#This Row],[Duration]]&lt;=10,"under 10 mins",calls[[#This Row],[Duration]]&lt;=30,"10 to 30mins",calls[[#This Row],[Duration]]&lt;=60,"60 to 30mins",calls[[#This Row],[Duration]]&lt;=120,"1 to 2hrs",TRUE,"More than 2 hrs")</f>
        <v>1 to 2hrs</v>
      </c>
      <c r="M245">
        <f>ROUND(calls[[#This Row],[Satisfaction Rating]],0)</f>
        <v>4</v>
      </c>
      <c r="N245">
        <f>COUNTIF(calls[Customer ID], calls[[#This Row],[Customer ID]])</f>
        <v>62</v>
      </c>
      <c r="O245">
        <f>SUMIF(calls[Customer ID], calls[[#This Row],[Customer ID]], calls[Purchase Amount])</f>
        <v>6176</v>
      </c>
      <c r="P245">
        <f>calls[[#This Row],[call count]]/calls[[#This Row],[Purchase Amount]]</f>
        <v>2.8181818181818183</v>
      </c>
      <c r="Q245">
        <f>COUNTIF(calls[Customer ID],calls[[#This Row],[Customer ID]])</f>
        <v>62</v>
      </c>
      <c r="R245">
        <f>calls[[#This Row],[call count]]/calls[[#This Row],[Purchase Amount]]</f>
        <v>2.8181818181818183</v>
      </c>
    </row>
    <row r="246" spans="1:18" x14ac:dyDescent="0.4">
      <c r="A246" t="s">
        <v>276</v>
      </c>
      <c r="B246" t="s">
        <v>40</v>
      </c>
      <c r="C246">
        <v>140</v>
      </c>
      <c r="D246" s="4" t="s">
        <v>14</v>
      </c>
      <c r="E246" s="5">
        <v>45004</v>
      </c>
      <c r="F246">
        <v>93</v>
      </c>
      <c r="G246">
        <f>AVERAGEIF(calls[Representative], calls[[#This Row],[Representative]], calls[Satisfaction Rating])</f>
        <v>3.9227513227513247</v>
      </c>
      <c r="H246" t="str">
        <f>IF(AVERAGEIF(calls[Representative],calls[[#This Row],[Representative]],calls[Satisfaction Rating])&lt;3.5,"Needs Training","OK")</f>
        <v>OK</v>
      </c>
      <c r="I246">
        <v>4.4000000000000004</v>
      </c>
      <c r="J246">
        <f>IF(MONTH(calls[[#This Row],[Date of Call]])&lt;=6, YEAR(calls[[#This Row],[Date of Call]]), YEAR(calls[[#This Row],[Date of Call]])+1)</f>
        <v>2023</v>
      </c>
      <c r="K246" t="str">
        <f>TEXT(calls[[#This Row],[Date of Call]],"DDDD")</f>
        <v>Sunday</v>
      </c>
      <c r="L246" t="str" cm="1">
        <f t="array" ref="L246">_xlfn.IFS(calls[[#This Row],[Duration]]&lt;=10,"under 10 mins",calls[[#This Row],[Duration]]&lt;=30,"10 to 30mins",calls[[#This Row],[Duration]]&lt;=60,"60 to 30mins",calls[[#This Row],[Duration]]&lt;=120,"1 to 2hrs",TRUE,"More than 2 hrs")</f>
        <v>More than 2 hrs</v>
      </c>
      <c r="M246">
        <f>ROUND(calls[[#This Row],[Satisfaction Rating]],0)</f>
        <v>4</v>
      </c>
      <c r="N246">
        <f>COUNTIF(calls[Customer ID], calls[[#This Row],[Customer ID]])</f>
        <v>69</v>
      </c>
      <c r="O246">
        <f>SUMIF(calls[Customer ID], calls[[#This Row],[Customer ID]], calls[Purchase Amount])</f>
        <v>6601</v>
      </c>
      <c r="P246">
        <f>calls[[#This Row],[call count]]/calls[[#This Row],[Purchase Amount]]</f>
        <v>0.74193548387096775</v>
      </c>
      <c r="Q246">
        <f>COUNTIF(calls[Customer ID],calls[[#This Row],[Customer ID]])</f>
        <v>69</v>
      </c>
      <c r="R246">
        <f>calls[[#This Row],[call count]]/calls[[#This Row],[Purchase Amount]]</f>
        <v>0.74193548387096775</v>
      </c>
    </row>
    <row r="247" spans="1:18" x14ac:dyDescent="0.4">
      <c r="A247" t="s">
        <v>277</v>
      </c>
      <c r="B247" t="s">
        <v>26</v>
      </c>
      <c r="C247">
        <v>67</v>
      </c>
      <c r="D247" s="4" t="s">
        <v>14</v>
      </c>
      <c r="E247" s="5">
        <v>45004</v>
      </c>
      <c r="F247">
        <v>45</v>
      </c>
      <c r="G247">
        <f>AVERAGEIF(calls[Representative], calls[[#This Row],[Representative]], calls[Satisfaction Rating])</f>
        <v>3.9227513227513247</v>
      </c>
      <c r="H247" t="str">
        <f>IF(AVERAGEIF(calls[Representative],calls[[#This Row],[Representative]],calls[Satisfaction Rating])&lt;3.5,"Needs Training","OK")</f>
        <v>OK</v>
      </c>
      <c r="I247">
        <v>3.5</v>
      </c>
      <c r="J247">
        <f>IF(MONTH(calls[[#This Row],[Date of Call]])&lt;=6, YEAR(calls[[#This Row],[Date of Call]]), YEAR(calls[[#This Row],[Date of Call]])+1)</f>
        <v>2023</v>
      </c>
      <c r="K247" t="str">
        <f>TEXT(calls[[#This Row],[Date of Call]],"DDDD")</f>
        <v>Sunday</v>
      </c>
      <c r="L247" t="str" cm="1">
        <f t="array" ref="L247">_xlfn.IFS(calls[[#This Row],[Duration]]&lt;=10,"under 10 mins",calls[[#This Row],[Duration]]&lt;=30,"10 to 30mins",calls[[#This Row],[Duration]]&lt;=60,"60 to 30mins",calls[[#This Row],[Duration]]&lt;=120,"1 to 2hrs",TRUE,"More than 2 hrs")</f>
        <v>1 to 2hrs</v>
      </c>
      <c r="M247">
        <f>ROUND(calls[[#This Row],[Satisfaction Rating]],0)</f>
        <v>4</v>
      </c>
      <c r="N247">
        <f>COUNTIF(calls[Customer ID], calls[[#This Row],[Customer ID]])</f>
        <v>72</v>
      </c>
      <c r="O247">
        <f>SUMIF(calls[Customer ID], calls[[#This Row],[Customer ID]], calls[Purchase Amount])</f>
        <v>6242</v>
      </c>
      <c r="P247">
        <f>calls[[#This Row],[call count]]/calls[[#This Row],[Purchase Amount]]</f>
        <v>1.6</v>
      </c>
      <c r="Q247">
        <f>COUNTIF(calls[Customer ID],calls[[#This Row],[Customer ID]])</f>
        <v>72</v>
      </c>
      <c r="R247">
        <f>calls[[#This Row],[call count]]/calls[[#This Row],[Purchase Amount]]</f>
        <v>1.6</v>
      </c>
    </row>
    <row r="248" spans="1:18" x14ac:dyDescent="0.4">
      <c r="A248" t="s">
        <v>278</v>
      </c>
      <c r="B248" t="s">
        <v>6</v>
      </c>
      <c r="C248">
        <v>126</v>
      </c>
      <c r="D248" s="4" t="s">
        <v>14</v>
      </c>
      <c r="E248" s="5">
        <v>45005</v>
      </c>
      <c r="F248">
        <v>96</v>
      </c>
      <c r="G248">
        <f>AVERAGEIF(calls[Representative], calls[[#This Row],[Representative]], calls[Satisfaction Rating])</f>
        <v>3.9227513227513247</v>
      </c>
      <c r="H248" t="str">
        <f>IF(AVERAGEIF(calls[Representative],calls[[#This Row],[Representative]],calls[Satisfaction Rating])&lt;3.5,"Needs Training","OK")</f>
        <v>OK</v>
      </c>
      <c r="I248">
        <v>3.8</v>
      </c>
      <c r="J248">
        <f>IF(MONTH(calls[[#This Row],[Date of Call]])&lt;=6, YEAR(calls[[#This Row],[Date of Call]]), YEAR(calls[[#This Row],[Date of Call]])+1)</f>
        <v>2023</v>
      </c>
      <c r="K248" t="str">
        <f>TEXT(calls[[#This Row],[Date of Call]],"DDDD")</f>
        <v>Monday</v>
      </c>
      <c r="L248" t="str" cm="1">
        <f t="array" ref="L248">_xlfn.IFS(calls[[#This Row],[Duration]]&lt;=10,"under 10 mins",calls[[#This Row],[Duration]]&lt;=30,"10 to 30mins",calls[[#This Row],[Duration]]&lt;=60,"60 to 30mins",calls[[#This Row],[Duration]]&lt;=120,"1 to 2hrs",TRUE,"More than 2 hrs")</f>
        <v>More than 2 hrs</v>
      </c>
      <c r="M248">
        <f>ROUND(calls[[#This Row],[Satisfaction Rating]],0)</f>
        <v>4</v>
      </c>
      <c r="N248">
        <f>COUNTIF(calls[Customer ID], calls[[#This Row],[Customer ID]])</f>
        <v>82</v>
      </c>
      <c r="O248">
        <f>SUMIF(calls[Customer ID], calls[[#This Row],[Customer ID]], calls[Purchase Amount])</f>
        <v>7689</v>
      </c>
      <c r="P248">
        <f>calls[[#This Row],[call count]]/calls[[#This Row],[Purchase Amount]]</f>
        <v>0.85416666666666663</v>
      </c>
      <c r="Q248">
        <f>COUNTIF(calls[Customer ID],calls[[#This Row],[Customer ID]])</f>
        <v>82</v>
      </c>
      <c r="R248">
        <f>calls[[#This Row],[call count]]/calls[[#This Row],[Purchase Amount]]</f>
        <v>0.85416666666666663</v>
      </c>
    </row>
    <row r="249" spans="1:18" x14ac:dyDescent="0.4">
      <c r="A249" t="s">
        <v>279</v>
      </c>
      <c r="B249" t="s">
        <v>6</v>
      </c>
      <c r="C249">
        <v>89</v>
      </c>
      <c r="D249" s="4" t="s">
        <v>9</v>
      </c>
      <c r="E249" s="5">
        <v>45005</v>
      </c>
      <c r="F249">
        <v>96</v>
      </c>
      <c r="G249">
        <f>AVERAGEIF(calls[Representative], calls[[#This Row],[Representative]], calls[Satisfaction Rating])</f>
        <v>3.8706422018348627</v>
      </c>
      <c r="H249" t="str">
        <f>IF(AVERAGEIF(calls[Representative],calls[[#This Row],[Representative]],calls[Satisfaction Rating])&lt;3.5,"Needs Training","OK")</f>
        <v>OK</v>
      </c>
      <c r="I249">
        <v>3.3</v>
      </c>
      <c r="J249">
        <f>IF(MONTH(calls[[#This Row],[Date of Call]])&lt;=6, YEAR(calls[[#This Row],[Date of Call]]), YEAR(calls[[#This Row],[Date of Call]])+1)</f>
        <v>2023</v>
      </c>
      <c r="K249" t="str">
        <f>TEXT(calls[[#This Row],[Date of Call]],"DDDD")</f>
        <v>Monday</v>
      </c>
      <c r="L249" t="str" cm="1">
        <f t="array" ref="L249">_xlfn.IFS(calls[[#This Row],[Duration]]&lt;=10,"under 10 mins",calls[[#This Row],[Duration]]&lt;=30,"10 to 30mins",calls[[#This Row],[Duration]]&lt;=60,"60 to 30mins",calls[[#This Row],[Duration]]&lt;=120,"1 to 2hrs",TRUE,"More than 2 hrs")</f>
        <v>1 to 2hrs</v>
      </c>
      <c r="M249">
        <f>ROUND(calls[[#This Row],[Satisfaction Rating]],0)</f>
        <v>3</v>
      </c>
      <c r="N249">
        <f>COUNTIF(calls[Customer ID], calls[[#This Row],[Customer ID]])</f>
        <v>82</v>
      </c>
      <c r="O249">
        <f>SUMIF(calls[Customer ID], calls[[#This Row],[Customer ID]], calls[Purchase Amount])</f>
        <v>7689</v>
      </c>
      <c r="P249">
        <f>calls[[#This Row],[call count]]/calls[[#This Row],[Purchase Amount]]</f>
        <v>0.85416666666666663</v>
      </c>
      <c r="Q249">
        <f>COUNTIF(calls[Customer ID],calls[[#This Row],[Customer ID]])</f>
        <v>82</v>
      </c>
      <c r="R249">
        <f>calls[[#This Row],[call count]]/calls[[#This Row],[Purchase Amount]]</f>
        <v>0.85416666666666663</v>
      </c>
    </row>
    <row r="250" spans="1:18" x14ac:dyDescent="0.4">
      <c r="A250" t="s">
        <v>280</v>
      </c>
      <c r="B250" t="s">
        <v>8</v>
      </c>
      <c r="C250">
        <v>56</v>
      </c>
      <c r="D250" s="4" t="s">
        <v>2</v>
      </c>
      <c r="E250" s="5">
        <v>45005</v>
      </c>
      <c r="F250">
        <v>31</v>
      </c>
      <c r="G250">
        <f>AVERAGEIF(calls[Representative], calls[[#This Row],[Representative]], calls[Satisfaction Rating])</f>
        <v>3.8824999999999998</v>
      </c>
      <c r="H250" t="str">
        <f>IF(AVERAGEIF(calls[Representative],calls[[#This Row],[Representative]],calls[Satisfaction Rating])&lt;3.5,"Needs Training","OK")</f>
        <v>OK</v>
      </c>
      <c r="I250">
        <v>4.4000000000000004</v>
      </c>
      <c r="J250">
        <f>IF(MONTH(calls[[#This Row],[Date of Call]])&lt;=6, YEAR(calls[[#This Row],[Date of Call]]), YEAR(calls[[#This Row],[Date of Call]])+1)</f>
        <v>2023</v>
      </c>
      <c r="K250" t="str">
        <f>TEXT(calls[[#This Row],[Date of Call]],"DDDD")</f>
        <v>Monday</v>
      </c>
      <c r="L250" t="str" cm="1">
        <f t="array" ref="L250">_xlfn.IFS(calls[[#This Row],[Duration]]&lt;=10,"under 10 mins",calls[[#This Row],[Duration]]&lt;=30,"10 to 30mins",calls[[#This Row],[Duration]]&lt;=60,"60 to 30mins",calls[[#This Row],[Duration]]&lt;=120,"1 to 2hrs",TRUE,"More than 2 hrs")</f>
        <v>60 to 30mins</v>
      </c>
      <c r="M250">
        <f>ROUND(calls[[#This Row],[Satisfaction Rating]],0)</f>
        <v>4</v>
      </c>
      <c r="N250">
        <f>COUNTIF(calls[Customer ID], calls[[#This Row],[Customer ID]])</f>
        <v>79</v>
      </c>
      <c r="O250">
        <f>SUMIF(calls[Customer ID], calls[[#This Row],[Customer ID]], calls[Purchase Amount])</f>
        <v>7747</v>
      </c>
      <c r="P250">
        <f>calls[[#This Row],[call count]]/calls[[#This Row],[Purchase Amount]]</f>
        <v>2.5483870967741935</v>
      </c>
      <c r="Q250">
        <f>COUNTIF(calls[Customer ID],calls[[#This Row],[Customer ID]])</f>
        <v>79</v>
      </c>
      <c r="R250">
        <f>calls[[#This Row],[call count]]/calls[[#This Row],[Purchase Amount]]</f>
        <v>2.5483870967741935</v>
      </c>
    </row>
    <row r="251" spans="1:18" x14ac:dyDescent="0.4">
      <c r="A251" t="s">
        <v>281</v>
      </c>
      <c r="B251" t="s">
        <v>13</v>
      </c>
      <c r="C251">
        <v>48</v>
      </c>
      <c r="D251" s="4" t="s">
        <v>9</v>
      </c>
      <c r="E251" s="5">
        <v>45005</v>
      </c>
      <c r="F251">
        <v>200</v>
      </c>
      <c r="G251">
        <f>AVERAGEIF(calls[Representative], calls[[#This Row],[Representative]], calls[Satisfaction Rating])</f>
        <v>3.8706422018348627</v>
      </c>
      <c r="H251" t="str">
        <f>IF(AVERAGEIF(calls[Representative],calls[[#This Row],[Representative]],calls[Satisfaction Rating])&lt;3.5,"Needs Training","OK")</f>
        <v>OK</v>
      </c>
      <c r="I251">
        <v>3.9</v>
      </c>
      <c r="J251">
        <f>IF(MONTH(calls[[#This Row],[Date of Call]])&lt;=6, YEAR(calls[[#This Row],[Date of Call]]), YEAR(calls[[#This Row],[Date of Call]])+1)</f>
        <v>2023</v>
      </c>
      <c r="K251" t="str">
        <f>TEXT(calls[[#This Row],[Date of Call]],"DDDD")</f>
        <v>Monday</v>
      </c>
      <c r="L251" t="str" cm="1">
        <f t="array" ref="L251">_xlfn.IFS(calls[[#This Row],[Duration]]&lt;=10,"under 10 mins",calls[[#This Row],[Duration]]&lt;=30,"10 to 30mins",calls[[#This Row],[Duration]]&lt;=60,"60 to 30mins",calls[[#This Row],[Duration]]&lt;=120,"1 to 2hrs",TRUE,"More than 2 hrs")</f>
        <v>60 to 30mins</v>
      </c>
      <c r="M251">
        <f>ROUND(calls[[#This Row],[Satisfaction Rating]],0)</f>
        <v>4</v>
      </c>
      <c r="N251">
        <f>COUNTIF(calls[Customer ID], calls[[#This Row],[Customer ID]])</f>
        <v>74</v>
      </c>
      <c r="O251">
        <f>SUMIF(calls[Customer ID], calls[[#This Row],[Customer ID]], calls[Purchase Amount])</f>
        <v>6749</v>
      </c>
      <c r="P251">
        <f>calls[[#This Row],[call count]]/calls[[#This Row],[Purchase Amount]]</f>
        <v>0.37</v>
      </c>
      <c r="Q251">
        <f>COUNTIF(calls[Customer ID],calls[[#This Row],[Customer ID]])</f>
        <v>74</v>
      </c>
      <c r="R251">
        <f>calls[[#This Row],[call count]]/calls[[#This Row],[Purchase Amount]]</f>
        <v>0.37</v>
      </c>
    </row>
    <row r="252" spans="1:18" x14ac:dyDescent="0.4">
      <c r="A252" t="s">
        <v>282</v>
      </c>
      <c r="B252" t="s">
        <v>6</v>
      </c>
      <c r="C252">
        <v>55</v>
      </c>
      <c r="D252" s="4" t="s">
        <v>2</v>
      </c>
      <c r="E252" s="5">
        <v>45005</v>
      </c>
      <c r="F252">
        <v>99</v>
      </c>
      <c r="G252">
        <f>AVERAGEIF(calls[Representative], calls[[#This Row],[Representative]], calls[Satisfaction Rating])</f>
        <v>3.8824999999999998</v>
      </c>
      <c r="H252" t="str">
        <f>IF(AVERAGEIF(calls[Representative],calls[[#This Row],[Representative]],calls[Satisfaction Rating])&lt;3.5,"Needs Training","OK")</f>
        <v>OK</v>
      </c>
      <c r="I252">
        <v>2.7</v>
      </c>
      <c r="J252">
        <f>IF(MONTH(calls[[#This Row],[Date of Call]])&lt;=6, YEAR(calls[[#This Row],[Date of Call]]), YEAR(calls[[#This Row],[Date of Call]])+1)</f>
        <v>2023</v>
      </c>
      <c r="K252" t="str">
        <f>TEXT(calls[[#This Row],[Date of Call]],"DDDD")</f>
        <v>Monday</v>
      </c>
      <c r="L252" t="str" cm="1">
        <f t="array" ref="L252">_xlfn.IFS(calls[[#This Row],[Duration]]&lt;=10,"under 10 mins",calls[[#This Row],[Duration]]&lt;=30,"10 to 30mins",calls[[#This Row],[Duration]]&lt;=60,"60 to 30mins",calls[[#This Row],[Duration]]&lt;=120,"1 to 2hrs",TRUE,"More than 2 hrs")</f>
        <v>60 to 30mins</v>
      </c>
      <c r="M252">
        <f>ROUND(calls[[#This Row],[Satisfaction Rating]],0)</f>
        <v>3</v>
      </c>
      <c r="N252">
        <f>COUNTIF(calls[Customer ID], calls[[#This Row],[Customer ID]])</f>
        <v>82</v>
      </c>
      <c r="O252">
        <f>SUMIF(calls[Customer ID], calls[[#This Row],[Customer ID]], calls[Purchase Amount])</f>
        <v>7689</v>
      </c>
      <c r="P252">
        <f>calls[[#This Row],[call count]]/calls[[#This Row],[Purchase Amount]]</f>
        <v>0.82828282828282829</v>
      </c>
      <c r="Q252">
        <f>COUNTIF(calls[Customer ID],calls[[#This Row],[Customer ID]])</f>
        <v>82</v>
      </c>
      <c r="R252">
        <f>calls[[#This Row],[call count]]/calls[[#This Row],[Purchase Amount]]</f>
        <v>0.82828282828282829</v>
      </c>
    </row>
    <row r="253" spans="1:18" x14ac:dyDescent="0.4">
      <c r="A253" t="s">
        <v>283</v>
      </c>
      <c r="B253" t="s">
        <v>11</v>
      </c>
      <c r="C253">
        <v>88</v>
      </c>
      <c r="D253" s="4" t="s">
        <v>27</v>
      </c>
      <c r="E253" s="5">
        <v>45005</v>
      </c>
      <c r="F253">
        <v>144</v>
      </c>
      <c r="G253">
        <f>AVERAGEIF(calls[Representative], calls[[#This Row],[Representative]], calls[Satisfaction Rating])</f>
        <v>3.8589371980676304</v>
      </c>
      <c r="H253" t="str">
        <f>IF(AVERAGEIF(calls[Representative],calls[[#This Row],[Representative]],calls[Satisfaction Rating])&lt;3.5,"Needs Training","OK")</f>
        <v>OK</v>
      </c>
      <c r="I253">
        <v>2.9</v>
      </c>
      <c r="J253">
        <f>IF(MONTH(calls[[#This Row],[Date of Call]])&lt;=6, YEAR(calls[[#This Row],[Date of Call]]), YEAR(calls[[#This Row],[Date of Call]])+1)</f>
        <v>2023</v>
      </c>
      <c r="K253" t="str">
        <f>TEXT(calls[[#This Row],[Date of Call]],"DDDD")</f>
        <v>Monday</v>
      </c>
      <c r="L253" t="str" cm="1">
        <f t="array" ref="L253">_xlfn.IFS(calls[[#This Row],[Duration]]&lt;=10,"under 10 mins",calls[[#This Row],[Duration]]&lt;=30,"10 to 30mins",calls[[#This Row],[Duration]]&lt;=60,"60 to 30mins",calls[[#This Row],[Duration]]&lt;=120,"1 to 2hrs",TRUE,"More than 2 hrs")</f>
        <v>1 to 2hrs</v>
      </c>
      <c r="M253">
        <f>ROUND(calls[[#This Row],[Satisfaction Rating]],0)</f>
        <v>3</v>
      </c>
      <c r="N253">
        <f>COUNTIF(calls[Customer ID], calls[[#This Row],[Customer ID]])</f>
        <v>60</v>
      </c>
      <c r="O253">
        <f>SUMIF(calls[Customer ID], calls[[#This Row],[Customer ID]], calls[Purchase Amount])</f>
        <v>5404</v>
      </c>
      <c r="P253">
        <f>calls[[#This Row],[call count]]/calls[[#This Row],[Purchase Amount]]</f>
        <v>0.41666666666666669</v>
      </c>
      <c r="Q253">
        <f>COUNTIF(calls[Customer ID],calls[[#This Row],[Customer ID]])</f>
        <v>60</v>
      </c>
      <c r="R253">
        <f>calls[[#This Row],[call count]]/calls[[#This Row],[Purchase Amount]]</f>
        <v>0.41666666666666669</v>
      </c>
    </row>
    <row r="254" spans="1:18" x14ac:dyDescent="0.4">
      <c r="A254" t="s">
        <v>284</v>
      </c>
      <c r="B254" t="s">
        <v>8</v>
      </c>
      <c r="C254">
        <v>102</v>
      </c>
      <c r="D254" s="4" t="s">
        <v>14</v>
      </c>
      <c r="E254" s="5">
        <v>45006</v>
      </c>
      <c r="F254">
        <v>81</v>
      </c>
      <c r="G254">
        <f>AVERAGEIF(calls[Representative], calls[[#This Row],[Representative]], calls[Satisfaction Rating])</f>
        <v>3.9227513227513247</v>
      </c>
      <c r="H254" t="str">
        <f>IF(AVERAGEIF(calls[Representative],calls[[#This Row],[Representative]],calls[Satisfaction Rating])&lt;3.5,"Needs Training","OK")</f>
        <v>OK</v>
      </c>
      <c r="I254">
        <v>4</v>
      </c>
      <c r="J254">
        <f>IF(MONTH(calls[[#This Row],[Date of Call]])&lt;=6, YEAR(calls[[#This Row],[Date of Call]]), YEAR(calls[[#This Row],[Date of Call]])+1)</f>
        <v>2023</v>
      </c>
      <c r="K254" t="str">
        <f>TEXT(calls[[#This Row],[Date of Call]],"DDDD")</f>
        <v>Tuesday</v>
      </c>
      <c r="L254" t="str" cm="1">
        <f t="array" ref="L254">_xlfn.IFS(calls[[#This Row],[Duration]]&lt;=10,"under 10 mins",calls[[#This Row],[Duration]]&lt;=30,"10 to 30mins",calls[[#This Row],[Duration]]&lt;=60,"60 to 30mins",calls[[#This Row],[Duration]]&lt;=120,"1 to 2hrs",TRUE,"More than 2 hrs")</f>
        <v>1 to 2hrs</v>
      </c>
      <c r="M254">
        <f>ROUND(calls[[#This Row],[Satisfaction Rating]],0)</f>
        <v>4</v>
      </c>
      <c r="N254">
        <f>COUNTIF(calls[Customer ID], calls[[#This Row],[Customer ID]])</f>
        <v>79</v>
      </c>
      <c r="O254">
        <f>SUMIF(calls[Customer ID], calls[[#This Row],[Customer ID]], calls[Purchase Amount])</f>
        <v>7747</v>
      </c>
      <c r="P254">
        <f>calls[[#This Row],[call count]]/calls[[#This Row],[Purchase Amount]]</f>
        <v>0.97530864197530864</v>
      </c>
      <c r="Q254">
        <f>COUNTIF(calls[Customer ID],calls[[#This Row],[Customer ID]])</f>
        <v>79</v>
      </c>
      <c r="R254">
        <f>calls[[#This Row],[call count]]/calls[[#This Row],[Purchase Amount]]</f>
        <v>0.97530864197530864</v>
      </c>
    </row>
    <row r="255" spans="1:18" x14ac:dyDescent="0.4">
      <c r="A255" t="s">
        <v>285</v>
      </c>
      <c r="B255" t="s">
        <v>11</v>
      </c>
      <c r="C255">
        <v>155</v>
      </c>
      <c r="D255" s="4" t="s">
        <v>27</v>
      </c>
      <c r="E255" s="5">
        <v>45006</v>
      </c>
      <c r="F255">
        <v>70</v>
      </c>
      <c r="G255">
        <f>AVERAGEIF(calls[Representative], calls[[#This Row],[Representative]], calls[Satisfaction Rating])</f>
        <v>3.8589371980676304</v>
      </c>
      <c r="H255" t="str">
        <f>IF(AVERAGEIF(calls[Representative],calls[[#This Row],[Representative]],calls[Satisfaction Rating])&lt;3.5,"Needs Training","OK")</f>
        <v>OK</v>
      </c>
      <c r="I255">
        <v>4.4000000000000004</v>
      </c>
      <c r="J255">
        <f>IF(MONTH(calls[[#This Row],[Date of Call]])&lt;=6, YEAR(calls[[#This Row],[Date of Call]]), YEAR(calls[[#This Row],[Date of Call]])+1)</f>
        <v>2023</v>
      </c>
      <c r="K255" t="str">
        <f>TEXT(calls[[#This Row],[Date of Call]],"DDDD")</f>
        <v>Tuesday</v>
      </c>
      <c r="L255" t="str" cm="1">
        <f t="array" ref="L255">_xlfn.IFS(calls[[#This Row],[Duration]]&lt;=10,"under 10 mins",calls[[#This Row],[Duration]]&lt;=30,"10 to 30mins",calls[[#This Row],[Duration]]&lt;=60,"60 to 30mins",calls[[#This Row],[Duration]]&lt;=120,"1 to 2hrs",TRUE,"More than 2 hrs")</f>
        <v>More than 2 hrs</v>
      </c>
      <c r="M255">
        <f>ROUND(calls[[#This Row],[Satisfaction Rating]],0)</f>
        <v>4</v>
      </c>
      <c r="N255">
        <f>COUNTIF(calls[Customer ID], calls[[#This Row],[Customer ID]])</f>
        <v>60</v>
      </c>
      <c r="O255">
        <f>SUMIF(calls[Customer ID], calls[[#This Row],[Customer ID]], calls[Purchase Amount])</f>
        <v>5404</v>
      </c>
      <c r="P255">
        <f>calls[[#This Row],[call count]]/calls[[#This Row],[Purchase Amount]]</f>
        <v>0.8571428571428571</v>
      </c>
      <c r="Q255">
        <f>COUNTIF(calls[Customer ID],calls[[#This Row],[Customer ID]])</f>
        <v>60</v>
      </c>
      <c r="R255">
        <f>calls[[#This Row],[call count]]/calls[[#This Row],[Purchase Amount]]</f>
        <v>0.8571428571428571</v>
      </c>
    </row>
    <row r="256" spans="1:18" x14ac:dyDescent="0.4">
      <c r="A256" t="s">
        <v>286</v>
      </c>
      <c r="B256" t="s">
        <v>6</v>
      </c>
      <c r="C256">
        <v>63</v>
      </c>
      <c r="D256" s="4" t="s">
        <v>27</v>
      </c>
      <c r="E256" s="5">
        <v>45006</v>
      </c>
      <c r="F256">
        <v>148</v>
      </c>
      <c r="G256">
        <f>AVERAGEIF(calls[Representative], calls[[#This Row],[Representative]], calls[Satisfaction Rating])</f>
        <v>3.8589371980676304</v>
      </c>
      <c r="H256" t="str">
        <f>IF(AVERAGEIF(calls[Representative],calls[[#This Row],[Representative]],calls[Satisfaction Rating])&lt;3.5,"Needs Training","OK")</f>
        <v>OK</v>
      </c>
      <c r="I256">
        <v>5</v>
      </c>
      <c r="J256">
        <f>IF(MONTH(calls[[#This Row],[Date of Call]])&lt;=6, YEAR(calls[[#This Row],[Date of Call]]), YEAR(calls[[#This Row],[Date of Call]])+1)</f>
        <v>2023</v>
      </c>
      <c r="K256" t="str">
        <f>TEXT(calls[[#This Row],[Date of Call]],"DDDD")</f>
        <v>Tuesday</v>
      </c>
      <c r="L256" t="str" cm="1">
        <f t="array" ref="L256">_xlfn.IFS(calls[[#This Row],[Duration]]&lt;=10,"under 10 mins",calls[[#This Row],[Duration]]&lt;=30,"10 to 30mins",calls[[#This Row],[Duration]]&lt;=60,"60 to 30mins",calls[[#This Row],[Duration]]&lt;=120,"1 to 2hrs",TRUE,"More than 2 hrs")</f>
        <v>1 to 2hrs</v>
      </c>
      <c r="M256">
        <f>ROUND(calls[[#This Row],[Satisfaction Rating]],0)</f>
        <v>5</v>
      </c>
      <c r="N256">
        <f>COUNTIF(calls[Customer ID], calls[[#This Row],[Customer ID]])</f>
        <v>82</v>
      </c>
      <c r="O256">
        <f>SUMIF(calls[Customer ID], calls[[#This Row],[Customer ID]], calls[Purchase Amount])</f>
        <v>7689</v>
      </c>
      <c r="P256">
        <f>calls[[#This Row],[call count]]/calls[[#This Row],[Purchase Amount]]</f>
        <v>0.55405405405405406</v>
      </c>
      <c r="Q256">
        <f>COUNTIF(calls[Customer ID],calls[[#This Row],[Customer ID]])</f>
        <v>82</v>
      </c>
      <c r="R256">
        <f>calls[[#This Row],[call count]]/calls[[#This Row],[Purchase Amount]]</f>
        <v>0.55405405405405406</v>
      </c>
    </row>
    <row r="257" spans="1:18" x14ac:dyDescent="0.4">
      <c r="A257" t="s">
        <v>287</v>
      </c>
      <c r="B257" t="s">
        <v>21</v>
      </c>
      <c r="C257">
        <v>59</v>
      </c>
      <c r="D257" s="4" t="s">
        <v>14</v>
      </c>
      <c r="E257" s="5">
        <v>45006</v>
      </c>
      <c r="F257">
        <v>215</v>
      </c>
      <c r="G257">
        <f>AVERAGEIF(calls[Representative], calls[[#This Row],[Representative]], calls[Satisfaction Rating])</f>
        <v>3.9227513227513247</v>
      </c>
      <c r="H257" t="str">
        <f>IF(AVERAGEIF(calls[Representative],calls[[#This Row],[Representative]],calls[Satisfaction Rating])&lt;3.5,"Needs Training","OK")</f>
        <v>OK</v>
      </c>
      <c r="I257">
        <v>4.0999999999999996</v>
      </c>
      <c r="J257">
        <f>IF(MONTH(calls[[#This Row],[Date of Call]])&lt;=6, YEAR(calls[[#This Row],[Date of Call]]), YEAR(calls[[#This Row],[Date of Call]])+1)</f>
        <v>2023</v>
      </c>
      <c r="K257" t="str">
        <f>TEXT(calls[[#This Row],[Date of Call]],"DDDD")</f>
        <v>Tuesday</v>
      </c>
      <c r="L257" t="str" cm="1">
        <f t="array" ref="L257">_xlfn.IFS(calls[[#This Row],[Duration]]&lt;=10,"under 10 mins",calls[[#This Row],[Duration]]&lt;=30,"10 to 30mins",calls[[#This Row],[Duration]]&lt;=60,"60 to 30mins",calls[[#This Row],[Duration]]&lt;=120,"1 to 2hrs",TRUE,"More than 2 hrs")</f>
        <v>60 to 30mins</v>
      </c>
      <c r="M257">
        <f>ROUND(calls[[#This Row],[Satisfaction Rating]],0)</f>
        <v>4</v>
      </c>
      <c r="N257">
        <f>COUNTIF(calls[Customer ID], calls[[#This Row],[Customer ID]])</f>
        <v>67</v>
      </c>
      <c r="O257">
        <f>SUMIF(calls[Customer ID], calls[[#This Row],[Customer ID]], calls[Purchase Amount])</f>
        <v>7216</v>
      </c>
      <c r="P257">
        <f>calls[[#This Row],[call count]]/calls[[#This Row],[Purchase Amount]]</f>
        <v>0.3116279069767442</v>
      </c>
      <c r="Q257">
        <f>COUNTIF(calls[Customer ID],calls[[#This Row],[Customer ID]])</f>
        <v>67</v>
      </c>
      <c r="R257">
        <f>calls[[#This Row],[call count]]/calls[[#This Row],[Purchase Amount]]</f>
        <v>0.3116279069767442</v>
      </c>
    </row>
    <row r="258" spans="1:18" x14ac:dyDescent="0.4">
      <c r="A258" t="s">
        <v>288</v>
      </c>
      <c r="B258" t="s">
        <v>21</v>
      </c>
      <c r="C258">
        <v>144</v>
      </c>
      <c r="D258" s="4" t="s">
        <v>9</v>
      </c>
      <c r="E258" s="5">
        <v>45006</v>
      </c>
      <c r="F258">
        <v>124</v>
      </c>
      <c r="G258">
        <f>AVERAGEIF(calls[Representative], calls[[#This Row],[Representative]], calls[Satisfaction Rating])</f>
        <v>3.8706422018348627</v>
      </c>
      <c r="H258" t="str">
        <f>IF(AVERAGEIF(calls[Representative],calls[[#This Row],[Representative]],calls[Satisfaction Rating])&lt;3.5,"Needs Training","OK")</f>
        <v>OK</v>
      </c>
      <c r="I258">
        <v>4.4000000000000004</v>
      </c>
      <c r="J258">
        <f>IF(MONTH(calls[[#This Row],[Date of Call]])&lt;=6, YEAR(calls[[#This Row],[Date of Call]]), YEAR(calls[[#This Row],[Date of Call]])+1)</f>
        <v>2023</v>
      </c>
      <c r="K258" t="str">
        <f>TEXT(calls[[#This Row],[Date of Call]],"DDDD")</f>
        <v>Tuesday</v>
      </c>
      <c r="L258" t="str" cm="1">
        <f t="array" ref="L258">_xlfn.IFS(calls[[#This Row],[Duration]]&lt;=10,"under 10 mins",calls[[#This Row],[Duration]]&lt;=30,"10 to 30mins",calls[[#This Row],[Duration]]&lt;=60,"60 to 30mins",calls[[#This Row],[Duration]]&lt;=120,"1 to 2hrs",TRUE,"More than 2 hrs")</f>
        <v>More than 2 hrs</v>
      </c>
      <c r="M258">
        <f>ROUND(calls[[#This Row],[Satisfaction Rating]],0)</f>
        <v>4</v>
      </c>
      <c r="N258">
        <f>COUNTIF(calls[Customer ID], calls[[#This Row],[Customer ID]])</f>
        <v>67</v>
      </c>
      <c r="O258">
        <f>SUMIF(calls[Customer ID], calls[[#This Row],[Customer ID]], calls[Purchase Amount])</f>
        <v>7216</v>
      </c>
      <c r="P258">
        <f>calls[[#This Row],[call count]]/calls[[#This Row],[Purchase Amount]]</f>
        <v>0.54032258064516125</v>
      </c>
      <c r="Q258">
        <f>COUNTIF(calls[Customer ID],calls[[#This Row],[Customer ID]])</f>
        <v>67</v>
      </c>
      <c r="R258">
        <f>calls[[#This Row],[call count]]/calls[[#This Row],[Purchase Amount]]</f>
        <v>0.54032258064516125</v>
      </c>
    </row>
    <row r="259" spans="1:18" x14ac:dyDescent="0.4">
      <c r="A259" t="s">
        <v>289</v>
      </c>
      <c r="B259" t="s">
        <v>44</v>
      </c>
      <c r="C259">
        <v>113</v>
      </c>
      <c r="D259" s="4" t="s">
        <v>23</v>
      </c>
      <c r="E259" s="5">
        <v>45006</v>
      </c>
      <c r="F259">
        <v>168</v>
      </c>
      <c r="G259">
        <f>AVERAGEIF(calls[Representative], calls[[#This Row],[Representative]], calls[Satisfaction Rating])</f>
        <v>3.8973118279569863</v>
      </c>
      <c r="H259" t="str">
        <f>IF(AVERAGEIF(calls[Representative],calls[[#This Row],[Representative]],calls[Satisfaction Rating])&lt;3.5,"Needs Training","OK")</f>
        <v>OK</v>
      </c>
      <c r="I259">
        <v>4.0999999999999996</v>
      </c>
      <c r="J259">
        <f>IF(MONTH(calls[[#This Row],[Date of Call]])&lt;=6, YEAR(calls[[#This Row],[Date of Call]]), YEAR(calls[[#This Row],[Date of Call]])+1)</f>
        <v>2023</v>
      </c>
      <c r="K259" t="str">
        <f>TEXT(calls[[#This Row],[Date of Call]],"DDDD")</f>
        <v>Tuesday</v>
      </c>
      <c r="L259" t="str" cm="1">
        <f t="array" ref="L259">_xlfn.IFS(calls[[#This Row],[Duration]]&lt;=10,"under 10 mins",calls[[#This Row],[Duration]]&lt;=30,"10 to 30mins",calls[[#This Row],[Duration]]&lt;=60,"60 to 30mins",calls[[#This Row],[Duration]]&lt;=120,"1 to 2hrs",TRUE,"More than 2 hrs")</f>
        <v>1 to 2hrs</v>
      </c>
      <c r="M259">
        <f>ROUND(calls[[#This Row],[Satisfaction Rating]],0)</f>
        <v>4</v>
      </c>
      <c r="N259">
        <f>COUNTIF(calls[Customer ID], calls[[#This Row],[Customer ID]])</f>
        <v>62</v>
      </c>
      <c r="O259">
        <f>SUMIF(calls[Customer ID], calls[[#This Row],[Customer ID]], calls[Purchase Amount])</f>
        <v>6176</v>
      </c>
      <c r="P259">
        <f>calls[[#This Row],[call count]]/calls[[#This Row],[Purchase Amount]]</f>
        <v>0.36904761904761907</v>
      </c>
      <c r="Q259">
        <f>COUNTIF(calls[Customer ID],calls[[#This Row],[Customer ID]])</f>
        <v>62</v>
      </c>
      <c r="R259">
        <f>calls[[#This Row],[call count]]/calls[[#This Row],[Purchase Amount]]</f>
        <v>0.36904761904761907</v>
      </c>
    </row>
    <row r="260" spans="1:18" x14ac:dyDescent="0.4">
      <c r="A260" t="s">
        <v>290</v>
      </c>
      <c r="B260" t="s">
        <v>54</v>
      </c>
      <c r="C260">
        <v>154</v>
      </c>
      <c r="D260" s="4" t="s">
        <v>2</v>
      </c>
      <c r="E260" s="5">
        <v>45006</v>
      </c>
      <c r="F260">
        <v>90</v>
      </c>
      <c r="G260">
        <f>AVERAGEIF(calls[Representative], calls[[#This Row],[Representative]], calls[Satisfaction Rating])</f>
        <v>3.8824999999999998</v>
      </c>
      <c r="H260" t="str">
        <f>IF(AVERAGEIF(calls[Representative],calls[[#This Row],[Representative]],calls[Satisfaction Rating])&lt;3.5,"Needs Training","OK")</f>
        <v>OK</v>
      </c>
      <c r="I260">
        <v>4.5</v>
      </c>
      <c r="J260">
        <f>IF(MONTH(calls[[#This Row],[Date of Call]])&lt;=6, YEAR(calls[[#This Row],[Date of Call]]), YEAR(calls[[#This Row],[Date of Call]])+1)</f>
        <v>2023</v>
      </c>
      <c r="K260" t="str">
        <f>TEXT(calls[[#This Row],[Date of Call]],"DDDD")</f>
        <v>Tuesday</v>
      </c>
      <c r="L260" t="str" cm="1">
        <f t="array" ref="L260">_xlfn.IFS(calls[[#This Row],[Duration]]&lt;=10,"under 10 mins",calls[[#This Row],[Duration]]&lt;=30,"10 to 30mins",calls[[#This Row],[Duration]]&lt;=60,"60 to 30mins",calls[[#This Row],[Duration]]&lt;=120,"1 to 2hrs",TRUE,"More than 2 hrs")</f>
        <v>More than 2 hrs</v>
      </c>
      <c r="M260">
        <f>ROUND(calls[[#This Row],[Satisfaction Rating]],0)</f>
        <v>5</v>
      </c>
      <c r="N260">
        <f>COUNTIF(calls[Customer ID], calls[[#This Row],[Customer ID]])</f>
        <v>70</v>
      </c>
      <c r="O260">
        <f>SUMIF(calls[Customer ID], calls[[#This Row],[Customer ID]], calls[Purchase Amount])</f>
        <v>6819</v>
      </c>
      <c r="P260">
        <f>calls[[#This Row],[call count]]/calls[[#This Row],[Purchase Amount]]</f>
        <v>0.77777777777777779</v>
      </c>
      <c r="Q260">
        <f>COUNTIF(calls[Customer ID],calls[[#This Row],[Customer ID]])</f>
        <v>70</v>
      </c>
      <c r="R260">
        <f>calls[[#This Row],[call count]]/calls[[#This Row],[Purchase Amount]]</f>
        <v>0.77777777777777779</v>
      </c>
    </row>
    <row r="261" spans="1:18" x14ac:dyDescent="0.4">
      <c r="A261" t="s">
        <v>291</v>
      </c>
      <c r="B261" t="s">
        <v>54</v>
      </c>
      <c r="C261">
        <v>58</v>
      </c>
      <c r="D261" s="4" t="s">
        <v>14</v>
      </c>
      <c r="E261" s="5">
        <v>45007</v>
      </c>
      <c r="F261">
        <v>176</v>
      </c>
      <c r="G261">
        <f>AVERAGEIF(calls[Representative], calls[[#This Row],[Representative]], calls[Satisfaction Rating])</f>
        <v>3.9227513227513247</v>
      </c>
      <c r="H261" t="str">
        <f>IF(AVERAGEIF(calls[Representative],calls[[#This Row],[Representative]],calls[Satisfaction Rating])&lt;3.5,"Needs Training","OK")</f>
        <v>OK</v>
      </c>
      <c r="I261">
        <v>4.2</v>
      </c>
      <c r="J261">
        <f>IF(MONTH(calls[[#This Row],[Date of Call]])&lt;=6, YEAR(calls[[#This Row],[Date of Call]]), YEAR(calls[[#This Row],[Date of Call]])+1)</f>
        <v>2023</v>
      </c>
      <c r="K261" t="str">
        <f>TEXT(calls[[#This Row],[Date of Call]],"DDDD")</f>
        <v>Wednesday</v>
      </c>
      <c r="L261" t="str" cm="1">
        <f t="array" ref="L261">_xlfn.IFS(calls[[#This Row],[Duration]]&lt;=10,"under 10 mins",calls[[#This Row],[Duration]]&lt;=30,"10 to 30mins",calls[[#This Row],[Duration]]&lt;=60,"60 to 30mins",calls[[#This Row],[Duration]]&lt;=120,"1 to 2hrs",TRUE,"More than 2 hrs")</f>
        <v>60 to 30mins</v>
      </c>
      <c r="M261">
        <f>ROUND(calls[[#This Row],[Satisfaction Rating]],0)</f>
        <v>4</v>
      </c>
      <c r="N261">
        <f>COUNTIF(calls[Customer ID], calls[[#This Row],[Customer ID]])</f>
        <v>70</v>
      </c>
      <c r="O261">
        <f>SUMIF(calls[Customer ID], calls[[#This Row],[Customer ID]], calls[Purchase Amount])</f>
        <v>6819</v>
      </c>
      <c r="P261">
        <f>calls[[#This Row],[call count]]/calls[[#This Row],[Purchase Amount]]</f>
        <v>0.39772727272727271</v>
      </c>
      <c r="Q261">
        <f>COUNTIF(calls[Customer ID],calls[[#This Row],[Customer ID]])</f>
        <v>70</v>
      </c>
      <c r="R261">
        <f>calls[[#This Row],[call count]]/calls[[#This Row],[Purchase Amount]]</f>
        <v>0.39772727272727271</v>
      </c>
    </row>
    <row r="262" spans="1:18" x14ac:dyDescent="0.4">
      <c r="A262" t="s">
        <v>292</v>
      </c>
      <c r="B262" t="s">
        <v>13</v>
      </c>
      <c r="C262">
        <v>63</v>
      </c>
      <c r="D262" s="4" t="s">
        <v>27</v>
      </c>
      <c r="E262" s="5">
        <v>45007</v>
      </c>
      <c r="F262">
        <v>87</v>
      </c>
      <c r="G262">
        <f>AVERAGEIF(calls[Representative], calls[[#This Row],[Representative]], calls[Satisfaction Rating])</f>
        <v>3.8589371980676304</v>
      </c>
      <c r="H262" t="str">
        <f>IF(AVERAGEIF(calls[Representative],calls[[#This Row],[Representative]],calls[Satisfaction Rating])&lt;3.5,"Needs Training","OK")</f>
        <v>OK</v>
      </c>
      <c r="I262">
        <v>4.5999999999999996</v>
      </c>
      <c r="J262">
        <f>IF(MONTH(calls[[#This Row],[Date of Call]])&lt;=6, YEAR(calls[[#This Row],[Date of Call]]), YEAR(calls[[#This Row],[Date of Call]])+1)</f>
        <v>2023</v>
      </c>
      <c r="K262" t="str">
        <f>TEXT(calls[[#This Row],[Date of Call]],"DDDD")</f>
        <v>Wednesday</v>
      </c>
      <c r="L262" t="str" cm="1">
        <f t="array" ref="L262">_xlfn.IFS(calls[[#This Row],[Duration]]&lt;=10,"under 10 mins",calls[[#This Row],[Duration]]&lt;=30,"10 to 30mins",calls[[#This Row],[Duration]]&lt;=60,"60 to 30mins",calls[[#This Row],[Duration]]&lt;=120,"1 to 2hrs",TRUE,"More than 2 hrs")</f>
        <v>1 to 2hrs</v>
      </c>
      <c r="M262">
        <f>ROUND(calls[[#This Row],[Satisfaction Rating]],0)</f>
        <v>5</v>
      </c>
      <c r="N262">
        <f>COUNTIF(calls[Customer ID], calls[[#This Row],[Customer ID]])</f>
        <v>74</v>
      </c>
      <c r="O262">
        <f>SUMIF(calls[Customer ID], calls[[#This Row],[Customer ID]], calls[Purchase Amount])</f>
        <v>6749</v>
      </c>
      <c r="P262">
        <f>calls[[#This Row],[call count]]/calls[[#This Row],[Purchase Amount]]</f>
        <v>0.85057471264367812</v>
      </c>
      <c r="Q262">
        <f>COUNTIF(calls[Customer ID],calls[[#This Row],[Customer ID]])</f>
        <v>74</v>
      </c>
      <c r="R262">
        <f>calls[[#This Row],[call count]]/calls[[#This Row],[Purchase Amount]]</f>
        <v>0.85057471264367812</v>
      </c>
    </row>
    <row r="263" spans="1:18" x14ac:dyDescent="0.4">
      <c r="A263" t="s">
        <v>293</v>
      </c>
      <c r="B263" t="s">
        <v>40</v>
      </c>
      <c r="C263">
        <v>59</v>
      </c>
      <c r="D263" s="4" t="s">
        <v>9</v>
      </c>
      <c r="E263" s="5">
        <v>45007</v>
      </c>
      <c r="F263">
        <v>128</v>
      </c>
      <c r="G263">
        <f>AVERAGEIF(calls[Representative], calls[[#This Row],[Representative]], calls[Satisfaction Rating])</f>
        <v>3.8706422018348627</v>
      </c>
      <c r="H263" t="str">
        <f>IF(AVERAGEIF(calls[Representative],calls[[#This Row],[Representative]],calls[Satisfaction Rating])&lt;3.5,"Needs Training","OK")</f>
        <v>OK</v>
      </c>
      <c r="I263">
        <v>4.5</v>
      </c>
      <c r="J263">
        <f>IF(MONTH(calls[[#This Row],[Date of Call]])&lt;=6, YEAR(calls[[#This Row],[Date of Call]]), YEAR(calls[[#This Row],[Date of Call]])+1)</f>
        <v>2023</v>
      </c>
      <c r="K263" t="str">
        <f>TEXT(calls[[#This Row],[Date of Call]],"DDDD")</f>
        <v>Wednesday</v>
      </c>
      <c r="L263" t="str" cm="1">
        <f t="array" ref="L263">_xlfn.IFS(calls[[#This Row],[Duration]]&lt;=10,"under 10 mins",calls[[#This Row],[Duration]]&lt;=30,"10 to 30mins",calls[[#This Row],[Duration]]&lt;=60,"60 to 30mins",calls[[#This Row],[Duration]]&lt;=120,"1 to 2hrs",TRUE,"More than 2 hrs")</f>
        <v>60 to 30mins</v>
      </c>
      <c r="M263">
        <f>ROUND(calls[[#This Row],[Satisfaction Rating]],0)</f>
        <v>5</v>
      </c>
      <c r="N263">
        <f>COUNTIF(calls[Customer ID], calls[[#This Row],[Customer ID]])</f>
        <v>69</v>
      </c>
      <c r="O263">
        <f>SUMIF(calls[Customer ID], calls[[#This Row],[Customer ID]], calls[Purchase Amount])</f>
        <v>6601</v>
      </c>
      <c r="P263">
        <f>calls[[#This Row],[call count]]/calls[[#This Row],[Purchase Amount]]</f>
        <v>0.5390625</v>
      </c>
      <c r="Q263">
        <f>COUNTIF(calls[Customer ID],calls[[#This Row],[Customer ID]])</f>
        <v>69</v>
      </c>
      <c r="R263">
        <f>calls[[#This Row],[call count]]/calls[[#This Row],[Purchase Amount]]</f>
        <v>0.5390625</v>
      </c>
    </row>
    <row r="264" spans="1:18" x14ac:dyDescent="0.4">
      <c r="A264" t="s">
        <v>294</v>
      </c>
      <c r="B264" t="s">
        <v>84</v>
      </c>
      <c r="C264">
        <v>129</v>
      </c>
      <c r="D264" s="4" t="s">
        <v>27</v>
      </c>
      <c r="E264" s="5">
        <v>45007</v>
      </c>
      <c r="F264">
        <v>120</v>
      </c>
      <c r="G264">
        <f>AVERAGEIF(calls[Representative], calls[[#This Row],[Representative]], calls[Satisfaction Rating])</f>
        <v>3.8589371980676304</v>
      </c>
      <c r="H264" t="str">
        <f>IF(AVERAGEIF(calls[Representative],calls[[#This Row],[Representative]],calls[Satisfaction Rating])&lt;3.5,"Needs Training","OK")</f>
        <v>OK</v>
      </c>
      <c r="I264">
        <v>4.0999999999999996</v>
      </c>
      <c r="J264">
        <f>IF(MONTH(calls[[#This Row],[Date of Call]])&lt;=6, YEAR(calls[[#This Row],[Date of Call]]), YEAR(calls[[#This Row],[Date of Call]])+1)</f>
        <v>2023</v>
      </c>
      <c r="K264" t="str">
        <f>TEXT(calls[[#This Row],[Date of Call]],"DDDD")</f>
        <v>Wednesday</v>
      </c>
      <c r="L264" t="str" cm="1">
        <f t="array" ref="L264">_xlfn.IFS(calls[[#This Row],[Duration]]&lt;=10,"under 10 mins",calls[[#This Row],[Duration]]&lt;=30,"10 to 30mins",calls[[#This Row],[Duration]]&lt;=60,"60 to 30mins",calls[[#This Row],[Duration]]&lt;=120,"1 to 2hrs",TRUE,"More than 2 hrs")</f>
        <v>More than 2 hrs</v>
      </c>
      <c r="M264">
        <f>ROUND(calls[[#This Row],[Satisfaction Rating]],0)</f>
        <v>4</v>
      </c>
      <c r="N264">
        <f>COUNTIF(calls[Customer ID], calls[[#This Row],[Customer ID]])</f>
        <v>59</v>
      </c>
      <c r="O264">
        <f>SUMIF(calls[Customer ID], calls[[#This Row],[Customer ID]], calls[Purchase Amount])</f>
        <v>5009</v>
      </c>
      <c r="P264">
        <f>calls[[#This Row],[call count]]/calls[[#This Row],[Purchase Amount]]</f>
        <v>0.49166666666666664</v>
      </c>
      <c r="Q264">
        <f>COUNTIF(calls[Customer ID],calls[[#This Row],[Customer ID]])</f>
        <v>59</v>
      </c>
      <c r="R264">
        <f>calls[[#This Row],[call count]]/calls[[#This Row],[Purchase Amount]]</f>
        <v>0.49166666666666664</v>
      </c>
    </row>
    <row r="265" spans="1:18" x14ac:dyDescent="0.4">
      <c r="A265" t="s">
        <v>295</v>
      </c>
      <c r="B265" t="s">
        <v>32</v>
      </c>
      <c r="C265">
        <v>101</v>
      </c>
      <c r="D265" s="4" t="s">
        <v>23</v>
      </c>
      <c r="E265" s="5">
        <v>45007</v>
      </c>
      <c r="F265">
        <v>130</v>
      </c>
      <c r="G265">
        <f>AVERAGEIF(calls[Representative], calls[[#This Row],[Representative]], calls[Satisfaction Rating])</f>
        <v>3.8973118279569863</v>
      </c>
      <c r="H265" t="str">
        <f>IF(AVERAGEIF(calls[Representative],calls[[#This Row],[Representative]],calls[Satisfaction Rating])&lt;3.5,"Needs Training","OK")</f>
        <v>OK</v>
      </c>
      <c r="I265">
        <v>4.8</v>
      </c>
      <c r="J265">
        <f>IF(MONTH(calls[[#This Row],[Date of Call]])&lt;=6, YEAR(calls[[#This Row],[Date of Call]]), YEAR(calls[[#This Row],[Date of Call]])+1)</f>
        <v>2023</v>
      </c>
      <c r="K265" t="str">
        <f>TEXT(calls[[#This Row],[Date of Call]],"DDDD")</f>
        <v>Wednesday</v>
      </c>
      <c r="L265" t="str" cm="1">
        <f t="array" ref="L265">_xlfn.IFS(calls[[#This Row],[Duration]]&lt;=10,"under 10 mins",calls[[#This Row],[Duration]]&lt;=30,"10 to 30mins",calls[[#This Row],[Duration]]&lt;=60,"60 to 30mins",calls[[#This Row],[Duration]]&lt;=120,"1 to 2hrs",TRUE,"More than 2 hrs")</f>
        <v>1 to 2hrs</v>
      </c>
      <c r="M265">
        <f>ROUND(calls[[#This Row],[Satisfaction Rating]],0)</f>
        <v>5</v>
      </c>
      <c r="N265">
        <f>COUNTIF(calls[Customer ID], calls[[#This Row],[Customer ID]])</f>
        <v>63</v>
      </c>
      <c r="O265">
        <f>SUMIF(calls[Customer ID], calls[[#This Row],[Customer ID]], calls[Purchase Amount])</f>
        <v>5634</v>
      </c>
      <c r="P265">
        <f>calls[[#This Row],[call count]]/calls[[#This Row],[Purchase Amount]]</f>
        <v>0.48461538461538461</v>
      </c>
      <c r="Q265">
        <f>COUNTIF(calls[Customer ID],calls[[#This Row],[Customer ID]])</f>
        <v>63</v>
      </c>
      <c r="R265">
        <f>calls[[#This Row],[call count]]/calls[[#This Row],[Purchase Amount]]</f>
        <v>0.48461538461538461</v>
      </c>
    </row>
    <row r="266" spans="1:18" x14ac:dyDescent="0.4">
      <c r="A266" t="s">
        <v>296</v>
      </c>
      <c r="B266" t="s">
        <v>51</v>
      </c>
      <c r="C266">
        <v>154</v>
      </c>
      <c r="D266" s="4" t="s">
        <v>9</v>
      </c>
      <c r="E266" s="5">
        <v>45007</v>
      </c>
      <c r="F266">
        <v>172</v>
      </c>
      <c r="G266">
        <f>AVERAGEIF(calls[Representative], calls[[#This Row],[Representative]], calls[Satisfaction Rating])</f>
        <v>3.8706422018348627</v>
      </c>
      <c r="H266" t="str">
        <f>IF(AVERAGEIF(calls[Representative],calls[[#This Row],[Representative]],calls[Satisfaction Rating])&lt;3.5,"Needs Training","OK")</f>
        <v>OK</v>
      </c>
      <c r="I266">
        <v>3.1</v>
      </c>
      <c r="J266">
        <f>IF(MONTH(calls[[#This Row],[Date of Call]])&lt;=6, YEAR(calls[[#This Row],[Date of Call]]), YEAR(calls[[#This Row],[Date of Call]])+1)</f>
        <v>2023</v>
      </c>
      <c r="K266" t="str">
        <f>TEXT(calls[[#This Row],[Date of Call]],"DDDD")</f>
        <v>Wednesday</v>
      </c>
      <c r="L266" t="str" cm="1">
        <f t="array" ref="L266">_xlfn.IFS(calls[[#This Row],[Duration]]&lt;=10,"under 10 mins",calls[[#This Row],[Duration]]&lt;=30,"10 to 30mins",calls[[#This Row],[Duration]]&lt;=60,"60 to 30mins",calls[[#This Row],[Duration]]&lt;=120,"1 to 2hrs",TRUE,"More than 2 hrs")</f>
        <v>More than 2 hrs</v>
      </c>
      <c r="M266">
        <f>ROUND(calls[[#This Row],[Satisfaction Rating]],0)</f>
        <v>3</v>
      </c>
      <c r="N266">
        <f>COUNTIF(calls[Customer ID], calls[[#This Row],[Customer ID]])</f>
        <v>59</v>
      </c>
      <c r="O266">
        <f>SUMIF(calls[Customer ID], calls[[#This Row],[Customer ID]], calls[Purchase Amount])</f>
        <v>6518</v>
      </c>
      <c r="P266">
        <f>calls[[#This Row],[call count]]/calls[[#This Row],[Purchase Amount]]</f>
        <v>0.34302325581395349</v>
      </c>
      <c r="Q266">
        <f>COUNTIF(calls[Customer ID],calls[[#This Row],[Customer ID]])</f>
        <v>59</v>
      </c>
      <c r="R266">
        <f>calls[[#This Row],[call count]]/calls[[#This Row],[Purchase Amount]]</f>
        <v>0.34302325581395349</v>
      </c>
    </row>
    <row r="267" spans="1:18" x14ac:dyDescent="0.4">
      <c r="A267" t="s">
        <v>297</v>
      </c>
      <c r="B267" t="s">
        <v>26</v>
      </c>
      <c r="C267">
        <v>131</v>
      </c>
      <c r="D267" s="4" t="s">
        <v>9</v>
      </c>
      <c r="E267" s="5">
        <v>45007</v>
      </c>
      <c r="F267">
        <v>58</v>
      </c>
      <c r="G267">
        <f>AVERAGEIF(calls[Representative], calls[[#This Row],[Representative]], calls[Satisfaction Rating])</f>
        <v>3.8706422018348627</v>
      </c>
      <c r="H267" t="str">
        <f>IF(AVERAGEIF(calls[Representative],calls[[#This Row],[Representative]],calls[Satisfaction Rating])&lt;3.5,"Needs Training","OK")</f>
        <v>OK</v>
      </c>
      <c r="I267">
        <v>4.9000000000000004</v>
      </c>
      <c r="J267">
        <f>IF(MONTH(calls[[#This Row],[Date of Call]])&lt;=6, YEAR(calls[[#This Row],[Date of Call]]), YEAR(calls[[#This Row],[Date of Call]])+1)</f>
        <v>2023</v>
      </c>
      <c r="K267" t="str">
        <f>TEXT(calls[[#This Row],[Date of Call]],"DDDD")</f>
        <v>Wednesday</v>
      </c>
      <c r="L267" t="str" cm="1">
        <f t="array" ref="L267">_xlfn.IFS(calls[[#This Row],[Duration]]&lt;=10,"under 10 mins",calls[[#This Row],[Duration]]&lt;=30,"10 to 30mins",calls[[#This Row],[Duration]]&lt;=60,"60 to 30mins",calls[[#This Row],[Duration]]&lt;=120,"1 to 2hrs",TRUE,"More than 2 hrs")</f>
        <v>More than 2 hrs</v>
      </c>
      <c r="M267">
        <f>ROUND(calls[[#This Row],[Satisfaction Rating]],0)</f>
        <v>5</v>
      </c>
      <c r="N267">
        <f>COUNTIF(calls[Customer ID], calls[[#This Row],[Customer ID]])</f>
        <v>72</v>
      </c>
      <c r="O267">
        <f>SUMIF(calls[Customer ID], calls[[#This Row],[Customer ID]], calls[Purchase Amount])</f>
        <v>6242</v>
      </c>
      <c r="P267">
        <f>calls[[#This Row],[call count]]/calls[[#This Row],[Purchase Amount]]</f>
        <v>1.2413793103448276</v>
      </c>
      <c r="Q267">
        <f>COUNTIF(calls[Customer ID],calls[[#This Row],[Customer ID]])</f>
        <v>72</v>
      </c>
      <c r="R267">
        <f>calls[[#This Row],[call count]]/calls[[#This Row],[Purchase Amount]]</f>
        <v>1.2413793103448276</v>
      </c>
    </row>
    <row r="268" spans="1:18" x14ac:dyDescent="0.4">
      <c r="A268" t="s">
        <v>298</v>
      </c>
      <c r="B268" t="s">
        <v>21</v>
      </c>
      <c r="C268">
        <v>111</v>
      </c>
      <c r="D268" s="4" t="s">
        <v>23</v>
      </c>
      <c r="E268" s="5">
        <v>45008</v>
      </c>
      <c r="F268">
        <v>86</v>
      </c>
      <c r="G268">
        <f>AVERAGEIF(calls[Representative], calls[[#This Row],[Representative]], calls[Satisfaction Rating])</f>
        <v>3.8973118279569863</v>
      </c>
      <c r="H268" t="str">
        <f>IF(AVERAGEIF(calls[Representative],calls[[#This Row],[Representative]],calls[Satisfaction Rating])&lt;3.5,"Needs Training","OK")</f>
        <v>OK</v>
      </c>
      <c r="I268">
        <v>4.0999999999999996</v>
      </c>
      <c r="J268">
        <f>IF(MONTH(calls[[#This Row],[Date of Call]])&lt;=6, YEAR(calls[[#This Row],[Date of Call]]), YEAR(calls[[#This Row],[Date of Call]])+1)</f>
        <v>2023</v>
      </c>
      <c r="K268" t="str">
        <f>TEXT(calls[[#This Row],[Date of Call]],"DDDD")</f>
        <v>Thursday</v>
      </c>
      <c r="L268" t="str" cm="1">
        <f t="array" ref="L268">_xlfn.IFS(calls[[#This Row],[Duration]]&lt;=10,"under 10 mins",calls[[#This Row],[Duration]]&lt;=30,"10 to 30mins",calls[[#This Row],[Duration]]&lt;=60,"60 to 30mins",calls[[#This Row],[Duration]]&lt;=120,"1 to 2hrs",TRUE,"More than 2 hrs")</f>
        <v>1 to 2hrs</v>
      </c>
      <c r="M268">
        <f>ROUND(calls[[#This Row],[Satisfaction Rating]],0)</f>
        <v>4</v>
      </c>
      <c r="N268">
        <f>COUNTIF(calls[Customer ID], calls[[#This Row],[Customer ID]])</f>
        <v>67</v>
      </c>
      <c r="O268">
        <f>SUMIF(calls[Customer ID], calls[[#This Row],[Customer ID]], calls[Purchase Amount])</f>
        <v>7216</v>
      </c>
      <c r="P268">
        <f>calls[[#This Row],[call count]]/calls[[#This Row],[Purchase Amount]]</f>
        <v>0.77906976744186052</v>
      </c>
      <c r="Q268">
        <f>COUNTIF(calls[Customer ID],calls[[#This Row],[Customer ID]])</f>
        <v>67</v>
      </c>
      <c r="R268">
        <f>calls[[#This Row],[call count]]/calls[[#This Row],[Purchase Amount]]</f>
        <v>0.77906976744186052</v>
      </c>
    </row>
    <row r="269" spans="1:18" x14ac:dyDescent="0.4">
      <c r="A269" t="s">
        <v>299</v>
      </c>
      <c r="B269" t="s">
        <v>54</v>
      </c>
      <c r="C269">
        <v>142</v>
      </c>
      <c r="D269" s="4" t="s">
        <v>23</v>
      </c>
      <c r="E269" s="5">
        <v>45009</v>
      </c>
      <c r="F269">
        <v>31</v>
      </c>
      <c r="G269">
        <f>AVERAGEIF(calls[Representative], calls[[#This Row],[Representative]], calls[Satisfaction Rating])</f>
        <v>3.8973118279569863</v>
      </c>
      <c r="H269" t="str">
        <f>IF(AVERAGEIF(calls[Representative],calls[[#This Row],[Representative]],calls[Satisfaction Rating])&lt;3.5,"Needs Training","OK")</f>
        <v>OK</v>
      </c>
      <c r="I269">
        <v>4.4000000000000004</v>
      </c>
      <c r="J269">
        <f>IF(MONTH(calls[[#This Row],[Date of Call]])&lt;=6, YEAR(calls[[#This Row],[Date of Call]]), YEAR(calls[[#This Row],[Date of Call]])+1)</f>
        <v>2023</v>
      </c>
      <c r="K269" t="str">
        <f>TEXT(calls[[#This Row],[Date of Call]],"DDDD")</f>
        <v>Friday</v>
      </c>
      <c r="L269" t="str" cm="1">
        <f t="array" ref="L269">_xlfn.IFS(calls[[#This Row],[Duration]]&lt;=10,"under 10 mins",calls[[#This Row],[Duration]]&lt;=30,"10 to 30mins",calls[[#This Row],[Duration]]&lt;=60,"60 to 30mins",calls[[#This Row],[Duration]]&lt;=120,"1 to 2hrs",TRUE,"More than 2 hrs")</f>
        <v>More than 2 hrs</v>
      </c>
      <c r="M269">
        <f>ROUND(calls[[#This Row],[Satisfaction Rating]],0)</f>
        <v>4</v>
      </c>
      <c r="N269">
        <f>COUNTIF(calls[Customer ID], calls[[#This Row],[Customer ID]])</f>
        <v>70</v>
      </c>
      <c r="O269">
        <f>SUMIF(calls[Customer ID], calls[[#This Row],[Customer ID]], calls[Purchase Amount])</f>
        <v>6819</v>
      </c>
      <c r="P269">
        <f>calls[[#This Row],[call count]]/calls[[#This Row],[Purchase Amount]]</f>
        <v>2.2580645161290325</v>
      </c>
      <c r="Q269">
        <f>COUNTIF(calls[Customer ID],calls[[#This Row],[Customer ID]])</f>
        <v>70</v>
      </c>
      <c r="R269">
        <f>calls[[#This Row],[call count]]/calls[[#This Row],[Purchase Amount]]</f>
        <v>2.2580645161290325</v>
      </c>
    </row>
    <row r="270" spans="1:18" x14ac:dyDescent="0.4">
      <c r="A270" t="s">
        <v>300</v>
      </c>
      <c r="B270" t="s">
        <v>8</v>
      </c>
      <c r="C270">
        <v>93</v>
      </c>
      <c r="D270" s="4" t="s">
        <v>27</v>
      </c>
      <c r="E270" s="5">
        <v>45009</v>
      </c>
      <c r="F270">
        <v>72</v>
      </c>
      <c r="G270">
        <f>AVERAGEIF(calls[Representative], calls[[#This Row],[Representative]], calls[Satisfaction Rating])</f>
        <v>3.8589371980676304</v>
      </c>
      <c r="H270" t="str">
        <f>IF(AVERAGEIF(calls[Representative],calls[[#This Row],[Representative]],calls[Satisfaction Rating])&lt;3.5,"Needs Training","OK")</f>
        <v>OK</v>
      </c>
      <c r="I270">
        <v>4.4000000000000004</v>
      </c>
      <c r="J270">
        <f>IF(MONTH(calls[[#This Row],[Date of Call]])&lt;=6, YEAR(calls[[#This Row],[Date of Call]]), YEAR(calls[[#This Row],[Date of Call]])+1)</f>
        <v>2023</v>
      </c>
      <c r="K270" t="str">
        <f>TEXT(calls[[#This Row],[Date of Call]],"DDDD")</f>
        <v>Friday</v>
      </c>
      <c r="L270" t="str" cm="1">
        <f t="array" ref="L270">_xlfn.IFS(calls[[#This Row],[Duration]]&lt;=10,"under 10 mins",calls[[#This Row],[Duration]]&lt;=30,"10 to 30mins",calls[[#This Row],[Duration]]&lt;=60,"60 to 30mins",calls[[#This Row],[Duration]]&lt;=120,"1 to 2hrs",TRUE,"More than 2 hrs")</f>
        <v>1 to 2hrs</v>
      </c>
      <c r="M270">
        <f>ROUND(calls[[#This Row],[Satisfaction Rating]],0)</f>
        <v>4</v>
      </c>
      <c r="N270">
        <f>COUNTIF(calls[Customer ID], calls[[#This Row],[Customer ID]])</f>
        <v>79</v>
      </c>
      <c r="O270">
        <f>SUMIF(calls[Customer ID], calls[[#This Row],[Customer ID]], calls[Purchase Amount])</f>
        <v>7747</v>
      </c>
      <c r="P270">
        <f>calls[[#This Row],[call count]]/calls[[#This Row],[Purchase Amount]]</f>
        <v>1.0972222222222223</v>
      </c>
      <c r="Q270">
        <f>COUNTIF(calls[Customer ID],calls[[#This Row],[Customer ID]])</f>
        <v>79</v>
      </c>
      <c r="R270">
        <f>calls[[#This Row],[call count]]/calls[[#This Row],[Purchase Amount]]</f>
        <v>1.0972222222222223</v>
      </c>
    </row>
    <row r="271" spans="1:18" x14ac:dyDescent="0.4">
      <c r="A271" t="s">
        <v>301</v>
      </c>
      <c r="B271" t="s">
        <v>54</v>
      </c>
      <c r="C271">
        <v>125</v>
      </c>
      <c r="D271" s="4" t="s">
        <v>2</v>
      </c>
      <c r="E271" s="5">
        <v>45010</v>
      </c>
      <c r="F271">
        <v>27</v>
      </c>
      <c r="G271">
        <f>AVERAGEIF(calls[Representative], calls[[#This Row],[Representative]], calls[Satisfaction Rating])</f>
        <v>3.8824999999999998</v>
      </c>
      <c r="H271" t="str">
        <f>IF(AVERAGEIF(calls[Representative],calls[[#This Row],[Representative]],calls[Satisfaction Rating])&lt;3.5,"Needs Training","OK")</f>
        <v>OK</v>
      </c>
      <c r="I271">
        <v>3</v>
      </c>
      <c r="J271">
        <f>IF(MONTH(calls[[#This Row],[Date of Call]])&lt;=6, YEAR(calls[[#This Row],[Date of Call]]), YEAR(calls[[#This Row],[Date of Call]])+1)</f>
        <v>2023</v>
      </c>
      <c r="K271" t="str">
        <f>TEXT(calls[[#This Row],[Date of Call]],"DDDD")</f>
        <v>Saturday</v>
      </c>
      <c r="L271" t="str" cm="1">
        <f t="array" ref="L271">_xlfn.IFS(calls[[#This Row],[Duration]]&lt;=10,"under 10 mins",calls[[#This Row],[Duration]]&lt;=30,"10 to 30mins",calls[[#This Row],[Duration]]&lt;=60,"60 to 30mins",calls[[#This Row],[Duration]]&lt;=120,"1 to 2hrs",TRUE,"More than 2 hrs")</f>
        <v>More than 2 hrs</v>
      </c>
      <c r="M271">
        <f>ROUND(calls[[#This Row],[Satisfaction Rating]],0)</f>
        <v>3</v>
      </c>
      <c r="N271">
        <f>COUNTIF(calls[Customer ID], calls[[#This Row],[Customer ID]])</f>
        <v>70</v>
      </c>
      <c r="O271">
        <f>SUMIF(calls[Customer ID], calls[[#This Row],[Customer ID]], calls[Purchase Amount])</f>
        <v>6819</v>
      </c>
      <c r="P271">
        <f>calls[[#This Row],[call count]]/calls[[#This Row],[Purchase Amount]]</f>
        <v>2.5925925925925926</v>
      </c>
      <c r="Q271">
        <f>COUNTIF(calls[Customer ID],calls[[#This Row],[Customer ID]])</f>
        <v>70</v>
      </c>
      <c r="R271">
        <f>calls[[#This Row],[call count]]/calls[[#This Row],[Purchase Amount]]</f>
        <v>2.5925925925925926</v>
      </c>
    </row>
    <row r="272" spans="1:18" x14ac:dyDescent="0.4">
      <c r="A272" t="s">
        <v>302</v>
      </c>
      <c r="B272" t="s">
        <v>84</v>
      </c>
      <c r="C272">
        <v>76</v>
      </c>
      <c r="D272" s="4" t="s">
        <v>9</v>
      </c>
      <c r="E272" s="5">
        <v>45010</v>
      </c>
      <c r="F272">
        <v>110</v>
      </c>
      <c r="G272">
        <f>AVERAGEIF(calls[Representative], calls[[#This Row],[Representative]], calls[Satisfaction Rating])</f>
        <v>3.8706422018348627</v>
      </c>
      <c r="H272" t="str">
        <f>IF(AVERAGEIF(calls[Representative],calls[[#This Row],[Representative]],calls[Satisfaction Rating])&lt;3.5,"Needs Training","OK")</f>
        <v>OK</v>
      </c>
      <c r="I272">
        <v>4.4000000000000004</v>
      </c>
      <c r="J272">
        <f>IF(MONTH(calls[[#This Row],[Date of Call]])&lt;=6, YEAR(calls[[#This Row],[Date of Call]]), YEAR(calls[[#This Row],[Date of Call]])+1)</f>
        <v>2023</v>
      </c>
      <c r="K272" t="str">
        <f>TEXT(calls[[#This Row],[Date of Call]],"DDDD")</f>
        <v>Saturday</v>
      </c>
      <c r="L272" t="str" cm="1">
        <f t="array" ref="L272">_xlfn.IFS(calls[[#This Row],[Duration]]&lt;=10,"under 10 mins",calls[[#This Row],[Duration]]&lt;=30,"10 to 30mins",calls[[#This Row],[Duration]]&lt;=60,"60 to 30mins",calls[[#This Row],[Duration]]&lt;=120,"1 to 2hrs",TRUE,"More than 2 hrs")</f>
        <v>1 to 2hrs</v>
      </c>
      <c r="M272">
        <f>ROUND(calls[[#This Row],[Satisfaction Rating]],0)</f>
        <v>4</v>
      </c>
      <c r="N272">
        <f>COUNTIF(calls[Customer ID], calls[[#This Row],[Customer ID]])</f>
        <v>59</v>
      </c>
      <c r="O272">
        <f>SUMIF(calls[Customer ID], calls[[#This Row],[Customer ID]], calls[Purchase Amount])</f>
        <v>5009</v>
      </c>
      <c r="P272">
        <f>calls[[#This Row],[call count]]/calls[[#This Row],[Purchase Amount]]</f>
        <v>0.53636363636363638</v>
      </c>
      <c r="Q272">
        <f>COUNTIF(calls[Customer ID],calls[[#This Row],[Customer ID]])</f>
        <v>59</v>
      </c>
      <c r="R272">
        <f>calls[[#This Row],[call count]]/calls[[#This Row],[Purchase Amount]]</f>
        <v>0.53636363636363638</v>
      </c>
    </row>
    <row r="273" spans="1:18" x14ac:dyDescent="0.4">
      <c r="A273" t="s">
        <v>303</v>
      </c>
      <c r="B273" t="s">
        <v>44</v>
      </c>
      <c r="C273">
        <v>69</v>
      </c>
      <c r="D273" s="4" t="s">
        <v>27</v>
      </c>
      <c r="E273" s="5">
        <v>45010</v>
      </c>
      <c r="F273">
        <v>126</v>
      </c>
      <c r="G273">
        <f>AVERAGEIF(calls[Representative], calls[[#This Row],[Representative]], calls[Satisfaction Rating])</f>
        <v>3.8589371980676304</v>
      </c>
      <c r="H273" t="str">
        <f>IF(AVERAGEIF(calls[Representative],calls[[#This Row],[Representative]],calls[Satisfaction Rating])&lt;3.5,"Needs Training","OK")</f>
        <v>OK</v>
      </c>
      <c r="I273">
        <v>3.7</v>
      </c>
      <c r="J273">
        <f>IF(MONTH(calls[[#This Row],[Date of Call]])&lt;=6, YEAR(calls[[#This Row],[Date of Call]]), YEAR(calls[[#This Row],[Date of Call]])+1)</f>
        <v>2023</v>
      </c>
      <c r="K273" t="str">
        <f>TEXT(calls[[#This Row],[Date of Call]],"DDDD")</f>
        <v>Saturday</v>
      </c>
      <c r="L273" t="str" cm="1">
        <f t="array" ref="L273">_xlfn.IFS(calls[[#This Row],[Duration]]&lt;=10,"under 10 mins",calls[[#This Row],[Duration]]&lt;=30,"10 to 30mins",calls[[#This Row],[Duration]]&lt;=60,"60 to 30mins",calls[[#This Row],[Duration]]&lt;=120,"1 to 2hrs",TRUE,"More than 2 hrs")</f>
        <v>1 to 2hrs</v>
      </c>
      <c r="M273">
        <f>ROUND(calls[[#This Row],[Satisfaction Rating]],0)</f>
        <v>4</v>
      </c>
      <c r="N273">
        <f>COUNTIF(calls[Customer ID], calls[[#This Row],[Customer ID]])</f>
        <v>62</v>
      </c>
      <c r="O273">
        <f>SUMIF(calls[Customer ID], calls[[#This Row],[Customer ID]], calls[Purchase Amount])</f>
        <v>6176</v>
      </c>
      <c r="P273">
        <f>calls[[#This Row],[call count]]/calls[[#This Row],[Purchase Amount]]</f>
        <v>0.49206349206349204</v>
      </c>
      <c r="Q273">
        <f>COUNTIF(calls[Customer ID],calls[[#This Row],[Customer ID]])</f>
        <v>62</v>
      </c>
      <c r="R273">
        <f>calls[[#This Row],[call count]]/calls[[#This Row],[Purchase Amount]]</f>
        <v>0.49206349206349204</v>
      </c>
    </row>
    <row r="274" spans="1:18" x14ac:dyDescent="0.4">
      <c r="A274" t="s">
        <v>304</v>
      </c>
      <c r="B274" t="s">
        <v>40</v>
      </c>
      <c r="C274">
        <v>149</v>
      </c>
      <c r="D274" s="4" t="s">
        <v>2</v>
      </c>
      <c r="E274" s="5">
        <v>45010</v>
      </c>
      <c r="F274">
        <v>60</v>
      </c>
      <c r="G274">
        <f>AVERAGEIF(calls[Representative], calls[[#This Row],[Representative]], calls[Satisfaction Rating])</f>
        <v>3.8824999999999998</v>
      </c>
      <c r="H274" t="str">
        <f>IF(AVERAGEIF(calls[Representative],calls[[#This Row],[Representative]],calls[Satisfaction Rating])&lt;3.5,"Needs Training","OK")</f>
        <v>OK</v>
      </c>
      <c r="I274">
        <v>3.9</v>
      </c>
      <c r="J274">
        <f>IF(MONTH(calls[[#This Row],[Date of Call]])&lt;=6, YEAR(calls[[#This Row],[Date of Call]]), YEAR(calls[[#This Row],[Date of Call]])+1)</f>
        <v>2023</v>
      </c>
      <c r="K274" t="str">
        <f>TEXT(calls[[#This Row],[Date of Call]],"DDDD")</f>
        <v>Saturday</v>
      </c>
      <c r="L274" t="str" cm="1">
        <f t="array" ref="L274">_xlfn.IFS(calls[[#This Row],[Duration]]&lt;=10,"under 10 mins",calls[[#This Row],[Duration]]&lt;=30,"10 to 30mins",calls[[#This Row],[Duration]]&lt;=60,"60 to 30mins",calls[[#This Row],[Duration]]&lt;=120,"1 to 2hrs",TRUE,"More than 2 hrs")</f>
        <v>More than 2 hrs</v>
      </c>
      <c r="M274">
        <f>ROUND(calls[[#This Row],[Satisfaction Rating]],0)</f>
        <v>4</v>
      </c>
      <c r="N274">
        <f>COUNTIF(calls[Customer ID], calls[[#This Row],[Customer ID]])</f>
        <v>69</v>
      </c>
      <c r="O274">
        <f>SUMIF(calls[Customer ID], calls[[#This Row],[Customer ID]], calls[Purchase Amount])</f>
        <v>6601</v>
      </c>
      <c r="P274">
        <f>calls[[#This Row],[call count]]/calls[[#This Row],[Purchase Amount]]</f>
        <v>1.1499999999999999</v>
      </c>
      <c r="Q274">
        <f>COUNTIF(calls[Customer ID],calls[[#This Row],[Customer ID]])</f>
        <v>69</v>
      </c>
      <c r="R274">
        <f>calls[[#This Row],[call count]]/calls[[#This Row],[Purchase Amount]]</f>
        <v>1.1499999999999999</v>
      </c>
    </row>
    <row r="275" spans="1:18" x14ac:dyDescent="0.4">
      <c r="A275" t="s">
        <v>305</v>
      </c>
      <c r="B275" t="s">
        <v>54</v>
      </c>
      <c r="C275">
        <v>57</v>
      </c>
      <c r="D275" s="4" t="s">
        <v>27</v>
      </c>
      <c r="E275" s="5">
        <v>45010</v>
      </c>
      <c r="F275">
        <v>35</v>
      </c>
      <c r="G275">
        <f>AVERAGEIF(calls[Representative], calls[[#This Row],[Representative]], calls[Satisfaction Rating])</f>
        <v>3.8589371980676304</v>
      </c>
      <c r="H275" t="str">
        <f>IF(AVERAGEIF(calls[Representative],calls[[#This Row],[Representative]],calls[Satisfaction Rating])&lt;3.5,"Needs Training","OK")</f>
        <v>OK</v>
      </c>
      <c r="I275">
        <v>3.5</v>
      </c>
      <c r="J275">
        <f>IF(MONTH(calls[[#This Row],[Date of Call]])&lt;=6, YEAR(calls[[#This Row],[Date of Call]]), YEAR(calls[[#This Row],[Date of Call]])+1)</f>
        <v>2023</v>
      </c>
      <c r="K275" t="str">
        <f>TEXT(calls[[#This Row],[Date of Call]],"DDDD")</f>
        <v>Saturday</v>
      </c>
      <c r="L275" t="str" cm="1">
        <f t="array" ref="L275">_xlfn.IFS(calls[[#This Row],[Duration]]&lt;=10,"under 10 mins",calls[[#This Row],[Duration]]&lt;=30,"10 to 30mins",calls[[#This Row],[Duration]]&lt;=60,"60 to 30mins",calls[[#This Row],[Duration]]&lt;=120,"1 to 2hrs",TRUE,"More than 2 hrs")</f>
        <v>60 to 30mins</v>
      </c>
      <c r="M275">
        <f>ROUND(calls[[#This Row],[Satisfaction Rating]],0)</f>
        <v>4</v>
      </c>
      <c r="N275">
        <f>COUNTIF(calls[Customer ID], calls[[#This Row],[Customer ID]])</f>
        <v>70</v>
      </c>
      <c r="O275">
        <f>SUMIF(calls[Customer ID], calls[[#This Row],[Customer ID]], calls[Purchase Amount])</f>
        <v>6819</v>
      </c>
      <c r="P275">
        <f>calls[[#This Row],[call count]]/calls[[#This Row],[Purchase Amount]]</f>
        <v>2</v>
      </c>
      <c r="Q275">
        <f>COUNTIF(calls[Customer ID],calls[[#This Row],[Customer ID]])</f>
        <v>70</v>
      </c>
      <c r="R275">
        <f>calls[[#This Row],[call count]]/calls[[#This Row],[Purchase Amount]]</f>
        <v>2</v>
      </c>
    </row>
    <row r="276" spans="1:18" x14ac:dyDescent="0.4">
      <c r="A276" t="s">
        <v>306</v>
      </c>
      <c r="B276" t="s">
        <v>6</v>
      </c>
      <c r="C276">
        <v>113</v>
      </c>
      <c r="D276" s="4" t="s">
        <v>9</v>
      </c>
      <c r="E276" s="5">
        <v>45010</v>
      </c>
      <c r="F276">
        <v>81</v>
      </c>
      <c r="G276">
        <f>AVERAGEIF(calls[Representative], calls[[#This Row],[Representative]], calls[Satisfaction Rating])</f>
        <v>3.8706422018348627</v>
      </c>
      <c r="H276" t="str">
        <f>IF(AVERAGEIF(calls[Representative],calls[[#This Row],[Representative]],calls[Satisfaction Rating])&lt;3.5,"Needs Training","OK")</f>
        <v>OK</v>
      </c>
      <c r="I276">
        <v>3.5</v>
      </c>
      <c r="J276">
        <f>IF(MONTH(calls[[#This Row],[Date of Call]])&lt;=6, YEAR(calls[[#This Row],[Date of Call]]), YEAR(calls[[#This Row],[Date of Call]])+1)</f>
        <v>2023</v>
      </c>
      <c r="K276" t="str">
        <f>TEXT(calls[[#This Row],[Date of Call]],"DDDD")</f>
        <v>Saturday</v>
      </c>
      <c r="L276" t="str" cm="1">
        <f t="array" ref="L276">_xlfn.IFS(calls[[#This Row],[Duration]]&lt;=10,"under 10 mins",calls[[#This Row],[Duration]]&lt;=30,"10 to 30mins",calls[[#This Row],[Duration]]&lt;=60,"60 to 30mins",calls[[#This Row],[Duration]]&lt;=120,"1 to 2hrs",TRUE,"More than 2 hrs")</f>
        <v>1 to 2hrs</v>
      </c>
      <c r="M276">
        <f>ROUND(calls[[#This Row],[Satisfaction Rating]],0)</f>
        <v>4</v>
      </c>
      <c r="N276">
        <f>COUNTIF(calls[Customer ID], calls[[#This Row],[Customer ID]])</f>
        <v>82</v>
      </c>
      <c r="O276">
        <f>SUMIF(calls[Customer ID], calls[[#This Row],[Customer ID]], calls[Purchase Amount])</f>
        <v>7689</v>
      </c>
      <c r="P276">
        <f>calls[[#This Row],[call count]]/calls[[#This Row],[Purchase Amount]]</f>
        <v>1.0123456790123457</v>
      </c>
      <c r="Q276">
        <f>COUNTIF(calls[Customer ID],calls[[#This Row],[Customer ID]])</f>
        <v>82</v>
      </c>
      <c r="R276">
        <f>calls[[#This Row],[call count]]/calls[[#This Row],[Purchase Amount]]</f>
        <v>1.0123456790123457</v>
      </c>
    </row>
    <row r="277" spans="1:18" x14ac:dyDescent="0.4">
      <c r="A277" t="s">
        <v>307</v>
      </c>
      <c r="B277" t="s">
        <v>1</v>
      </c>
      <c r="C277">
        <v>160</v>
      </c>
      <c r="D277" s="4" t="s">
        <v>2</v>
      </c>
      <c r="E277" s="5">
        <v>45010</v>
      </c>
      <c r="F277">
        <v>116</v>
      </c>
      <c r="G277">
        <f>AVERAGEIF(calls[Representative], calls[[#This Row],[Representative]], calls[Satisfaction Rating])</f>
        <v>3.8824999999999998</v>
      </c>
      <c r="H277" t="str">
        <f>IF(AVERAGEIF(calls[Representative],calls[[#This Row],[Representative]],calls[Satisfaction Rating])&lt;3.5,"Needs Training","OK")</f>
        <v>OK</v>
      </c>
      <c r="I277">
        <v>3.4</v>
      </c>
      <c r="J277">
        <f>IF(MONTH(calls[[#This Row],[Date of Call]])&lt;=6, YEAR(calls[[#This Row],[Date of Call]]), YEAR(calls[[#This Row],[Date of Call]])+1)</f>
        <v>2023</v>
      </c>
      <c r="K277" t="str">
        <f>TEXT(calls[[#This Row],[Date of Call]],"DDDD")</f>
        <v>Saturday</v>
      </c>
      <c r="L277" t="str" cm="1">
        <f t="array" ref="L277">_xlfn.IFS(calls[[#This Row],[Duration]]&lt;=10,"under 10 mins",calls[[#This Row],[Duration]]&lt;=30,"10 to 30mins",calls[[#This Row],[Duration]]&lt;=60,"60 to 30mins",calls[[#This Row],[Duration]]&lt;=120,"1 to 2hrs",TRUE,"More than 2 hrs")</f>
        <v>More than 2 hrs</v>
      </c>
      <c r="M277">
        <f>ROUND(calls[[#This Row],[Satisfaction Rating]],0)</f>
        <v>3</v>
      </c>
      <c r="N277">
        <f>COUNTIF(calls[Customer ID], calls[[#This Row],[Customer ID]])</f>
        <v>50</v>
      </c>
      <c r="O277">
        <f>SUMIF(calls[Customer ID], calls[[#This Row],[Customer ID]], calls[Purchase Amount])</f>
        <v>4804</v>
      </c>
      <c r="P277">
        <f>calls[[#This Row],[call count]]/calls[[#This Row],[Purchase Amount]]</f>
        <v>0.43103448275862066</v>
      </c>
      <c r="Q277">
        <f>COUNTIF(calls[Customer ID],calls[[#This Row],[Customer ID]])</f>
        <v>50</v>
      </c>
      <c r="R277">
        <f>calls[[#This Row],[call count]]/calls[[#This Row],[Purchase Amount]]</f>
        <v>0.43103448275862066</v>
      </c>
    </row>
    <row r="278" spans="1:18" x14ac:dyDescent="0.4">
      <c r="A278" t="s">
        <v>308</v>
      </c>
      <c r="B278" t="s">
        <v>13</v>
      </c>
      <c r="C278">
        <v>158</v>
      </c>
      <c r="D278" s="4" t="s">
        <v>14</v>
      </c>
      <c r="E278" s="5">
        <v>45010</v>
      </c>
      <c r="F278">
        <v>60</v>
      </c>
      <c r="G278">
        <f>AVERAGEIF(calls[Representative], calls[[#This Row],[Representative]], calls[Satisfaction Rating])</f>
        <v>3.9227513227513247</v>
      </c>
      <c r="H278" t="str">
        <f>IF(AVERAGEIF(calls[Representative],calls[[#This Row],[Representative]],calls[Satisfaction Rating])&lt;3.5,"Needs Training","OK")</f>
        <v>OK</v>
      </c>
      <c r="I278">
        <v>4.5</v>
      </c>
      <c r="J278">
        <f>IF(MONTH(calls[[#This Row],[Date of Call]])&lt;=6, YEAR(calls[[#This Row],[Date of Call]]), YEAR(calls[[#This Row],[Date of Call]])+1)</f>
        <v>2023</v>
      </c>
      <c r="K278" t="str">
        <f>TEXT(calls[[#This Row],[Date of Call]],"DDDD")</f>
        <v>Saturday</v>
      </c>
      <c r="L278" t="str" cm="1">
        <f t="array" ref="L278">_xlfn.IFS(calls[[#This Row],[Duration]]&lt;=10,"under 10 mins",calls[[#This Row],[Duration]]&lt;=30,"10 to 30mins",calls[[#This Row],[Duration]]&lt;=60,"60 to 30mins",calls[[#This Row],[Duration]]&lt;=120,"1 to 2hrs",TRUE,"More than 2 hrs")</f>
        <v>More than 2 hrs</v>
      </c>
      <c r="M278">
        <f>ROUND(calls[[#This Row],[Satisfaction Rating]],0)</f>
        <v>5</v>
      </c>
      <c r="N278">
        <f>COUNTIF(calls[Customer ID], calls[[#This Row],[Customer ID]])</f>
        <v>74</v>
      </c>
      <c r="O278">
        <f>SUMIF(calls[Customer ID], calls[[#This Row],[Customer ID]], calls[Purchase Amount])</f>
        <v>6749</v>
      </c>
      <c r="P278">
        <f>calls[[#This Row],[call count]]/calls[[#This Row],[Purchase Amount]]</f>
        <v>1.2333333333333334</v>
      </c>
      <c r="Q278">
        <f>COUNTIF(calls[Customer ID],calls[[#This Row],[Customer ID]])</f>
        <v>74</v>
      </c>
      <c r="R278">
        <f>calls[[#This Row],[call count]]/calls[[#This Row],[Purchase Amount]]</f>
        <v>1.2333333333333334</v>
      </c>
    </row>
    <row r="279" spans="1:18" x14ac:dyDescent="0.4">
      <c r="A279" t="s">
        <v>309</v>
      </c>
      <c r="B279" t="s">
        <v>44</v>
      </c>
      <c r="C279">
        <v>77</v>
      </c>
      <c r="D279" s="4" t="s">
        <v>2</v>
      </c>
      <c r="E279" s="5">
        <v>45011</v>
      </c>
      <c r="F279">
        <v>130</v>
      </c>
      <c r="G279">
        <f>AVERAGEIF(calls[Representative], calls[[#This Row],[Representative]], calls[Satisfaction Rating])</f>
        <v>3.8824999999999998</v>
      </c>
      <c r="H279" t="str">
        <f>IF(AVERAGEIF(calls[Representative],calls[[#This Row],[Representative]],calls[Satisfaction Rating])&lt;3.5,"Needs Training","OK")</f>
        <v>OK</v>
      </c>
      <c r="I279">
        <v>4.2</v>
      </c>
      <c r="J279">
        <f>IF(MONTH(calls[[#This Row],[Date of Call]])&lt;=6, YEAR(calls[[#This Row],[Date of Call]]), YEAR(calls[[#This Row],[Date of Call]])+1)</f>
        <v>2023</v>
      </c>
      <c r="K279" t="str">
        <f>TEXT(calls[[#This Row],[Date of Call]],"DDDD")</f>
        <v>Sunday</v>
      </c>
      <c r="L279" t="str" cm="1">
        <f t="array" ref="L279">_xlfn.IFS(calls[[#This Row],[Duration]]&lt;=10,"under 10 mins",calls[[#This Row],[Duration]]&lt;=30,"10 to 30mins",calls[[#This Row],[Duration]]&lt;=60,"60 to 30mins",calls[[#This Row],[Duration]]&lt;=120,"1 to 2hrs",TRUE,"More than 2 hrs")</f>
        <v>1 to 2hrs</v>
      </c>
      <c r="M279">
        <f>ROUND(calls[[#This Row],[Satisfaction Rating]],0)</f>
        <v>4</v>
      </c>
      <c r="N279">
        <f>COUNTIF(calls[Customer ID], calls[[#This Row],[Customer ID]])</f>
        <v>62</v>
      </c>
      <c r="O279">
        <f>SUMIF(calls[Customer ID], calls[[#This Row],[Customer ID]], calls[Purchase Amount])</f>
        <v>6176</v>
      </c>
      <c r="P279">
        <f>calls[[#This Row],[call count]]/calls[[#This Row],[Purchase Amount]]</f>
        <v>0.47692307692307695</v>
      </c>
      <c r="Q279">
        <f>COUNTIF(calls[Customer ID],calls[[#This Row],[Customer ID]])</f>
        <v>62</v>
      </c>
      <c r="R279">
        <f>calls[[#This Row],[call count]]/calls[[#This Row],[Purchase Amount]]</f>
        <v>0.47692307692307695</v>
      </c>
    </row>
    <row r="280" spans="1:18" x14ac:dyDescent="0.4">
      <c r="A280" t="s">
        <v>310</v>
      </c>
      <c r="B280" t="s">
        <v>30</v>
      </c>
      <c r="C280">
        <v>118</v>
      </c>
      <c r="D280" s="4" t="s">
        <v>23</v>
      </c>
      <c r="E280" s="5">
        <v>45011</v>
      </c>
      <c r="F280">
        <v>99</v>
      </c>
      <c r="G280">
        <f>AVERAGEIF(calls[Representative], calls[[#This Row],[Representative]], calls[Satisfaction Rating])</f>
        <v>3.8973118279569863</v>
      </c>
      <c r="H280" t="str">
        <f>IF(AVERAGEIF(calls[Representative],calls[[#This Row],[Representative]],calls[Satisfaction Rating])&lt;3.5,"Needs Training","OK")</f>
        <v>OK</v>
      </c>
      <c r="I280">
        <v>5</v>
      </c>
      <c r="J280">
        <f>IF(MONTH(calls[[#This Row],[Date of Call]])&lt;=6, YEAR(calls[[#This Row],[Date of Call]]), YEAR(calls[[#This Row],[Date of Call]])+1)</f>
        <v>2023</v>
      </c>
      <c r="K280" t="str">
        <f>TEXT(calls[[#This Row],[Date of Call]],"DDDD")</f>
        <v>Sunday</v>
      </c>
      <c r="L280" t="str" cm="1">
        <f t="array" ref="L280">_xlfn.IFS(calls[[#This Row],[Duration]]&lt;=10,"under 10 mins",calls[[#This Row],[Duration]]&lt;=30,"10 to 30mins",calls[[#This Row],[Duration]]&lt;=60,"60 to 30mins",calls[[#This Row],[Duration]]&lt;=120,"1 to 2hrs",TRUE,"More than 2 hrs")</f>
        <v>1 to 2hrs</v>
      </c>
      <c r="M280">
        <f>ROUND(calls[[#This Row],[Satisfaction Rating]],0)</f>
        <v>5</v>
      </c>
      <c r="N280">
        <f>COUNTIF(calls[Customer ID], calls[[#This Row],[Customer ID]])</f>
        <v>69</v>
      </c>
      <c r="O280">
        <f>SUMIF(calls[Customer ID], calls[[#This Row],[Customer ID]], calls[Purchase Amount])</f>
        <v>7230</v>
      </c>
      <c r="P280">
        <f>calls[[#This Row],[call count]]/calls[[#This Row],[Purchase Amount]]</f>
        <v>0.69696969696969702</v>
      </c>
      <c r="Q280">
        <f>COUNTIF(calls[Customer ID],calls[[#This Row],[Customer ID]])</f>
        <v>69</v>
      </c>
      <c r="R280">
        <f>calls[[#This Row],[call count]]/calls[[#This Row],[Purchase Amount]]</f>
        <v>0.69696969696969702</v>
      </c>
    </row>
    <row r="281" spans="1:18" x14ac:dyDescent="0.4">
      <c r="A281" t="s">
        <v>311</v>
      </c>
      <c r="B281" t="s">
        <v>51</v>
      </c>
      <c r="C281">
        <v>75</v>
      </c>
      <c r="D281" s="4" t="s">
        <v>9</v>
      </c>
      <c r="E281" s="5">
        <v>45011</v>
      </c>
      <c r="F281">
        <v>135</v>
      </c>
      <c r="G281">
        <f>AVERAGEIF(calls[Representative], calls[[#This Row],[Representative]], calls[Satisfaction Rating])</f>
        <v>3.8706422018348627</v>
      </c>
      <c r="H281" t="str">
        <f>IF(AVERAGEIF(calls[Representative],calls[[#This Row],[Representative]],calls[Satisfaction Rating])&lt;3.5,"Needs Training","OK")</f>
        <v>OK</v>
      </c>
      <c r="I281">
        <v>4.7</v>
      </c>
      <c r="J281">
        <f>IF(MONTH(calls[[#This Row],[Date of Call]])&lt;=6, YEAR(calls[[#This Row],[Date of Call]]), YEAR(calls[[#This Row],[Date of Call]])+1)</f>
        <v>2023</v>
      </c>
      <c r="K281" t="str">
        <f>TEXT(calls[[#This Row],[Date of Call]],"DDDD")</f>
        <v>Sunday</v>
      </c>
      <c r="L281" t="str" cm="1">
        <f t="array" ref="L281">_xlfn.IFS(calls[[#This Row],[Duration]]&lt;=10,"under 10 mins",calls[[#This Row],[Duration]]&lt;=30,"10 to 30mins",calls[[#This Row],[Duration]]&lt;=60,"60 to 30mins",calls[[#This Row],[Duration]]&lt;=120,"1 to 2hrs",TRUE,"More than 2 hrs")</f>
        <v>1 to 2hrs</v>
      </c>
      <c r="M281">
        <f>ROUND(calls[[#This Row],[Satisfaction Rating]],0)</f>
        <v>5</v>
      </c>
      <c r="N281">
        <f>COUNTIF(calls[Customer ID], calls[[#This Row],[Customer ID]])</f>
        <v>59</v>
      </c>
      <c r="O281">
        <f>SUMIF(calls[Customer ID], calls[[#This Row],[Customer ID]], calls[Purchase Amount])</f>
        <v>6518</v>
      </c>
      <c r="P281">
        <f>calls[[#This Row],[call count]]/calls[[#This Row],[Purchase Amount]]</f>
        <v>0.43703703703703706</v>
      </c>
      <c r="Q281">
        <f>COUNTIF(calls[Customer ID],calls[[#This Row],[Customer ID]])</f>
        <v>59</v>
      </c>
      <c r="R281">
        <f>calls[[#This Row],[call count]]/calls[[#This Row],[Purchase Amount]]</f>
        <v>0.43703703703703706</v>
      </c>
    </row>
    <row r="282" spans="1:18" x14ac:dyDescent="0.4">
      <c r="A282" t="s">
        <v>312</v>
      </c>
      <c r="B282" t="s">
        <v>6</v>
      </c>
      <c r="C282">
        <v>103</v>
      </c>
      <c r="D282" s="4" t="s">
        <v>2</v>
      </c>
      <c r="E282" s="5">
        <v>45011</v>
      </c>
      <c r="F282">
        <v>42</v>
      </c>
      <c r="G282">
        <f>AVERAGEIF(calls[Representative], calls[[#This Row],[Representative]], calls[Satisfaction Rating])</f>
        <v>3.8824999999999998</v>
      </c>
      <c r="H282" t="str">
        <f>IF(AVERAGEIF(calls[Representative],calls[[#This Row],[Representative]],calls[Satisfaction Rating])&lt;3.5,"Needs Training","OK")</f>
        <v>OK</v>
      </c>
      <c r="I282">
        <v>2.8</v>
      </c>
      <c r="J282">
        <f>IF(MONTH(calls[[#This Row],[Date of Call]])&lt;=6, YEAR(calls[[#This Row],[Date of Call]]), YEAR(calls[[#This Row],[Date of Call]])+1)</f>
        <v>2023</v>
      </c>
      <c r="K282" t="str">
        <f>TEXT(calls[[#This Row],[Date of Call]],"DDDD")</f>
        <v>Sunday</v>
      </c>
      <c r="L282" t="str" cm="1">
        <f t="array" ref="L282">_xlfn.IFS(calls[[#This Row],[Duration]]&lt;=10,"under 10 mins",calls[[#This Row],[Duration]]&lt;=30,"10 to 30mins",calls[[#This Row],[Duration]]&lt;=60,"60 to 30mins",calls[[#This Row],[Duration]]&lt;=120,"1 to 2hrs",TRUE,"More than 2 hrs")</f>
        <v>1 to 2hrs</v>
      </c>
      <c r="M282">
        <f>ROUND(calls[[#This Row],[Satisfaction Rating]],0)</f>
        <v>3</v>
      </c>
      <c r="N282">
        <f>COUNTIF(calls[Customer ID], calls[[#This Row],[Customer ID]])</f>
        <v>82</v>
      </c>
      <c r="O282">
        <f>SUMIF(calls[Customer ID], calls[[#This Row],[Customer ID]], calls[Purchase Amount])</f>
        <v>7689</v>
      </c>
      <c r="P282">
        <f>calls[[#This Row],[call count]]/calls[[#This Row],[Purchase Amount]]</f>
        <v>1.9523809523809523</v>
      </c>
      <c r="Q282">
        <f>COUNTIF(calls[Customer ID],calls[[#This Row],[Customer ID]])</f>
        <v>82</v>
      </c>
      <c r="R282">
        <f>calls[[#This Row],[call count]]/calls[[#This Row],[Purchase Amount]]</f>
        <v>1.9523809523809523</v>
      </c>
    </row>
    <row r="283" spans="1:18" x14ac:dyDescent="0.4">
      <c r="A283" t="s">
        <v>313</v>
      </c>
      <c r="B283" t="s">
        <v>44</v>
      </c>
      <c r="C283">
        <v>116</v>
      </c>
      <c r="D283" s="4" t="s">
        <v>23</v>
      </c>
      <c r="E283" s="5">
        <v>45012</v>
      </c>
      <c r="F283">
        <v>63</v>
      </c>
      <c r="G283">
        <f>AVERAGEIF(calls[Representative], calls[[#This Row],[Representative]], calls[Satisfaction Rating])</f>
        <v>3.8973118279569863</v>
      </c>
      <c r="H283" t="str">
        <f>IF(AVERAGEIF(calls[Representative],calls[[#This Row],[Representative]],calls[Satisfaction Rating])&lt;3.5,"Needs Training","OK")</f>
        <v>OK</v>
      </c>
      <c r="I283">
        <v>3.4</v>
      </c>
      <c r="J283">
        <f>IF(MONTH(calls[[#This Row],[Date of Call]])&lt;=6, YEAR(calls[[#This Row],[Date of Call]]), YEAR(calls[[#This Row],[Date of Call]])+1)</f>
        <v>2023</v>
      </c>
      <c r="K283" t="str">
        <f>TEXT(calls[[#This Row],[Date of Call]],"DDDD")</f>
        <v>Monday</v>
      </c>
      <c r="L283" t="str" cm="1">
        <f t="array" ref="L283">_xlfn.IFS(calls[[#This Row],[Duration]]&lt;=10,"under 10 mins",calls[[#This Row],[Duration]]&lt;=30,"10 to 30mins",calls[[#This Row],[Duration]]&lt;=60,"60 to 30mins",calls[[#This Row],[Duration]]&lt;=120,"1 to 2hrs",TRUE,"More than 2 hrs")</f>
        <v>1 to 2hrs</v>
      </c>
      <c r="M283">
        <f>ROUND(calls[[#This Row],[Satisfaction Rating]],0)</f>
        <v>3</v>
      </c>
      <c r="N283">
        <f>COUNTIF(calls[Customer ID], calls[[#This Row],[Customer ID]])</f>
        <v>62</v>
      </c>
      <c r="O283">
        <f>SUMIF(calls[Customer ID], calls[[#This Row],[Customer ID]], calls[Purchase Amount])</f>
        <v>6176</v>
      </c>
      <c r="P283">
        <f>calls[[#This Row],[call count]]/calls[[#This Row],[Purchase Amount]]</f>
        <v>0.98412698412698407</v>
      </c>
      <c r="Q283">
        <f>COUNTIF(calls[Customer ID],calls[[#This Row],[Customer ID]])</f>
        <v>62</v>
      </c>
      <c r="R283">
        <f>calls[[#This Row],[call count]]/calls[[#This Row],[Purchase Amount]]</f>
        <v>0.98412698412698407</v>
      </c>
    </row>
    <row r="284" spans="1:18" x14ac:dyDescent="0.4">
      <c r="A284" t="s">
        <v>314</v>
      </c>
      <c r="B284" t="s">
        <v>21</v>
      </c>
      <c r="C284">
        <v>61</v>
      </c>
      <c r="D284" s="4" t="s">
        <v>14</v>
      </c>
      <c r="E284" s="5">
        <v>45012</v>
      </c>
      <c r="F284">
        <v>140</v>
      </c>
      <c r="G284">
        <f>AVERAGEIF(calls[Representative], calls[[#This Row],[Representative]], calls[Satisfaction Rating])</f>
        <v>3.9227513227513247</v>
      </c>
      <c r="H284" t="str">
        <f>IF(AVERAGEIF(calls[Representative],calls[[#This Row],[Representative]],calls[Satisfaction Rating])&lt;3.5,"Needs Training","OK")</f>
        <v>OK</v>
      </c>
      <c r="I284">
        <v>1.8</v>
      </c>
      <c r="J284">
        <f>IF(MONTH(calls[[#This Row],[Date of Call]])&lt;=6, YEAR(calls[[#This Row],[Date of Call]]), YEAR(calls[[#This Row],[Date of Call]])+1)</f>
        <v>2023</v>
      </c>
      <c r="K284" t="str">
        <f>TEXT(calls[[#This Row],[Date of Call]],"DDDD")</f>
        <v>Monday</v>
      </c>
      <c r="L284" t="str" cm="1">
        <f t="array" ref="L284">_xlfn.IFS(calls[[#This Row],[Duration]]&lt;=10,"under 10 mins",calls[[#This Row],[Duration]]&lt;=30,"10 to 30mins",calls[[#This Row],[Duration]]&lt;=60,"60 to 30mins",calls[[#This Row],[Duration]]&lt;=120,"1 to 2hrs",TRUE,"More than 2 hrs")</f>
        <v>1 to 2hrs</v>
      </c>
      <c r="M284">
        <f>ROUND(calls[[#This Row],[Satisfaction Rating]],0)</f>
        <v>2</v>
      </c>
      <c r="N284">
        <f>COUNTIF(calls[Customer ID], calls[[#This Row],[Customer ID]])</f>
        <v>67</v>
      </c>
      <c r="O284">
        <f>SUMIF(calls[Customer ID], calls[[#This Row],[Customer ID]], calls[Purchase Amount])</f>
        <v>7216</v>
      </c>
      <c r="P284">
        <f>calls[[#This Row],[call count]]/calls[[#This Row],[Purchase Amount]]</f>
        <v>0.47857142857142859</v>
      </c>
      <c r="Q284">
        <f>COUNTIF(calls[Customer ID],calls[[#This Row],[Customer ID]])</f>
        <v>67</v>
      </c>
      <c r="R284">
        <f>calls[[#This Row],[call count]]/calls[[#This Row],[Purchase Amount]]</f>
        <v>0.47857142857142859</v>
      </c>
    </row>
    <row r="285" spans="1:18" x14ac:dyDescent="0.4">
      <c r="A285" t="s">
        <v>315</v>
      </c>
      <c r="B285" t="s">
        <v>54</v>
      </c>
      <c r="C285">
        <v>126</v>
      </c>
      <c r="D285" s="4" t="s">
        <v>9</v>
      </c>
      <c r="E285" s="5">
        <v>45012</v>
      </c>
      <c r="F285">
        <v>128</v>
      </c>
      <c r="G285">
        <f>AVERAGEIF(calls[Representative], calls[[#This Row],[Representative]], calls[Satisfaction Rating])</f>
        <v>3.8706422018348627</v>
      </c>
      <c r="H285" t="str">
        <f>IF(AVERAGEIF(calls[Representative],calls[[#This Row],[Representative]],calls[Satisfaction Rating])&lt;3.5,"Needs Training","OK")</f>
        <v>OK</v>
      </c>
      <c r="I285">
        <v>4.2</v>
      </c>
      <c r="J285">
        <f>IF(MONTH(calls[[#This Row],[Date of Call]])&lt;=6, YEAR(calls[[#This Row],[Date of Call]]), YEAR(calls[[#This Row],[Date of Call]])+1)</f>
        <v>2023</v>
      </c>
      <c r="K285" t="str">
        <f>TEXT(calls[[#This Row],[Date of Call]],"DDDD")</f>
        <v>Monday</v>
      </c>
      <c r="L285" t="str" cm="1">
        <f t="array" ref="L285">_xlfn.IFS(calls[[#This Row],[Duration]]&lt;=10,"under 10 mins",calls[[#This Row],[Duration]]&lt;=30,"10 to 30mins",calls[[#This Row],[Duration]]&lt;=60,"60 to 30mins",calls[[#This Row],[Duration]]&lt;=120,"1 to 2hrs",TRUE,"More than 2 hrs")</f>
        <v>More than 2 hrs</v>
      </c>
      <c r="M285">
        <f>ROUND(calls[[#This Row],[Satisfaction Rating]],0)</f>
        <v>4</v>
      </c>
      <c r="N285">
        <f>COUNTIF(calls[Customer ID], calls[[#This Row],[Customer ID]])</f>
        <v>70</v>
      </c>
      <c r="O285">
        <f>SUMIF(calls[Customer ID], calls[[#This Row],[Customer ID]], calls[Purchase Amount])</f>
        <v>6819</v>
      </c>
      <c r="P285">
        <f>calls[[#This Row],[call count]]/calls[[#This Row],[Purchase Amount]]</f>
        <v>0.546875</v>
      </c>
      <c r="Q285">
        <f>COUNTIF(calls[Customer ID],calls[[#This Row],[Customer ID]])</f>
        <v>70</v>
      </c>
      <c r="R285">
        <f>calls[[#This Row],[call count]]/calls[[#This Row],[Purchase Amount]]</f>
        <v>0.546875</v>
      </c>
    </row>
    <row r="286" spans="1:18" x14ac:dyDescent="0.4">
      <c r="A286" t="s">
        <v>316</v>
      </c>
      <c r="B286" t="s">
        <v>32</v>
      </c>
      <c r="C286">
        <v>141</v>
      </c>
      <c r="D286" s="4" t="s">
        <v>27</v>
      </c>
      <c r="E286" s="5">
        <v>45012</v>
      </c>
      <c r="F286">
        <v>80</v>
      </c>
      <c r="G286">
        <f>AVERAGEIF(calls[Representative], calls[[#This Row],[Representative]], calls[Satisfaction Rating])</f>
        <v>3.8589371980676304</v>
      </c>
      <c r="H286" t="str">
        <f>IF(AVERAGEIF(calls[Representative],calls[[#This Row],[Representative]],calls[Satisfaction Rating])&lt;3.5,"Needs Training","OK")</f>
        <v>OK</v>
      </c>
      <c r="I286">
        <v>4.4000000000000004</v>
      </c>
      <c r="J286">
        <f>IF(MONTH(calls[[#This Row],[Date of Call]])&lt;=6, YEAR(calls[[#This Row],[Date of Call]]), YEAR(calls[[#This Row],[Date of Call]])+1)</f>
        <v>2023</v>
      </c>
      <c r="K286" t="str">
        <f>TEXT(calls[[#This Row],[Date of Call]],"DDDD")</f>
        <v>Monday</v>
      </c>
      <c r="L286" t="str" cm="1">
        <f t="array" ref="L286">_xlfn.IFS(calls[[#This Row],[Duration]]&lt;=10,"under 10 mins",calls[[#This Row],[Duration]]&lt;=30,"10 to 30mins",calls[[#This Row],[Duration]]&lt;=60,"60 to 30mins",calls[[#This Row],[Duration]]&lt;=120,"1 to 2hrs",TRUE,"More than 2 hrs")</f>
        <v>More than 2 hrs</v>
      </c>
      <c r="M286">
        <f>ROUND(calls[[#This Row],[Satisfaction Rating]],0)</f>
        <v>4</v>
      </c>
      <c r="N286">
        <f>COUNTIF(calls[Customer ID], calls[[#This Row],[Customer ID]])</f>
        <v>63</v>
      </c>
      <c r="O286">
        <f>SUMIF(calls[Customer ID], calls[[#This Row],[Customer ID]], calls[Purchase Amount])</f>
        <v>5634</v>
      </c>
      <c r="P286">
        <f>calls[[#This Row],[call count]]/calls[[#This Row],[Purchase Amount]]</f>
        <v>0.78749999999999998</v>
      </c>
      <c r="Q286">
        <f>COUNTIF(calls[Customer ID],calls[[#This Row],[Customer ID]])</f>
        <v>63</v>
      </c>
      <c r="R286">
        <f>calls[[#This Row],[call count]]/calls[[#This Row],[Purchase Amount]]</f>
        <v>0.78749999999999998</v>
      </c>
    </row>
    <row r="287" spans="1:18" x14ac:dyDescent="0.4">
      <c r="A287" t="s">
        <v>317</v>
      </c>
      <c r="B287" t="s">
        <v>13</v>
      </c>
      <c r="C287">
        <v>95</v>
      </c>
      <c r="D287" s="4" t="s">
        <v>23</v>
      </c>
      <c r="E287" s="5">
        <v>45012</v>
      </c>
      <c r="F287">
        <v>28</v>
      </c>
      <c r="G287">
        <f>AVERAGEIF(calls[Representative], calls[[#This Row],[Representative]], calls[Satisfaction Rating])</f>
        <v>3.8973118279569863</v>
      </c>
      <c r="H287" t="str">
        <f>IF(AVERAGEIF(calls[Representative],calls[[#This Row],[Representative]],calls[Satisfaction Rating])&lt;3.5,"Needs Training","OK")</f>
        <v>OK</v>
      </c>
      <c r="I287">
        <v>2.7</v>
      </c>
      <c r="J287">
        <f>IF(MONTH(calls[[#This Row],[Date of Call]])&lt;=6, YEAR(calls[[#This Row],[Date of Call]]), YEAR(calls[[#This Row],[Date of Call]])+1)</f>
        <v>2023</v>
      </c>
      <c r="K287" t="str">
        <f>TEXT(calls[[#This Row],[Date of Call]],"DDDD")</f>
        <v>Monday</v>
      </c>
      <c r="L287" t="str" cm="1">
        <f t="array" ref="L287">_xlfn.IFS(calls[[#This Row],[Duration]]&lt;=10,"under 10 mins",calls[[#This Row],[Duration]]&lt;=30,"10 to 30mins",calls[[#This Row],[Duration]]&lt;=60,"60 to 30mins",calls[[#This Row],[Duration]]&lt;=120,"1 to 2hrs",TRUE,"More than 2 hrs")</f>
        <v>1 to 2hrs</v>
      </c>
      <c r="M287">
        <f>ROUND(calls[[#This Row],[Satisfaction Rating]],0)</f>
        <v>3</v>
      </c>
      <c r="N287">
        <f>COUNTIF(calls[Customer ID], calls[[#This Row],[Customer ID]])</f>
        <v>74</v>
      </c>
      <c r="O287">
        <f>SUMIF(calls[Customer ID], calls[[#This Row],[Customer ID]], calls[Purchase Amount])</f>
        <v>6749</v>
      </c>
      <c r="P287">
        <f>calls[[#This Row],[call count]]/calls[[#This Row],[Purchase Amount]]</f>
        <v>2.6428571428571428</v>
      </c>
      <c r="Q287">
        <f>COUNTIF(calls[Customer ID],calls[[#This Row],[Customer ID]])</f>
        <v>74</v>
      </c>
      <c r="R287">
        <f>calls[[#This Row],[call count]]/calls[[#This Row],[Purchase Amount]]</f>
        <v>2.6428571428571428</v>
      </c>
    </row>
    <row r="288" spans="1:18" x14ac:dyDescent="0.4">
      <c r="A288" t="s">
        <v>318</v>
      </c>
      <c r="B288" t="s">
        <v>51</v>
      </c>
      <c r="C288">
        <v>39</v>
      </c>
      <c r="D288" s="4" t="s">
        <v>14</v>
      </c>
      <c r="E288" s="5">
        <v>45013</v>
      </c>
      <c r="F288">
        <v>81</v>
      </c>
      <c r="G288">
        <f>AVERAGEIF(calls[Representative], calls[[#This Row],[Representative]], calls[Satisfaction Rating])</f>
        <v>3.9227513227513247</v>
      </c>
      <c r="H288" t="str">
        <f>IF(AVERAGEIF(calls[Representative],calls[[#This Row],[Representative]],calls[Satisfaction Rating])&lt;3.5,"Needs Training","OK")</f>
        <v>OK</v>
      </c>
      <c r="I288">
        <v>5</v>
      </c>
      <c r="J288">
        <f>IF(MONTH(calls[[#This Row],[Date of Call]])&lt;=6, YEAR(calls[[#This Row],[Date of Call]]), YEAR(calls[[#This Row],[Date of Call]])+1)</f>
        <v>2023</v>
      </c>
      <c r="K288" t="str">
        <f>TEXT(calls[[#This Row],[Date of Call]],"DDDD")</f>
        <v>Tuesday</v>
      </c>
      <c r="L288" t="str" cm="1">
        <f t="array" ref="L288">_xlfn.IFS(calls[[#This Row],[Duration]]&lt;=10,"under 10 mins",calls[[#This Row],[Duration]]&lt;=30,"10 to 30mins",calls[[#This Row],[Duration]]&lt;=60,"60 to 30mins",calls[[#This Row],[Duration]]&lt;=120,"1 to 2hrs",TRUE,"More than 2 hrs")</f>
        <v>60 to 30mins</v>
      </c>
      <c r="M288">
        <f>ROUND(calls[[#This Row],[Satisfaction Rating]],0)</f>
        <v>5</v>
      </c>
      <c r="N288">
        <f>COUNTIF(calls[Customer ID], calls[[#This Row],[Customer ID]])</f>
        <v>59</v>
      </c>
      <c r="O288">
        <f>SUMIF(calls[Customer ID], calls[[#This Row],[Customer ID]], calls[Purchase Amount])</f>
        <v>6518</v>
      </c>
      <c r="P288">
        <f>calls[[#This Row],[call count]]/calls[[#This Row],[Purchase Amount]]</f>
        <v>0.72839506172839508</v>
      </c>
      <c r="Q288">
        <f>COUNTIF(calls[Customer ID],calls[[#This Row],[Customer ID]])</f>
        <v>59</v>
      </c>
      <c r="R288">
        <f>calls[[#This Row],[call count]]/calls[[#This Row],[Purchase Amount]]</f>
        <v>0.72839506172839508</v>
      </c>
    </row>
    <row r="289" spans="1:18" x14ac:dyDescent="0.4">
      <c r="A289" t="s">
        <v>319</v>
      </c>
      <c r="B289" t="s">
        <v>6</v>
      </c>
      <c r="C289">
        <v>127</v>
      </c>
      <c r="D289" s="4" t="s">
        <v>9</v>
      </c>
      <c r="E289" s="5">
        <v>45013</v>
      </c>
      <c r="F289">
        <v>99</v>
      </c>
      <c r="G289">
        <f>AVERAGEIF(calls[Representative], calls[[#This Row],[Representative]], calls[Satisfaction Rating])</f>
        <v>3.8706422018348627</v>
      </c>
      <c r="H289" t="str">
        <f>IF(AVERAGEIF(calls[Representative],calls[[#This Row],[Representative]],calls[Satisfaction Rating])&lt;3.5,"Needs Training","OK")</f>
        <v>OK</v>
      </c>
      <c r="I289">
        <v>3.9</v>
      </c>
      <c r="J289">
        <f>IF(MONTH(calls[[#This Row],[Date of Call]])&lt;=6, YEAR(calls[[#This Row],[Date of Call]]), YEAR(calls[[#This Row],[Date of Call]])+1)</f>
        <v>2023</v>
      </c>
      <c r="K289" t="str">
        <f>TEXT(calls[[#This Row],[Date of Call]],"DDDD")</f>
        <v>Tuesday</v>
      </c>
      <c r="L289" t="str" cm="1">
        <f t="array" ref="L289">_xlfn.IFS(calls[[#This Row],[Duration]]&lt;=10,"under 10 mins",calls[[#This Row],[Duration]]&lt;=30,"10 to 30mins",calls[[#This Row],[Duration]]&lt;=60,"60 to 30mins",calls[[#This Row],[Duration]]&lt;=120,"1 to 2hrs",TRUE,"More than 2 hrs")</f>
        <v>More than 2 hrs</v>
      </c>
      <c r="M289">
        <f>ROUND(calls[[#This Row],[Satisfaction Rating]],0)</f>
        <v>4</v>
      </c>
      <c r="N289">
        <f>COUNTIF(calls[Customer ID], calls[[#This Row],[Customer ID]])</f>
        <v>82</v>
      </c>
      <c r="O289">
        <f>SUMIF(calls[Customer ID], calls[[#This Row],[Customer ID]], calls[Purchase Amount])</f>
        <v>7689</v>
      </c>
      <c r="P289">
        <f>calls[[#This Row],[call count]]/calls[[#This Row],[Purchase Amount]]</f>
        <v>0.82828282828282829</v>
      </c>
      <c r="Q289">
        <f>COUNTIF(calls[Customer ID],calls[[#This Row],[Customer ID]])</f>
        <v>82</v>
      </c>
      <c r="R289">
        <f>calls[[#This Row],[call count]]/calls[[#This Row],[Purchase Amount]]</f>
        <v>0.82828282828282829</v>
      </c>
    </row>
    <row r="290" spans="1:18" x14ac:dyDescent="0.4">
      <c r="A290" t="s">
        <v>320</v>
      </c>
      <c r="B290" t="s">
        <v>21</v>
      </c>
      <c r="C290">
        <v>78</v>
      </c>
      <c r="D290" s="4" t="s">
        <v>9</v>
      </c>
      <c r="E290" s="5">
        <v>45013</v>
      </c>
      <c r="F290">
        <v>43</v>
      </c>
      <c r="G290">
        <f>AVERAGEIF(calls[Representative], calls[[#This Row],[Representative]], calls[Satisfaction Rating])</f>
        <v>3.8706422018348627</v>
      </c>
      <c r="H290" t="str">
        <f>IF(AVERAGEIF(calls[Representative],calls[[#This Row],[Representative]],calls[Satisfaction Rating])&lt;3.5,"Needs Training","OK")</f>
        <v>OK</v>
      </c>
      <c r="I290">
        <v>3.8</v>
      </c>
      <c r="J290">
        <f>IF(MONTH(calls[[#This Row],[Date of Call]])&lt;=6, YEAR(calls[[#This Row],[Date of Call]]), YEAR(calls[[#This Row],[Date of Call]])+1)</f>
        <v>2023</v>
      </c>
      <c r="K290" t="str">
        <f>TEXT(calls[[#This Row],[Date of Call]],"DDDD")</f>
        <v>Tuesday</v>
      </c>
      <c r="L290" t="str" cm="1">
        <f t="array" ref="L290">_xlfn.IFS(calls[[#This Row],[Duration]]&lt;=10,"under 10 mins",calls[[#This Row],[Duration]]&lt;=30,"10 to 30mins",calls[[#This Row],[Duration]]&lt;=60,"60 to 30mins",calls[[#This Row],[Duration]]&lt;=120,"1 to 2hrs",TRUE,"More than 2 hrs")</f>
        <v>1 to 2hrs</v>
      </c>
      <c r="M290">
        <f>ROUND(calls[[#This Row],[Satisfaction Rating]],0)</f>
        <v>4</v>
      </c>
      <c r="N290">
        <f>COUNTIF(calls[Customer ID], calls[[#This Row],[Customer ID]])</f>
        <v>67</v>
      </c>
      <c r="O290">
        <f>SUMIF(calls[Customer ID], calls[[#This Row],[Customer ID]], calls[Purchase Amount])</f>
        <v>7216</v>
      </c>
      <c r="P290">
        <f>calls[[#This Row],[call count]]/calls[[#This Row],[Purchase Amount]]</f>
        <v>1.558139534883721</v>
      </c>
      <c r="Q290">
        <f>COUNTIF(calls[Customer ID],calls[[#This Row],[Customer ID]])</f>
        <v>67</v>
      </c>
      <c r="R290">
        <f>calls[[#This Row],[call count]]/calls[[#This Row],[Purchase Amount]]</f>
        <v>1.558139534883721</v>
      </c>
    </row>
    <row r="291" spans="1:18" x14ac:dyDescent="0.4">
      <c r="A291" t="s">
        <v>321</v>
      </c>
      <c r="B291" t="s">
        <v>30</v>
      </c>
      <c r="C291">
        <v>40</v>
      </c>
      <c r="D291" s="4" t="s">
        <v>9</v>
      </c>
      <c r="E291" s="5">
        <v>45013</v>
      </c>
      <c r="F291">
        <v>34</v>
      </c>
      <c r="G291">
        <f>AVERAGEIF(calls[Representative], calls[[#This Row],[Representative]], calls[Satisfaction Rating])</f>
        <v>3.8706422018348627</v>
      </c>
      <c r="H291" t="str">
        <f>IF(AVERAGEIF(calls[Representative],calls[[#This Row],[Representative]],calls[Satisfaction Rating])&lt;3.5,"Needs Training","OK")</f>
        <v>OK</v>
      </c>
      <c r="I291">
        <v>4.5999999999999996</v>
      </c>
      <c r="J291">
        <f>IF(MONTH(calls[[#This Row],[Date of Call]])&lt;=6, YEAR(calls[[#This Row],[Date of Call]]), YEAR(calls[[#This Row],[Date of Call]])+1)</f>
        <v>2023</v>
      </c>
      <c r="K291" t="str">
        <f>TEXT(calls[[#This Row],[Date of Call]],"DDDD")</f>
        <v>Tuesday</v>
      </c>
      <c r="L291" t="str" cm="1">
        <f t="array" ref="L291">_xlfn.IFS(calls[[#This Row],[Duration]]&lt;=10,"under 10 mins",calls[[#This Row],[Duration]]&lt;=30,"10 to 30mins",calls[[#This Row],[Duration]]&lt;=60,"60 to 30mins",calls[[#This Row],[Duration]]&lt;=120,"1 to 2hrs",TRUE,"More than 2 hrs")</f>
        <v>60 to 30mins</v>
      </c>
      <c r="M291">
        <f>ROUND(calls[[#This Row],[Satisfaction Rating]],0)</f>
        <v>5</v>
      </c>
      <c r="N291">
        <f>COUNTIF(calls[Customer ID], calls[[#This Row],[Customer ID]])</f>
        <v>69</v>
      </c>
      <c r="O291">
        <f>SUMIF(calls[Customer ID], calls[[#This Row],[Customer ID]], calls[Purchase Amount])</f>
        <v>7230</v>
      </c>
      <c r="P291">
        <f>calls[[#This Row],[call count]]/calls[[#This Row],[Purchase Amount]]</f>
        <v>2.0294117647058822</v>
      </c>
      <c r="Q291">
        <f>COUNTIF(calls[Customer ID],calls[[#This Row],[Customer ID]])</f>
        <v>69</v>
      </c>
      <c r="R291">
        <f>calls[[#This Row],[call count]]/calls[[#This Row],[Purchase Amount]]</f>
        <v>2.0294117647058822</v>
      </c>
    </row>
    <row r="292" spans="1:18" x14ac:dyDescent="0.4">
      <c r="A292" t="s">
        <v>322</v>
      </c>
      <c r="B292" t="s">
        <v>21</v>
      </c>
      <c r="C292">
        <v>56</v>
      </c>
      <c r="D292" s="4" t="s">
        <v>14</v>
      </c>
      <c r="E292" s="5">
        <v>45013</v>
      </c>
      <c r="F292">
        <v>225</v>
      </c>
      <c r="G292">
        <f>AVERAGEIF(calls[Representative], calls[[#This Row],[Representative]], calls[Satisfaction Rating])</f>
        <v>3.9227513227513247</v>
      </c>
      <c r="H292" t="str">
        <f>IF(AVERAGEIF(calls[Representative],calls[[#This Row],[Representative]],calls[Satisfaction Rating])&lt;3.5,"Needs Training","OK")</f>
        <v>OK</v>
      </c>
      <c r="I292">
        <v>4.5999999999999996</v>
      </c>
      <c r="J292">
        <f>IF(MONTH(calls[[#This Row],[Date of Call]])&lt;=6, YEAR(calls[[#This Row],[Date of Call]]), YEAR(calls[[#This Row],[Date of Call]])+1)</f>
        <v>2023</v>
      </c>
      <c r="K292" t="str">
        <f>TEXT(calls[[#This Row],[Date of Call]],"DDDD")</f>
        <v>Tuesday</v>
      </c>
      <c r="L292" t="str" cm="1">
        <f t="array" ref="L292">_xlfn.IFS(calls[[#This Row],[Duration]]&lt;=10,"under 10 mins",calls[[#This Row],[Duration]]&lt;=30,"10 to 30mins",calls[[#This Row],[Duration]]&lt;=60,"60 to 30mins",calls[[#This Row],[Duration]]&lt;=120,"1 to 2hrs",TRUE,"More than 2 hrs")</f>
        <v>60 to 30mins</v>
      </c>
      <c r="M292">
        <f>ROUND(calls[[#This Row],[Satisfaction Rating]],0)</f>
        <v>5</v>
      </c>
      <c r="N292">
        <f>COUNTIF(calls[Customer ID], calls[[#This Row],[Customer ID]])</f>
        <v>67</v>
      </c>
      <c r="O292">
        <f>SUMIF(calls[Customer ID], calls[[#This Row],[Customer ID]], calls[Purchase Amount])</f>
        <v>7216</v>
      </c>
      <c r="P292">
        <f>calls[[#This Row],[call count]]/calls[[#This Row],[Purchase Amount]]</f>
        <v>0.29777777777777775</v>
      </c>
      <c r="Q292">
        <f>COUNTIF(calls[Customer ID],calls[[#This Row],[Customer ID]])</f>
        <v>67</v>
      </c>
      <c r="R292">
        <f>calls[[#This Row],[call count]]/calls[[#This Row],[Purchase Amount]]</f>
        <v>0.29777777777777775</v>
      </c>
    </row>
    <row r="293" spans="1:18" x14ac:dyDescent="0.4">
      <c r="A293" t="s">
        <v>323</v>
      </c>
      <c r="B293" t="s">
        <v>51</v>
      </c>
      <c r="C293">
        <v>59</v>
      </c>
      <c r="D293" s="4" t="s">
        <v>27</v>
      </c>
      <c r="E293" s="5">
        <v>45013</v>
      </c>
      <c r="F293">
        <v>210</v>
      </c>
      <c r="G293">
        <f>AVERAGEIF(calls[Representative], calls[[#This Row],[Representative]], calls[Satisfaction Rating])</f>
        <v>3.8589371980676304</v>
      </c>
      <c r="H293" t="str">
        <f>IF(AVERAGEIF(calls[Representative],calls[[#This Row],[Representative]],calls[Satisfaction Rating])&lt;3.5,"Needs Training","OK")</f>
        <v>OK</v>
      </c>
      <c r="I293">
        <v>4.5</v>
      </c>
      <c r="J293">
        <f>IF(MONTH(calls[[#This Row],[Date of Call]])&lt;=6, YEAR(calls[[#This Row],[Date of Call]]), YEAR(calls[[#This Row],[Date of Call]])+1)</f>
        <v>2023</v>
      </c>
      <c r="K293" t="str">
        <f>TEXT(calls[[#This Row],[Date of Call]],"DDDD")</f>
        <v>Tuesday</v>
      </c>
      <c r="L293" t="str" cm="1">
        <f t="array" ref="L293">_xlfn.IFS(calls[[#This Row],[Duration]]&lt;=10,"under 10 mins",calls[[#This Row],[Duration]]&lt;=30,"10 to 30mins",calls[[#This Row],[Duration]]&lt;=60,"60 to 30mins",calls[[#This Row],[Duration]]&lt;=120,"1 to 2hrs",TRUE,"More than 2 hrs")</f>
        <v>60 to 30mins</v>
      </c>
      <c r="M293">
        <f>ROUND(calls[[#This Row],[Satisfaction Rating]],0)</f>
        <v>5</v>
      </c>
      <c r="N293">
        <f>COUNTIF(calls[Customer ID], calls[[#This Row],[Customer ID]])</f>
        <v>59</v>
      </c>
      <c r="O293">
        <f>SUMIF(calls[Customer ID], calls[[#This Row],[Customer ID]], calls[Purchase Amount])</f>
        <v>6518</v>
      </c>
      <c r="P293">
        <f>calls[[#This Row],[call count]]/calls[[#This Row],[Purchase Amount]]</f>
        <v>0.28095238095238095</v>
      </c>
      <c r="Q293">
        <f>COUNTIF(calls[Customer ID],calls[[#This Row],[Customer ID]])</f>
        <v>59</v>
      </c>
      <c r="R293">
        <f>calls[[#This Row],[call count]]/calls[[#This Row],[Purchase Amount]]</f>
        <v>0.28095238095238095</v>
      </c>
    </row>
    <row r="294" spans="1:18" x14ac:dyDescent="0.4">
      <c r="A294" t="s">
        <v>324</v>
      </c>
      <c r="B294" t="s">
        <v>54</v>
      </c>
      <c r="C294">
        <v>30</v>
      </c>
      <c r="D294" s="4" t="s">
        <v>9</v>
      </c>
      <c r="E294" s="5">
        <v>45013</v>
      </c>
      <c r="F294">
        <v>168</v>
      </c>
      <c r="G294">
        <f>AVERAGEIF(calls[Representative], calls[[#This Row],[Representative]], calls[Satisfaction Rating])</f>
        <v>3.8706422018348627</v>
      </c>
      <c r="H294" t="str">
        <f>IF(AVERAGEIF(calls[Representative],calls[[#This Row],[Representative]],calls[Satisfaction Rating])&lt;3.5,"Needs Training","OK")</f>
        <v>OK</v>
      </c>
      <c r="I294">
        <v>4.2</v>
      </c>
      <c r="J294">
        <f>IF(MONTH(calls[[#This Row],[Date of Call]])&lt;=6, YEAR(calls[[#This Row],[Date of Call]]), YEAR(calls[[#This Row],[Date of Call]])+1)</f>
        <v>2023</v>
      </c>
      <c r="K294" t="str">
        <f>TEXT(calls[[#This Row],[Date of Call]],"DDDD")</f>
        <v>Tuesday</v>
      </c>
      <c r="L294" t="str" cm="1">
        <f t="array" ref="L294">_xlfn.IFS(calls[[#This Row],[Duration]]&lt;=10,"under 10 mins",calls[[#This Row],[Duration]]&lt;=30,"10 to 30mins",calls[[#This Row],[Duration]]&lt;=60,"60 to 30mins",calls[[#This Row],[Duration]]&lt;=120,"1 to 2hrs",TRUE,"More than 2 hrs")</f>
        <v>10 to 30mins</v>
      </c>
      <c r="M294">
        <f>ROUND(calls[[#This Row],[Satisfaction Rating]],0)</f>
        <v>4</v>
      </c>
      <c r="N294">
        <f>COUNTIF(calls[Customer ID], calls[[#This Row],[Customer ID]])</f>
        <v>70</v>
      </c>
      <c r="O294">
        <f>SUMIF(calls[Customer ID], calls[[#This Row],[Customer ID]], calls[Purchase Amount])</f>
        <v>6819</v>
      </c>
      <c r="P294">
        <f>calls[[#This Row],[call count]]/calls[[#This Row],[Purchase Amount]]</f>
        <v>0.41666666666666669</v>
      </c>
      <c r="Q294">
        <f>COUNTIF(calls[Customer ID],calls[[#This Row],[Customer ID]])</f>
        <v>70</v>
      </c>
      <c r="R294">
        <f>calls[[#This Row],[call count]]/calls[[#This Row],[Purchase Amount]]</f>
        <v>0.41666666666666669</v>
      </c>
    </row>
    <row r="295" spans="1:18" x14ac:dyDescent="0.4">
      <c r="A295" t="s">
        <v>325</v>
      </c>
      <c r="B295" t="s">
        <v>30</v>
      </c>
      <c r="C295">
        <v>63</v>
      </c>
      <c r="D295" s="4" t="s">
        <v>2</v>
      </c>
      <c r="E295" s="5">
        <v>45014</v>
      </c>
      <c r="F295">
        <v>82</v>
      </c>
      <c r="G295">
        <f>AVERAGEIF(calls[Representative], calls[[#This Row],[Representative]], calls[Satisfaction Rating])</f>
        <v>3.8824999999999998</v>
      </c>
      <c r="H295" t="str">
        <f>IF(AVERAGEIF(calls[Representative],calls[[#This Row],[Representative]],calls[Satisfaction Rating])&lt;3.5,"Needs Training","OK")</f>
        <v>OK</v>
      </c>
      <c r="I295">
        <v>4.5</v>
      </c>
      <c r="J295">
        <f>IF(MONTH(calls[[#This Row],[Date of Call]])&lt;=6, YEAR(calls[[#This Row],[Date of Call]]), YEAR(calls[[#This Row],[Date of Call]])+1)</f>
        <v>2023</v>
      </c>
      <c r="K295" t="str">
        <f>TEXT(calls[[#This Row],[Date of Call]],"DDDD")</f>
        <v>Wednesday</v>
      </c>
      <c r="L295" t="str" cm="1">
        <f t="array" ref="L295">_xlfn.IFS(calls[[#This Row],[Duration]]&lt;=10,"under 10 mins",calls[[#This Row],[Duration]]&lt;=30,"10 to 30mins",calls[[#This Row],[Duration]]&lt;=60,"60 to 30mins",calls[[#This Row],[Duration]]&lt;=120,"1 to 2hrs",TRUE,"More than 2 hrs")</f>
        <v>1 to 2hrs</v>
      </c>
      <c r="M295">
        <f>ROUND(calls[[#This Row],[Satisfaction Rating]],0)</f>
        <v>5</v>
      </c>
      <c r="N295">
        <f>COUNTIF(calls[Customer ID], calls[[#This Row],[Customer ID]])</f>
        <v>69</v>
      </c>
      <c r="O295">
        <f>SUMIF(calls[Customer ID], calls[[#This Row],[Customer ID]], calls[Purchase Amount])</f>
        <v>7230</v>
      </c>
      <c r="P295">
        <f>calls[[#This Row],[call count]]/calls[[#This Row],[Purchase Amount]]</f>
        <v>0.84146341463414631</v>
      </c>
      <c r="Q295">
        <f>COUNTIF(calls[Customer ID],calls[[#This Row],[Customer ID]])</f>
        <v>69</v>
      </c>
      <c r="R295">
        <f>calls[[#This Row],[call count]]/calls[[#This Row],[Purchase Amount]]</f>
        <v>0.84146341463414631</v>
      </c>
    </row>
    <row r="296" spans="1:18" x14ac:dyDescent="0.4">
      <c r="A296" t="s">
        <v>326</v>
      </c>
      <c r="B296" t="s">
        <v>8</v>
      </c>
      <c r="C296">
        <v>56</v>
      </c>
      <c r="D296" s="4" t="s">
        <v>23</v>
      </c>
      <c r="E296" s="5">
        <v>45014</v>
      </c>
      <c r="F296">
        <v>88</v>
      </c>
      <c r="G296">
        <f>AVERAGEIF(calls[Representative], calls[[#This Row],[Representative]], calls[Satisfaction Rating])</f>
        <v>3.8973118279569863</v>
      </c>
      <c r="H296" t="str">
        <f>IF(AVERAGEIF(calls[Representative],calls[[#This Row],[Representative]],calls[Satisfaction Rating])&lt;3.5,"Needs Training","OK")</f>
        <v>OK</v>
      </c>
      <c r="I296">
        <v>4.0999999999999996</v>
      </c>
      <c r="J296">
        <f>IF(MONTH(calls[[#This Row],[Date of Call]])&lt;=6, YEAR(calls[[#This Row],[Date of Call]]), YEAR(calls[[#This Row],[Date of Call]])+1)</f>
        <v>2023</v>
      </c>
      <c r="K296" t="str">
        <f>TEXT(calls[[#This Row],[Date of Call]],"DDDD")</f>
        <v>Wednesday</v>
      </c>
      <c r="L296" t="str" cm="1">
        <f t="array" ref="L296">_xlfn.IFS(calls[[#This Row],[Duration]]&lt;=10,"under 10 mins",calls[[#This Row],[Duration]]&lt;=30,"10 to 30mins",calls[[#This Row],[Duration]]&lt;=60,"60 to 30mins",calls[[#This Row],[Duration]]&lt;=120,"1 to 2hrs",TRUE,"More than 2 hrs")</f>
        <v>60 to 30mins</v>
      </c>
      <c r="M296">
        <f>ROUND(calls[[#This Row],[Satisfaction Rating]],0)</f>
        <v>4</v>
      </c>
      <c r="N296">
        <f>COUNTIF(calls[Customer ID], calls[[#This Row],[Customer ID]])</f>
        <v>79</v>
      </c>
      <c r="O296">
        <f>SUMIF(calls[Customer ID], calls[[#This Row],[Customer ID]], calls[Purchase Amount])</f>
        <v>7747</v>
      </c>
      <c r="P296">
        <f>calls[[#This Row],[call count]]/calls[[#This Row],[Purchase Amount]]</f>
        <v>0.89772727272727271</v>
      </c>
      <c r="Q296">
        <f>COUNTIF(calls[Customer ID],calls[[#This Row],[Customer ID]])</f>
        <v>79</v>
      </c>
      <c r="R296">
        <f>calls[[#This Row],[call count]]/calls[[#This Row],[Purchase Amount]]</f>
        <v>0.89772727272727271</v>
      </c>
    </row>
    <row r="297" spans="1:18" x14ac:dyDescent="0.4">
      <c r="A297" t="s">
        <v>327</v>
      </c>
      <c r="B297" t="s">
        <v>84</v>
      </c>
      <c r="C297">
        <v>95</v>
      </c>
      <c r="D297" s="4" t="s">
        <v>2</v>
      </c>
      <c r="E297" s="5">
        <v>45014</v>
      </c>
      <c r="F297">
        <v>111</v>
      </c>
      <c r="G297">
        <f>AVERAGEIF(calls[Representative], calls[[#This Row],[Representative]], calls[Satisfaction Rating])</f>
        <v>3.8824999999999998</v>
      </c>
      <c r="H297" t="str">
        <f>IF(AVERAGEIF(calls[Representative],calls[[#This Row],[Representative]],calls[Satisfaction Rating])&lt;3.5,"Needs Training","OK")</f>
        <v>OK</v>
      </c>
      <c r="I297">
        <v>3.3</v>
      </c>
      <c r="J297">
        <f>IF(MONTH(calls[[#This Row],[Date of Call]])&lt;=6, YEAR(calls[[#This Row],[Date of Call]]), YEAR(calls[[#This Row],[Date of Call]])+1)</f>
        <v>2023</v>
      </c>
      <c r="K297" t="str">
        <f>TEXT(calls[[#This Row],[Date of Call]],"DDDD")</f>
        <v>Wednesday</v>
      </c>
      <c r="L297" t="str" cm="1">
        <f t="array" ref="L297">_xlfn.IFS(calls[[#This Row],[Duration]]&lt;=10,"under 10 mins",calls[[#This Row],[Duration]]&lt;=30,"10 to 30mins",calls[[#This Row],[Duration]]&lt;=60,"60 to 30mins",calls[[#This Row],[Duration]]&lt;=120,"1 to 2hrs",TRUE,"More than 2 hrs")</f>
        <v>1 to 2hrs</v>
      </c>
      <c r="M297">
        <f>ROUND(calls[[#This Row],[Satisfaction Rating]],0)</f>
        <v>3</v>
      </c>
      <c r="N297">
        <f>COUNTIF(calls[Customer ID], calls[[#This Row],[Customer ID]])</f>
        <v>59</v>
      </c>
      <c r="O297">
        <f>SUMIF(calls[Customer ID], calls[[#This Row],[Customer ID]], calls[Purchase Amount])</f>
        <v>5009</v>
      </c>
      <c r="P297">
        <f>calls[[#This Row],[call count]]/calls[[#This Row],[Purchase Amount]]</f>
        <v>0.53153153153153154</v>
      </c>
      <c r="Q297">
        <f>COUNTIF(calls[Customer ID],calls[[#This Row],[Customer ID]])</f>
        <v>59</v>
      </c>
      <c r="R297">
        <f>calls[[#This Row],[call count]]/calls[[#This Row],[Purchase Amount]]</f>
        <v>0.53153153153153154</v>
      </c>
    </row>
    <row r="298" spans="1:18" x14ac:dyDescent="0.4">
      <c r="A298" t="s">
        <v>328</v>
      </c>
      <c r="B298" t="s">
        <v>64</v>
      </c>
      <c r="C298">
        <v>128</v>
      </c>
      <c r="D298" s="4" t="s">
        <v>27</v>
      </c>
      <c r="E298" s="5">
        <v>45014</v>
      </c>
      <c r="F298">
        <v>60</v>
      </c>
      <c r="G298">
        <f>AVERAGEIF(calls[Representative], calls[[#This Row],[Representative]], calls[Satisfaction Rating])</f>
        <v>3.8589371980676304</v>
      </c>
      <c r="H298" t="str">
        <f>IF(AVERAGEIF(calls[Representative],calls[[#This Row],[Representative]],calls[Satisfaction Rating])&lt;3.5,"Needs Training","OK")</f>
        <v>OK</v>
      </c>
      <c r="I298">
        <v>3.8</v>
      </c>
      <c r="J298">
        <f>IF(MONTH(calls[[#This Row],[Date of Call]])&lt;=6, YEAR(calls[[#This Row],[Date of Call]]), YEAR(calls[[#This Row],[Date of Call]])+1)</f>
        <v>2023</v>
      </c>
      <c r="K298" t="str">
        <f>TEXT(calls[[#This Row],[Date of Call]],"DDDD")</f>
        <v>Wednesday</v>
      </c>
      <c r="L298" t="str" cm="1">
        <f t="array" ref="L298">_xlfn.IFS(calls[[#This Row],[Duration]]&lt;=10,"under 10 mins",calls[[#This Row],[Duration]]&lt;=30,"10 to 30mins",calls[[#This Row],[Duration]]&lt;=60,"60 to 30mins",calls[[#This Row],[Duration]]&lt;=120,"1 to 2hrs",TRUE,"More than 2 hrs")</f>
        <v>More than 2 hrs</v>
      </c>
      <c r="M298">
        <f>ROUND(calls[[#This Row],[Satisfaction Rating]],0)</f>
        <v>4</v>
      </c>
      <c r="N298">
        <f>COUNTIF(calls[Customer ID], calls[[#This Row],[Customer ID]])</f>
        <v>65</v>
      </c>
      <c r="O298">
        <f>SUMIF(calls[Customer ID], calls[[#This Row],[Customer ID]], calls[Purchase Amount])</f>
        <v>6785</v>
      </c>
      <c r="P298">
        <f>calls[[#This Row],[call count]]/calls[[#This Row],[Purchase Amount]]</f>
        <v>1.0833333333333333</v>
      </c>
      <c r="Q298">
        <f>COUNTIF(calls[Customer ID],calls[[#This Row],[Customer ID]])</f>
        <v>65</v>
      </c>
      <c r="R298">
        <f>calls[[#This Row],[call count]]/calls[[#This Row],[Purchase Amount]]</f>
        <v>1.0833333333333333</v>
      </c>
    </row>
    <row r="299" spans="1:18" x14ac:dyDescent="0.4">
      <c r="A299" t="s">
        <v>329</v>
      </c>
      <c r="B299" t="s">
        <v>13</v>
      </c>
      <c r="C299">
        <v>49</v>
      </c>
      <c r="D299" s="4" t="s">
        <v>2</v>
      </c>
      <c r="E299" s="5">
        <v>45014</v>
      </c>
      <c r="F299">
        <v>80</v>
      </c>
      <c r="G299">
        <f>AVERAGEIF(calls[Representative], calls[[#This Row],[Representative]], calls[Satisfaction Rating])</f>
        <v>3.8824999999999998</v>
      </c>
      <c r="H299" t="str">
        <f>IF(AVERAGEIF(calls[Representative],calls[[#This Row],[Representative]],calls[Satisfaction Rating])&lt;3.5,"Needs Training","OK")</f>
        <v>OK</v>
      </c>
      <c r="I299">
        <v>3</v>
      </c>
      <c r="J299">
        <f>IF(MONTH(calls[[#This Row],[Date of Call]])&lt;=6, YEAR(calls[[#This Row],[Date of Call]]), YEAR(calls[[#This Row],[Date of Call]])+1)</f>
        <v>2023</v>
      </c>
      <c r="K299" t="str">
        <f>TEXT(calls[[#This Row],[Date of Call]],"DDDD")</f>
        <v>Wednesday</v>
      </c>
      <c r="L299" t="str" cm="1">
        <f t="array" ref="L299">_xlfn.IFS(calls[[#This Row],[Duration]]&lt;=10,"under 10 mins",calls[[#This Row],[Duration]]&lt;=30,"10 to 30mins",calls[[#This Row],[Duration]]&lt;=60,"60 to 30mins",calls[[#This Row],[Duration]]&lt;=120,"1 to 2hrs",TRUE,"More than 2 hrs")</f>
        <v>60 to 30mins</v>
      </c>
      <c r="M299">
        <f>ROUND(calls[[#This Row],[Satisfaction Rating]],0)</f>
        <v>3</v>
      </c>
      <c r="N299">
        <f>COUNTIF(calls[Customer ID], calls[[#This Row],[Customer ID]])</f>
        <v>74</v>
      </c>
      <c r="O299">
        <f>SUMIF(calls[Customer ID], calls[[#This Row],[Customer ID]], calls[Purchase Amount])</f>
        <v>6749</v>
      </c>
      <c r="P299">
        <f>calls[[#This Row],[call count]]/calls[[#This Row],[Purchase Amount]]</f>
        <v>0.92500000000000004</v>
      </c>
      <c r="Q299">
        <f>COUNTIF(calls[Customer ID],calls[[#This Row],[Customer ID]])</f>
        <v>74</v>
      </c>
      <c r="R299">
        <f>calls[[#This Row],[call count]]/calls[[#This Row],[Purchase Amount]]</f>
        <v>0.92500000000000004</v>
      </c>
    </row>
    <row r="300" spans="1:18" x14ac:dyDescent="0.4">
      <c r="A300" t="s">
        <v>330</v>
      </c>
      <c r="B300" t="s">
        <v>64</v>
      </c>
      <c r="C300">
        <v>89</v>
      </c>
      <c r="D300" s="4" t="s">
        <v>14</v>
      </c>
      <c r="E300" s="5">
        <v>45016</v>
      </c>
      <c r="F300">
        <v>90</v>
      </c>
      <c r="G300">
        <f>AVERAGEIF(calls[Representative], calls[[#This Row],[Representative]], calls[Satisfaction Rating])</f>
        <v>3.9227513227513247</v>
      </c>
      <c r="H300" t="str">
        <f>IF(AVERAGEIF(calls[Representative],calls[[#This Row],[Representative]],calls[Satisfaction Rating])&lt;3.5,"Needs Training","OK")</f>
        <v>OK</v>
      </c>
      <c r="I300">
        <v>4.5999999999999996</v>
      </c>
      <c r="J300">
        <f>IF(MONTH(calls[[#This Row],[Date of Call]])&lt;=6, YEAR(calls[[#This Row],[Date of Call]]), YEAR(calls[[#This Row],[Date of Call]])+1)</f>
        <v>2023</v>
      </c>
      <c r="K300" t="str">
        <f>TEXT(calls[[#This Row],[Date of Call]],"DDDD")</f>
        <v>Friday</v>
      </c>
      <c r="L300" t="str" cm="1">
        <f t="array" ref="L300">_xlfn.IFS(calls[[#This Row],[Duration]]&lt;=10,"under 10 mins",calls[[#This Row],[Duration]]&lt;=30,"10 to 30mins",calls[[#This Row],[Duration]]&lt;=60,"60 to 30mins",calls[[#This Row],[Duration]]&lt;=120,"1 to 2hrs",TRUE,"More than 2 hrs")</f>
        <v>1 to 2hrs</v>
      </c>
      <c r="M300">
        <f>ROUND(calls[[#This Row],[Satisfaction Rating]],0)</f>
        <v>5</v>
      </c>
      <c r="N300">
        <f>COUNTIF(calls[Customer ID], calls[[#This Row],[Customer ID]])</f>
        <v>65</v>
      </c>
      <c r="O300">
        <f>SUMIF(calls[Customer ID], calls[[#This Row],[Customer ID]], calls[Purchase Amount])</f>
        <v>6785</v>
      </c>
      <c r="P300">
        <f>calls[[#This Row],[call count]]/calls[[#This Row],[Purchase Amount]]</f>
        <v>0.72222222222222221</v>
      </c>
      <c r="Q300">
        <f>COUNTIF(calls[Customer ID],calls[[#This Row],[Customer ID]])</f>
        <v>65</v>
      </c>
      <c r="R300">
        <f>calls[[#This Row],[call count]]/calls[[#This Row],[Purchase Amount]]</f>
        <v>0.72222222222222221</v>
      </c>
    </row>
    <row r="301" spans="1:18" x14ac:dyDescent="0.4">
      <c r="A301" t="s">
        <v>331</v>
      </c>
      <c r="B301" t="s">
        <v>40</v>
      </c>
      <c r="C301">
        <v>87</v>
      </c>
      <c r="D301" s="4" t="s">
        <v>2</v>
      </c>
      <c r="E301" s="5">
        <v>45016</v>
      </c>
      <c r="F301">
        <v>225</v>
      </c>
      <c r="G301">
        <f>AVERAGEIF(calls[Representative], calls[[#This Row],[Representative]], calls[Satisfaction Rating])</f>
        <v>3.8824999999999998</v>
      </c>
      <c r="H301" t="str">
        <f>IF(AVERAGEIF(calls[Representative],calls[[#This Row],[Representative]],calls[Satisfaction Rating])&lt;3.5,"Needs Training","OK")</f>
        <v>OK</v>
      </c>
      <c r="I301">
        <v>2.9</v>
      </c>
      <c r="J301">
        <f>IF(MONTH(calls[[#This Row],[Date of Call]])&lt;=6, YEAR(calls[[#This Row],[Date of Call]]), YEAR(calls[[#This Row],[Date of Call]])+1)</f>
        <v>2023</v>
      </c>
      <c r="K301" t="str">
        <f>TEXT(calls[[#This Row],[Date of Call]],"DDDD")</f>
        <v>Friday</v>
      </c>
      <c r="L301" t="str" cm="1">
        <f t="array" ref="L301">_xlfn.IFS(calls[[#This Row],[Duration]]&lt;=10,"under 10 mins",calls[[#This Row],[Duration]]&lt;=30,"10 to 30mins",calls[[#This Row],[Duration]]&lt;=60,"60 to 30mins",calls[[#This Row],[Duration]]&lt;=120,"1 to 2hrs",TRUE,"More than 2 hrs")</f>
        <v>1 to 2hrs</v>
      </c>
      <c r="M301">
        <f>ROUND(calls[[#This Row],[Satisfaction Rating]],0)</f>
        <v>3</v>
      </c>
      <c r="N301">
        <f>COUNTIF(calls[Customer ID], calls[[#This Row],[Customer ID]])</f>
        <v>69</v>
      </c>
      <c r="O301">
        <f>SUMIF(calls[Customer ID], calls[[#This Row],[Customer ID]], calls[Purchase Amount])</f>
        <v>6601</v>
      </c>
      <c r="P301">
        <f>calls[[#This Row],[call count]]/calls[[#This Row],[Purchase Amount]]</f>
        <v>0.30666666666666664</v>
      </c>
      <c r="Q301">
        <f>COUNTIF(calls[Customer ID],calls[[#This Row],[Customer ID]])</f>
        <v>69</v>
      </c>
      <c r="R301">
        <f>calls[[#This Row],[call count]]/calls[[#This Row],[Purchase Amount]]</f>
        <v>0.30666666666666664</v>
      </c>
    </row>
    <row r="302" spans="1:18" x14ac:dyDescent="0.4">
      <c r="A302" t="s">
        <v>332</v>
      </c>
      <c r="B302" t="s">
        <v>1</v>
      </c>
      <c r="C302">
        <v>60</v>
      </c>
      <c r="D302" s="4" t="s">
        <v>9</v>
      </c>
      <c r="E302" s="5">
        <v>45017</v>
      </c>
      <c r="F302">
        <v>215</v>
      </c>
      <c r="G302">
        <f>AVERAGEIF(calls[Representative], calls[[#This Row],[Representative]], calls[Satisfaction Rating])</f>
        <v>3.8706422018348627</v>
      </c>
      <c r="H302" t="str">
        <f>IF(AVERAGEIF(calls[Representative],calls[[#This Row],[Representative]],calls[Satisfaction Rating])&lt;3.5,"Needs Training","OK")</f>
        <v>OK</v>
      </c>
      <c r="I302">
        <v>3.2</v>
      </c>
      <c r="J302">
        <f>IF(MONTH(calls[[#This Row],[Date of Call]])&lt;=6, YEAR(calls[[#This Row],[Date of Call]]), YEAR(calls[[#This Row],[Date of Call]])+1)</f>
        <v>2023</v>
      </c>
      <c r="K302" t="str">
        <f>TEXT(calls[[#This Row],[Date of Call]],"DDDD")</f>
        <v>Saturday</v>
      </c>
      <c r="L302" t="str" cm="1">
        <f t="array" ref="L302">_xlfn.IFS(calls[[#This Row],[Duration]]&lt;=10,"under 10 mins",calls[[#This Row],[Duration]]&lt;=30,"10 to 30mins",calls[[#This Row],[Duration]]&lt;=60,"60 to 30mins",calls[[#This Row],[Duration]]&lt;=120,"1 to 2hrs",TRUE,"More than 2 hrs")</f>
        <v>60 to 30mins</v>
      </c>
      <c r="M302">
        <f>ROUND(calls[[#This Row],[Satisfaction Rating]],0)</f>
        <v>3</v>
      </c>
      <c r="N302">
        <f>COUNTIF(calls[Customer ID], calls[[#This Row],[Customer ID]])</f>
        <v>50</v>
      </c>
      <c r="O302">
        <f>SUMIF(calls[Customer ID], calls[[#This Row],[Customer ID]], calls[Purchase Amount])</f>
        <v>4804</v>
      </c>
      <c r="P302">
        <f>calls[[#This Row],[call count]]/calls[[#This Row],[Purchase Amount]]</f>
        <v>0.23255813953488372</v>
      </c>
      <c r="Q302">
        <f>COUNTIF(calls[Customer ID],calls[[#This Row],[Customer ID]])</f>
        <v>50</v>
      </c>
      <c r="R302">
        <f>calls[[#This Row],[call count]]/calls[[#This Row],[Purchase Amount]]</f>
        <v>0.23255813953488372</v>
      </c>
    </row>
    <row r="303" spans="1:18" x14ac:dyDescent="0.4">
      <c r="A303" t="s">
        <v>333</v>
      </c>
      <c r="B303" t="s">
        <v>11</v>
      </c>
      <c r="C303">
        <v>42</v>
      </c>
      <c r="D303" s="4" t="s">
        <v>14</v>
      </c>
      <c r="E303" s="5">
        <v>45017</v>
      </c>
      <c r="F303">
        <v>45</v>
      </c>
      <c r="G303">
        <f>AVERAGEIF(calls[Representative], calls[[#This Row],[Representative]], calls[Satisfaction Rating])</f>
        <v>3.9227513227513247</v>
      </c>
      <c r="H303" t="str">
        <f>IF(AVERAGEIF(calls[Representative],calls[[#This Row],[Representative]],calls[Satisfaction Rating])&lt;3.5,"Needs Training","OK")</f>
        <v>OK</v>
      </c>
      <c r="I303">
        <v>1.5</v>
      </c>
      <c r="J303">
        <f>IF(MONTH(calls[[#This Row],[Date of Call]])&lt;=6, YEAR(calls[[#This Row],[Date of Call]]), YEAR(calls[[#This Row],[Date of Call]])+1)</f>
        <v>2023</v>
      </c>
      <c r="K303" t="str">
        <f>TEXT(calls[[#This Row],[Date of Call]],"DDDD")</f>
        <v>Saturday</v>
      </c>
      <c r="L303" t="str" cm="1">
        <f t="array" ref="L303">_xlfn.IFS(calls[[#This Row],[Duration]]&lt;=10,"under 10 mins",calls[[#This Row],[Duration]]&lt;=30,"10 to 30mins",calls[[#This Row],[Duration]]&lt;=60,"60 to 30mins",calls[[#This Row],[Duration]]&lt;=120,"1 to 2hrs",TRUE,"More than 2 hrs")</f>
        <v>60 to 30mins</v>
      </c>
      <c r="M303">
        <f>ROUND(calls[[#This Row],[Satisfaction Rating]],0)</f>
        <v>2</v>
      </c>
      <c r="N303">
        <f>COUNTIF(calls[Customer ID], calls[[#This Row],[Customer ID]])</f>
        <v>60</v>
      </c>
      <c r="O303">
        <f>SUMIF(calls[Customer ID], calls[[#This Row],[Customer ID]], calls[Purchase Amount])</f>
        <v>5404</v>
      </c>
      <c r="P303">
        <f>calls[[#This Row],[call count]]/calls[[#This Row],[Purchase Amount]]</f>
        <v>1.3333333333333333</v>
      </c>
      <c r="Q303">
        <f>COUNTIF(calls[Customer ID],calls[[#This Row],[Customer ID]])</f>
        <v>60</v>
      </c>
      <c r="R303">
        <f>calls[[#This Row],[call count]]/calls[[#This Row],[Purchase Amount]]</f>
        <v>1.3333333333333333</v>
      </c>
    </row>
    <row r="304" spans="1:18" x14ac:dyDescent="0.4">
      <c r="A304" t="s">
        <v>334</v>
      </c>
      <c r="B304" t="s">
        <v>26</v>
      </c>
      <c r="C304">
        <v>99</v>
      </c>
      <c r="D304" s="4" t="s">
        <v>9</v>
      </c>
      <c r="E304" s="5">
        <v>45017</v>
      </c>
      <c r="F304">
        <v>74</v>
      </c>
      <c r="G304">
        <f>AVERAGEIF(calls[Representative], calls[[#This Row],[Representative]], calls[Satisfaction Rating])</f>
        <v>3.8706422018348627</v>
      </c>
      <c r="H304" t="str">
        <f>IF(AVERAGEIF(calls[Representative],calls[[#This Row],[Representative]],calls[Satisfaction Rating])&lt;3.5,"Needs Training","OK")</f>
        <v>OK</v>
      </c>
      <c r="I304">
        <v>4</v>
      </c>
      <c r="J304">
        <f>IF(MONTH(calls[[#This Row],[Date of Call]])&lt;=6, YEAR(calls[[#This Row],[Date of Call]]), YEAR(calls[[#This Row],[Date of Call]])+1)</f>
        <v>2023</v>
      </c>
      <c r="K304" t="str">
        <f>TEXT(calls[[#This Row],[Date of Call]],"DDDD")</f>
        <v>Saturday</v>
      </c>
      <c r="L304" t="str" cm="1">
        <f t="array" ref="L304">_xlfn.IFS(calls[[#This Row],[Duration]]&lt;=10,"under 10 mins",calls[[#This Row],[Duration]]&lt;=30,"10 to 30mins",calls[[#This Row],[Duration]]&lt;=60,"60 to 30mins",calls[[#This Row],[Duration]]&lt;=120,"1 to 2hrs",TRUE,"More than 2 hrs")</f>
        <v>1 to 2hrs</v>
      </c>
      <c r="M304">
        <f>ROUND(calls[[#This Row],[Satisfaction Rating]],0)</f>
        <v>4</v>
      </c>
      <c r="N304">
        <f>COUNTIF(calls[Customer ID], calls[[#This Row],[Customer ID]])</f>
        <v>72</v>
      </c>
      <c r="O304">
        <f>SUMIF(calls[Customer ID], calls[[#This Row],[Customer ID]], calls[Purchase Amount])</f>
        <v>6242</v>
      </c>
      <c r="P304">
        <f>calls[[#This Row],[call count]]/calls[[#This Row],[Purchase Amount]]</f>
        <v>0.97297297297297303</v>
      </c>
      <c r="Q304">
        <f>COUNTIF(calls[Customer ID],calls[[#This Row],[Customer ID]])</f>
        <v>72</v>
      </c>
      <c r="R304">
        <f>calls[[#This Row],[call count]]/calls[[#This Row],[Purchase Amount]]</f>
        <v>0.97297297297297303</v>
      </c>
    </row>
    <row r="305" spans="1:18" x14ac:dyDescent="0.4">
      <c r="A305" t="s">
        <v>335</v>
      </c>
      <c r="B305" t="s">
        <v>8</v>
      </c>
      <c r="C305">
        <v>20</v>
      </c>
      <c r="D305" s="4" t="s">
        <v>14</v>
      </c>
      <c r="E305" s="5">
        <v>45017</v>
      </c>
      <c r="F305">
        <v>60</v>
      </c>
      <c r="G305">
        <f>AVERAGEIF(calls[Representative], calls[[#This Row],[Representative]], calls[Satisfaction Rating])</f>
        <v>3.9227513227513247</v>
      </c>
      <c r="H305" t="str">
        <f>IF(AVERAGEIF(calls[Representative],calls[[#This Row],[Representative]],calls[Satisfaction Rating])&lt;3.5,"Needs Training","OK")</f>
        <v>OK</v>
      </c>
      <c r="I305">
        <v>3.6</v>
      </c>
      <c r="J305">
        <f>IF(MONTH(calls[[#This Row],[Date of Call]])&lt;=6, YEAR(calls[[#This Row],[Date of Call]]), YEAR(calls[[#This Row],[Date of Call]])+1)</f>
        <v>2023</v>
      </c>
      <c r="K305" t="str">
        <f>TEXT(calls[[#This Row],[Date of Call]],"DDDD")</f>
        <v>Saturday</v>
      </c>
      <c r="L305" t="str" cm="1">
        <f t="array" ref="L305">_xlfn.IFS(calls[[#This Row],[Duration]]&lt;=10,"under 10 mins",calls[[#This Row],[Duration]]&lt;=30,"10 to 30mins",calls[[#This Row],[Duration]]&lt;=60,"60 to 30mins",calls[[#This Row],[Duration]]&lt;=120,"1 to 2hrs",TRUE,"More than 2 hrs")</f>
        <v>10 to 30mins</v>
      </c>
      <c r="M305">
        <f>ROUND(calls[[#This Row],[Satisfaction Rating]],0)</f>
        <v>4</v>
      </c>
      <c r="N305">
        <f>COUNTIF(calls[Customer ID], calls[[#This Row],[Customer ID]])</f>
        <v>79</v>
      </c>
      <c r="O305">
        <f>SUMIF(calls[Customer ID], calls[[#This Row],[Customer ID]], calls[Purchase Amount])</f>
        <v>7747</v>
      </c>
      <c r="P305">
        <f>calls[[#This Row],[call count]]/calls[[#This Row],[Purchase Amount]]</f>
        <v>1.3166666666666667</v>
      </c>
      <c r="Q305">
        <f>COUNTIF(calls[Customer ID],calls[[#This Row],[Customer ID]])</f>
        <v>79</v>
      </c>
      <c r="R305">
        <f>calls[[#This Row],[call count]]/calls[[#This Row],[Purchase Amount]]</f>
        <v>1.3166666666666667</v>
      </c>
    </row>
    <row r="306" spans="1:18" x14ac:dyDescent="0.4">
      <c r="A306" t="s">
        <v>336</v>
      </c>
      <c r="B306" t="s">
        <v>30</v>
      </c>
      <c r="C306">
        <v>65</v>
      </c>
      <c r="D306" s="4" t="s">
        <v>9</v>
      </c>
      <c r="E306" s="5">
        <v>45017</v>
      </c>
      <c r="F306">
        <v>64</v>
      </c>
      <c r="G306">
        <f>AVERAGEIF(calls[Representative], calls[[#This Row],[Representative]], calls[Satisfaction Rating])</f>
        <v>3.8706422018348627</v>
      </c>
      <c r="H306" t="str">
        <f>IF(AVERAGEIF(calls[Representative],calls[[#This Row],[Representative]],calls[Satisfaction Rating])&lt;3.5,"Needs Training","OK")</f>
        <v>OK</v>
      </c>
      <c r="I306">
        <v>3.7</v>
      </c>
      <c r="J306">
        <f>IF(MONTH(calls[[#This Row],[Date of Call]])&lt;=6, YEAR(calls[[#This Row],[Date of Call]]), YEAR(calls[[#This Row],[Date of Call]])+1)</f>
        <v>2023</v>
      </c>
      <c r="K306" t="str">
        <f>TEXT(calls[[#This Row],[Date of Call]],"DDDD")</f>
        <v>Saturday</v>
      </c>
      <c r="L306" t="str" cm="1">
        <f t="array" ref="L306">_xlfn.IFS(calls[[#This Row],[Duration]]&lt;=10,"under 10 mins",calls[[#This Row],[Duration]]&lt;=30,"10 to 30mins",calls[[#This Row],[Duration]]&lt;=60,"60 to 30mins",calls[[#This Row],[Duration]]&lt;=120,"1 to 2hrs",TRUE,"More than 2 hrs")</f>
        <v>1 to 2hrs</v>
      </c>
      <c r="M306">
        <f>ROUND(calls[[#This Row],[Satisfaction Rating]],0)</f>
        <v>4</v>
      </c>
      <c r="N306">
        <f>COUNTIF(calls[Customer ID], calls[[#This Row],[Customer ID]])</f>
        <v>69</v>
      </c>
      <c r="O306">
        <f>SUMIF(calls[Customer ID], calls[[#This Row],[Customer ID]], calls[Purchase Amount])</f>
        <v>7230</v>
      </c>
      <c r="P306">
        <f>calls[[#This Row],[call count]]/calls[[#This Row],[Purchase Amount]]</f>
        <v>1.078125</v>
      </c>
      <c r="Q306">
        <f>COUNTIF(calls[Customer ID],calls[[#This Row],[Customer ID]])</f>
        <v>69</v>
      </c>
      <c r="R306">
        <f>calls[[#This Row],[call count]]/calls[[#This Row],[Purchase Amount]]</f>
        <v>1.078125</v>
      </c>
    </row>
    <row r="307" spans="1:18" x14ac:dyDescent="0.4">
      <c r="A307" t="s">
        <v>337</v>
      </c>
      <c r="B307" t="s">
        <v>54</v>
      </c>
      <c r="C307">
        <v>71</v>
      </c>
      <c r="D307" s="4" t="s">
        <v>2</v>
      </c>
      <c r="E307" s="5">
        <v>45018</v>
      </c>
      <c r="F307">
        <v>110</v>
      </c>
      <c r="G307">
        <f>AVERAGEIF(calls[Representative], calls[[#This Row],[Representative]], calls[Satisfaction Rating])</f>
        <v>3.8824999999999998</v>
      </c>
      <c r="H307" t="str">
        <f>IF(AVERAGEIF(calls[Representative],calls[[#This Row],[Representative]],calls[Satisfaction Rating])&lt;3.5,"Needs Training","OK")</f>
        <v>OK</v>
      </c>
      <c r="I307">
        <v>4.8</v>
      </c>
      <c r="J307">
        <f>IF(MONTH(calls[[#This Row],[Date of Call]])&lt;=6, YEAR(calls[[#This Row],[Date of Call]]), YEAR(calls[[#This Row],[Date of Call]])+1)</f>
        <v>2023</v>
      </c>
      <c r="K307" t="str">
        <f>TEXT(calls[[#This Row],[Date of Call]],"DDDD")</f>
        <v>Sunday</v>
      </c>
      <c r="L307" t="str" cm="1">
        <f t="array" ref="L307">_xlfn.IFS(calls[[#This Row],[Duration]]&lt;=10,"under 10 mins",calls[[#This Row],[Duration]]&lt;=30,"10 to 30mins",calls[[#This Row],[Duration]]&lt;=60,"60 to 30mins",calls[[#This Row],[Duration]]&lt;=120,"1 to 2hrs",TRUE,"More than 2 hrs")</f>
        <v>1 to 2hrs</v>
      </c>
      <c r="M307">
        <f>ROUND(calls[[#This Row],[Satisfaction Rating]],0)</f>
        <v>5</v>
      </c>
      <c r="N307">
        <f>COUNTIF(calls[Customer ID], calls[[#This Row],[Customer ID]])</f>
        <v>70</v>
      </c>
      <c r="O307">
        <f>SUMIF(calls[Customer ID], calls[[#This Row],[Customer ID]], calls[Purchase Amount])</f>
        <v>6819</v>
      </c>
      <c r="P307">
        <f>calls[[#This Row],[call count]]/calls[[#This Row],[Purchase Amount]]</f>
        <v>0.63636363636363635</v>
      </c>
      <c r="Q307">
        <f>COUNTIF(calls[Customer ID],calls[[#This Row],[Customer ID]])</f>
        <v>70</v>
      </c>
      <c r="R307">
        <f>calls[[#This Row],[call count]]/calls[[#This Row],[Purchase Amount]]</f>
        <v>0.63636363636363635</v>
      </c>
    </row>
    <row r="308" spans="1:18" x14ac:dyDescent="0.4">
      <c r="A308" t="s">
        <v>338</v>
      </c>
      <c r="B308" t="s">
        <v>6</v>
      </c>
      <c r="C308">
        <v>95</v>
      </c>
      <c r="D308" s="4" t="s">
        <v>27</v>
      </c>
      <c r="E308" s="5">
        <v>45018</v>
      </c>
      <c r="F308">
        <v>52</v>
      </c>
      <c r="G308">
        <f>AVERAGEIF(calls[Representative], calls[[#This Row],[Representative]], calls[Satisfaction Rating])</f>
        <v>3.8589371980676304</v>
      </c>
      <c r="H308" t="str">
        <f>IF(AVERAGEIF(calls[Representative],calls[[#This Row],[Representative]],calls[Satisfaction Rating])&lt;3.5,"Needs Training","OK")</f>
        <v>OK</v>
      </c>
      <c r="I308">
        <v>1.2</v>
      </c>
      <c r="J308">
        <f>IF(MONTH(calls[[#This Row],[Date of Call]])&lt;=6, YEAR(calls[[#This Row],[Date of Call]]), YEAR(calls[[#This Row],[Date of Call]])+1)</f>
        <v>2023</v>
      </c>
      <c r="K308" t="str">
        <f>TEXT(calls[[#This Row],[Date of Call]],"DDDD")</f>
        <v>Sunday</v>
      </c>
      <c r="L308" t="str" cm="1">
        <f t="array" ref="L308">_xlfn.IFS(calls[[#This Row],[Duration]]&lt;=10,"under 10 mins",calls[[#This Row],[Duration]]&lt;=30,"10 to 30mins",calls[[#This Row],[Duration]]&lt;=60,"60 to 30mins",calls[[#This Row],[Duration]]&lt;=120,"1 to 2hrs",TRUE,"More than 2 hrs")</f>
        <v>1 to 2hrs</v>
      </c>
      <c r="M308">
        <f>ROUND(calls[[#This Row],[Satisfaction Rating]],0)</f>
        <v>1</v>
      </c>
      <c r="N308">
        <f>COUNTIF(calls[Customer ID], calls[[#This Row],[Customer ID]])</f>
        <v>82</v>
      </c>
      <c r="O308">
        <f>SUMIF(calls[Customer ID], calls[[#This Row],[Customer ID]], calls[Purchase Amount])</f>
        <v>7689</v>
      </c>
      <c r="P308">
        <f>calls[[#This Row],[call count]]/calls[[#This Row],[Purchase Amount]]</f>
        <v>1.5769230769230769</v>
      </c>
      <c r="Q308">
        <f>COUNTIF(calls[Customer ID],calls[[#This Row],[Customer ID]])</f>
        <v>82</v>
      </c>
      <c r="R308">
        <f>calls[[#This Row],[call count]]/calls[[#This Row],[Purchase Amount]]</f>
        <v>1.5769230769230769</v>
      </c>
    </row>
    <row r="309" spans="1:18" x14ac:dyDescent="0.4">
      <c r="A309" t="s">
        <v>339</v>
      </c>
      <c r="B309" t="s">
        <v>8</v>
      </c>
      <c r="C309">
        <v>81</v>
      </c>
      <c r="D309" s="4" t="s">
        <v>23</v>
      </c>
      <c r="E309" s="5">
        <v>45019</v>
      </c>
      <c r="F309">
        <v>160</v>
      </c>
      <c r="G309">
        <f>AVERAGEIF(calls[Representative], calls[[#This Row],[Representative]], calls[Satisfaction Rating])</f>
        <v>3.8973118279569863</v>
      </c>
      <c r="H309" t="str">
        <f>IF(AVERAGEIF(calls[Representative],calls[[#This Row],[Representative]],calls[Satisfaction Rating])&lt;3.5,"Needs Training","OK")</f>
        <v>OK</v>
      </c>
      <c r="I309">
        <v>4.7</v>
      </c>
      <c r="J309">
        <f>IF(MONTH(calls[[#This Row],[Date of Call]])&lt;=6, YEAR(calls[[#This Row],[Date of Call]]), YEAR(calls[[#This Row],[Date of Call]])+1)</f>
        <v>2023</v>
      </c>
      <c r="K309" t="str">
        <f>TEXT(calls[[#This Row],[Date of Call]],"DDDD")</f>
        <v>Monday</v>
      </c>
      <c r="L309" t="str" cm="1">
        <f t="array" ref="L309">_xlfn.IFS(calls[[#This Row],[Duration]]&lt;=10,"under 10 mins",calls[[#This Row],[Duration]]&lt;=30,"10 to 30mins",calls[[#This Row],[Duration]]&lt;=60,"60 to 30mins",calls[[#This Row],[Duration]]&lt;=120,"1 to 2hrs",TRUE,"More than 2 hrs")</f>
        <v>1 to 2hrs</v>
      </c>
      <c r="M309">
        <f>ROUND(calls[[#This Row],[Satisfaction Rating]],0)</f>
        <v>5</v>
      </c>
      <c r="N309">
        <f>COUNTIF(calls[Customer ID], calls[[#This Row],[Customer ID]])</f>
        <v>79</v>
      </c>
      <c r="O309">
        <f>SUMIF(calls[Customer ID], calls[[#This Row],[Customer ID]], calls[Purchase Amount])</f>
        <v>7747</v>
      </c>
      <c r="P309">
        <f>calls[[#This Row],[call count]]/calls[[#This Row],[Purchase Amount]]</f>
        <v>0.49375000000000002</v>
      </c>
      <c r="Q309">
        <f>COUNTIF(calls[Customer ID],calls[[#This Row],[Customer ID]])</f>
        <v>79</v>
      </c>
      <c r="R309">
        <f>calls[[#This Row],[call count]]/calls[[#This Row],[Purchase Amount]]</f>
        <v>0.49375000000000002</v>
      </c>
    </row>
    <row r="310" spans="1:18" x14ac:dyDescent="0.4">
      <c r="A310" t="s">
        <v>340</v>
      </c>
      <c r="B310" t="s">
        <v>44</v>
      </c>
      <c r="C310">
        <v>137</v>
      </c>
      <c r="D310" s="4" t="s">
        <v>23</v>
      </c>
      <c r="E310" s="5">
        <v>45019</v>
      </c>
      <c r="F310">
        <v>215</v>
      </c>
      <c r="G310">
        <f>AVERAGEIF(calls[Representative], calls[[#This Row],[Representative]], calls[Satisfaction Rating])</f>
        <v>3.8973118279569863</v>
      </c>
      <c r="H310" t="str">
        <f>IF(AVERAGEIF(calls[Representative],calls[[#This Row],[Representative]],calls[Satisfaction Rating])&lt;3.5,"Needs Training","OK")</f>
        <v>OK</v>
      </c>
      <c r="I310">
        <v>4.7</v>
      </c>
      <c r="J310">
        <f>IF(MONTH(calls[[#This Row],[Date of Call]])&lt;=6, YEAR(calls[[#This Row],[Date of Call]]), YEAR(calls[[#This Row],[Date of Call]])+1)</f>
        <v>2023</v>
      </c>
      <c r="K310" t="str">
        <f>TEXT(calls[[#This Row],[Date of Call]],"DDDD")</f>
        <v>Monday</v>
      </c>
      <c r="L310" t="str" cm="1">
        <f t="array" ref="L310">_xlfn.IFS(calls[[#This Row],[Duration]]&lt;=10,"under 10 mins",calls[[#This Row],[Duration]]&lt;=30,"10 to 30mins",calls[[#This Row],[Duration]]&lt;=60,"60 to 30mins",calls[[#This Row],[Duration]]&lt;=120,"1 to 2hrs",TRUE,"More than 2 hrs")</f>
        <v>More than 2 hrs</v>
      </c>
      <c r="M310">
        <f>ROUND(calls[[#This Row],[Satisfaction Rating]],0)</f>
        <v>5</v>
      </c>
      <c r="N310">
        <f>COUNTIF(calls[Customer ID], calls[[#This Row],[Customer ID]])</f>
        <v>62</v>
      </c>
      <c r="O310">
        <f>SUMIF(calls[Customer ID], calls[[#This Row],[Customer ID]], calls[Purchase Amount])</f>
        <v>6176</v>
      </c>
      <c r="P310">
        <f>calls[[#This Row],[call count]]/calls[[#This Row],[Purchase Amount]]</f>
        <v>0.28837209302325584</v>
      </c>
      <c r="Q310">
        <f>COUNTIF(calls[Customer ID],calls[[#This Row],[Customer ID]])</f>
        <v>62</v>
      </c>
      <c r="R310">
        <f>calls[[#This Row],[call count]]/calls[[#This Row],[Purchase Amount]]</f>
        <v>0.28837209302325584</v>
      </c>
    </row>
    <row r="311" spans="1:18" x14ac:dyDescent="0.4">
      <c r="A311" t="s">
        <v>341</v>
      </c>
      <c r="B311" t="s">
        <v>44</v>
      </c>
      <c r="C311">
        <v>40</v>
      </c>
      <c r="D311" s="4" t="s">
        <v>27</v>
      </c>
      <c r="E311" s="5">
        <v>45019</v>
      </c>
      <c r="F311">
        <v>220</v>
      </c>
      <c r="G311">
        <f>AVERAGEIF(calls[Representative], calls[[#This Row],[Representative]], calls[Satisfaction Rating])</f>
        <v>3.8589371980676304</v>
      </c>
      <c r="H311" t="str">
        <f>IF(AVERAGEIF(calls[Representative],calls[[#This Row],[Representative]],calls[Satisfaction Rating])&lt;3.5,"Needs Training","OK")</f>
        <v>OK</v>
      </c>
      <c r="I311">
        <v>4.5</v>
      </c>
      <c r="J311">
        <f>IF(MONTH(calls[[#This Row],[Date of Call]])&lt;=6, YEAR(calls[[#This Row],[Date of Call]]), YEAR(calls[[#This Row],[Date of Call]])+1)</f>
        <v>2023</v>
      </c>
      <c r="K311" t="str">
        <f>TEXT(calls[[#This Row],[Date of Call]],"DDDD")</f>
        <v>Monday</v>
      </c>
      <c r="L311" t="str" cm="1">
        <f t="array" ref="L311">_xlfn.IFS(calls[[#This Row],[Duration]]&lt;=10,"under 10 mins",calls[[#This Row],[Duration]]&lt;=30,"10 to 30mins",calls[[#This Row],[Duration]]&lt;=60,"60 to 30mins",calls[[#This Row],[Duration]]&lt;=120,"1 to 2hrs",TRUE,"More than 2 hrs")</f>
        <v>60 to 30mins</v>
      </c>
      <c r="M311">
        <f>ROUND(calls[[#This Row],[Satisfaction Rating]],0)</f>
        <v>5</v>
      </c>
      <c r="N311">
        <f>COUNTIF(calls[Customer ID], calls[[#This Row],[Customer ID]])</f>
        <v>62</v>
      </c>
      <c r="O311">
        <f>SUMIF(calls[Customer ID], calls[[#This Row],[Customer ID]], calls[Purchase Amount])</f>
        <v>6176</v>
      </c>
      <c r="P311">
        <f>calls[[#This Row],[call count]]/calls[[#This Row],[Purchase Amount]]</f>
        <v>0.2818181818181818</v>
      </c>
      <c r="Q311">
        <f>COUNTIF(calls[Customer ID],calls[[#This Row],[Customer ID]])</f>
        <v>62</v>
      </c>
      <c r="R311">
        <f>calls[[#This Row],[call count]]/calls[[#This Row],[Purchase Amount]]</f>
        <v>0.2818181818181818</v>
      </c>
    </row>
    <row r="312" spans="1:18" x14ac:dyDescent="0.4">
      <c r="A312" t="s">
        <v>342</v>
      </c>
      <c r="B312" t="s">
        <v>26</v>
      </c>
      <c r="C312">
        <v>111</v>
      </c>
      <c r="D312" s="4" t="s">
        <v>9</v>
      </c>
      <c r="E312" s="5">
        <v>45020</v>
      </c>
      <c r="F312">
        <v>175</v>
      </c>
      <c r="G312">
        <f>AVERAGEIF(calls[Representative], calls[[#This Row],[Representative]], calls[Satisfaction Rating])</f>
        <v>3.8706422018348627</v>
      </c>
      <c r="H312" t="str">
        <f>IF(AVERAGEIF(calls[Representative],calls[[#This Row],[Representative]],calls[Satisfaction Rating])&lt;3.5,"Needs Training","OK")</f>
        <v>OK</v>
      </c>
      <c r="I312">
        <v>3.5</v>
      </c>
      <c r="J312">
        <f>IF(MONTH(calls[[#This Row],[Date of Call]])&lt;=6, YEAR(calls[[#This Row],[Date of Call]]), YEAR(calls[[#This Row],[Date of Call]])+1)</f>
        <v>2023</v>
      </c>
      <c r="K312" t="str">
        <f>TEXT(calls[[#This Row],[Date of Call]],"DDDD")</f>
        <v>Tuesday</v>
      </c>
      <c r="L312" t="str" cm="1">
        <f t="array" ref="L312">_xlfn.IFS(calls[[#This Row],[Duration]]&lt;=10,"under 10 mins",calls[[#This Row],[Duration]]&lt;=30,"10 to 30mins",calls[[#This Row],[Duration]]&lt;=60,"60 to 30mins",calls[[#This Row],[Duration]]&lt;=120,"1 to 2hrs",TRUE,"More than 2 hrs")</f>
        <v>1 to 2hrs</v>
      </c>
      <c r="M312">
        <f>ROUND(calls[[#This Row],[Satisfaction Rating]],0)</f>
        <v>4</v>
      </c>
      <c r="N312">
        <f>COUNTIF(calls[Customer ID], calls[[#This Row],[Customer ID]])</f>
        <v>72</v>
      </c>
      <c r="O312">
        <f>SUMIF(calls[Customer ID], calls[[#This Row],[Customer ID]], calls[Purchase Amount])</f>
        <v>6242</v>
      </c>
      <c r="P312">
        <f>calls[[#This Row],[call count]]/calls[[#This Row],[Purchase Amount]]</f>
        <v>0.41142857142857142</v>
      </c>
      <c r="Q312">
        <f>COUNTIF(calls[Customer ID],calls[[#This Row],[Customer ID]])</f>
        <v>72</v>
      </c>
      <c r="R312">
        <f>calls[[#This Row],[call count]]/calls[[#This Row],[Purchase Amount]]</f>
        <v>0.41142857142857142</v>
      </c>
    </row>
    <row r="313" spans="1:18" x14ac:dyDescent="0.4">
      <c r="A313" t="s">
        <v>343</v>
      </c>
      <c r="B313" t="s">
        <v>54</v>
      </c>
      <c r="C313">
        <v>106</v>
      </c>
      <c r="D313" s="4" t="s">
        <v>9</v>
      </c>
      <c r="E313" s="5">
        <v>45020</v>
      </c>
      <c r="F313">
        <v>145</v>
      </c>
      <c r="G313">
        <f>AVERAGEIF(calls[Representative], calls[[#This Row],[Representative]], calls[Satisfaction Rating])</f>
        <v>3.8706422018348627</v>
      </c>
      <c r="H313" t="str">
        <f>IF(AVERAGEIF(calls[Representative],calls[[#This Row],[Representative]],calls[Satisfaction Rating])&lt;3.5,"Needs Training","OK")</f>
        <v>OK</v>
      </c>
      <c r="I313">
        <v>4.0999999999999996</v>
      </c>
      <c r="J313">
        <f>IF(MONTH(calls[[#This Row],[Date of Call]])&lt;=6, YEAR(calls[[#This Row],[Date of Call]]), YEAR(calls[[#This Row],[Date of Call]])+1)</f>
        <v>2023</v>
      </c>
      <c r="K313" t="str">
        <f>TEXT(calls[[#This Row],[Date of Call]],"DDDD")</f>
        <v>Tuesday</v>
      </c>
      <c r="L313" t="str" cm="1">
        <f t="array" ref="L313">_xlfn.IFS(calls[[#This Row],[Duration]]&lt;=10,"under 10 mins",calls[[#This Row],[Duration]]&lt;=30,"10 to 30mins",calls[[#This Row],[Duration]]&lt;=60,"60 to 30mins",calls[[#This Row],[Duration]]&lt;=120,"1 to 2hrs",TRUE,"More than 2 hrs")</f>
        <v>1 to 2hrs</v>
      </c>
      <c r="M313">
        <f>ROUND(calls[[#This Row],[Satisfaction Rating]],0)</f>
        <v>4</v>
      </c>
      <c r="N313">
        <f>COUNTIF(calls[Customer ID], calls[[#This Row],[Customer ID]])</f>
        <v>70</v>
      </c>
      <c r="O313">
        <f>SUMIF(calls[Customer ID], calls[[#This Row],[Customer ID]], calls[Purchase Amount])</f>
        <v>6819</v>
      </c>
      <c r="P313">
        <f>calls[[#This Row],[call count]]/calls[[#This Row],[Purchase Amount]]</f>
        <v>0.48275862068965519</v>
      </c>
      <c r="Q313">
        <f>COUNTIF(calls[Customer ID],calls[[#This Row],[Customer ID]])</f>
        <v>70</v>
      </c>
      <c r="R313">
        <f>calls[[#This Row],[call count]]/calls[[#This Row],[Purchase Amount]]</f>
        <v>0.48275862068965519</v>
      </c>
    </row>
    <row r="314" spans="1:18" x14ac:dyDescent="0.4">
      <c r="A314" t="s">
        <v>344</v>
      </c>
      <c r="B314" t="s">
        <v>11</v>
      </c>
      <c r="C314">
        <v>133</v>
      </c>
      <c r="D314" s="4" t="s">
        <v>14</v>
      </c>
      <c r="E314" s="5">
        <v>45020</v>
      </c>
      <c r="F314">
        <v>72</v>
      </c>
      <c r="G314">
        <f>AVERAGEIF(calls[Representative], calls[[#This Row],[Representative]], calls[Satisfaction Rating])</f>
        <v>3.9227513227513247</v>
      </c>
      <c r="H314" t="str">
        <f>IF(AVERAGEIF(calls[Representative],calls[[#This Row],[Representative]],calls[Satisfaction Rating])&lt;3.5,"Needs Training","OK")</f>
        <v>OK</v>
      </c>
      <c r="I314">
        <v>4.4000000000000004</v>
      </c>
      <c r="J314">
        <f>IF(MONTH(calls[[#This Row],[Date of Call]])&lt;=6, YEAR(calls[[#This Row],[Date of Call]]), YEAR(calls[[#This Row],[Date of Call]])+1)</f>
        <v>2023</v>
      </c>
      <c r="K314" t="str">
        <f>TEXT(calls[[#This Row],[Date of Call]],"DDDD")</f>
        <v>Tuesday</v>
      </c>
      <c r="L314" t="str" cm="1">
        <f t="array" ref="L314">_xlfn.IFS(calls[[#This Row],[Duration]]&lt;=10,"under 10 mins",calls[[#This Row],[Duration]]&lt;=30,"10 to 30mins",calls[[#This Row],[Duration]]&lt;=60,"60 to 30mins",calls[[#This Row],[Duration]]&lt;=120,"1 to 2hrs",TRUE,"More than 2 hrs")</f>
        <v>More than 2 hrs</v>
      </c>
      <c r="M314">
        <f>ROUND(calls[[#This Row],[Satisfaction Rating]],0)</f>
        <v>4</v>
      </c>
      <c r="N314">
        <f>COUNTIF(calls[Customer ID], calls[[#This Row],[Customer ID]])</f>
        <v>60</v>
      </c>
      <c r="O314">
        <f>SUMIF(calls[Customer ID], calls[[#This Row],[Customer ID]], calls[Purchase Amount])</f>
        <v>5404</v>
      </c>
      <c r="P314">
        <f>calls[[#This Row],[call count]]/calls[[#This Row],[Purchase Amount]]</f>
        <v>0.83333333333333337</v>
      </c>
      <c r="Q314">
        <f>COUNTIF(calls[Customer ID],calls[[#This Row],[Customer ID]])</f>
        <v>60</v>
      </c>
      <c r="R314">
        <f>calls[[#This Row],[call count]]/calls[[#This Row],[Purchase Amount]]</f>
        <v>0.83333333333333337</v>
      </c>
    </row>
    <row r="315" spans="1:18" x14ac:dyDescent="0.4">
      <c r="A315" t="s">
        <v>345</v>
      </c>
      <c r="B315" t="s">
        <v>21</v>
      </c>
      <c r="C315">
        <v>38</v>
      </c>
      <c r="D315" s="4" t="s">
        <v>9</v>
      </c>
      <c r="E315" s="5">
        <v>45021</v>
      </c>
      <c r="F315">
        <v>81</v>
      </c>
      <c r="G315">
        <f>AVERAGEIF(calls[Representative], calls[[#This Row],[Representative]], calls[Satisfaction Rating])</f>
        <v>3.8706422018348627</v>
      </c>
      <c r="H315" t="str">
        <f>IF(AVERAGEIF(calls[Representative],calls[[#This Row],[Representative]],calls[Satisfaction Rating])&lt;3.5,"Needs Training","OK")</f>
        <v>OK</v>
      </c>
      <c r="I315">
        <v>3.6</v>
      </c>
      <c r="J315">
        <f>IF(MONTH(calls[[#This Row],[Date of Call]])&lt;=6, YEAR(calls[[#This Row],[Date of Call]]), YEAR(calls[[#This Row],[Date of Call]])+1)</f>
        <v>2023</v>
      </c>
      <c r="K315" t="str">
        <f>TEXT(calls[[#This Row],[Date of Call]],"DDDD")</f>
        <v>Wednesday</v>
      </c>
      <c r="L315" t="str" cm="1">
        <f t="array" ref="L315">_xlfn.IFS(calls[[#This Row],[Duration]]&lt;=10,"under 10 mins",calls[[#This Row],[Duration]]&lt;=30,"10 to 30mins",calls[[#This Row],[Duration]]&lt;=60,"60 to 30mins",calls[[#This Row],[Duration]]&lt;=120,"1 to 2hrs",TRUE,"More than 2 hrs")</f>
        <v>60 to 30mins</v>
      </c>
      <c r="M315">
        <f>ROUND(calls[[#This Row],[Satisfaction Rating]],0)</f>
        <v>4</v>
      </c>
      <c r="N315">
        <f>COUNTIF(calls[Customer ID], calls[[#This Row],[Customer ID]])</f>
        <v>67</v>
      </c>
      <c r="O315">
        <f>SUMIF(calls[Customer ID], calls[[#This Row],[Customer ID]], calls[Purchase Amount])</f>
        <v>7216</v>
      </c>
      <c r="P315">
        <f>calls[[#This Row],[call count]]/calls[[#This Row],[Purchase Amount]]</f>
        <v>0.8271604938271605</v>
      </c>
      <c r="Q315">
        <f>COUNTIF(calls[Customer ID],calls[[#This Row],[Customer ID]])</f>
        <v>67</v>
      </c>
      <c r="R315">
        <f>calls[[#This Row],[call count]]/calls[[#This Row],[Purchase Amount]]</f>
        <v>0.8271604938271605</v>
      </c>
    </row>
    <row r="316" spans="1:18" x14ac:dyDescent="0.4">
      <c r="A316" t="s">
        <v>346</v>
      </c>
      <c r="B316" t="s">
        <v>51</v>
      </c>
      <c r="C316">
        <v>130</v>
      </c>
      <c r="D316" s="4" t="s">
        <v>27</v>
      </c>
      <c r="E316" s="5">
        <v>45021</v>
      </c>
      <c r="F316">
        <v>54</v>
      </c>
      <c r="G316">
        <f>AVERAGEIF(calls[Representative], calls[[#This Row],[Representative]], calls[Satisfaction Rating])</f>
        <v>3.8589371980676304</v>
      </c>
      <c r="H316" t="str">
        <f>IF(AVERAGEIF(calls[Representative],calls[[#This Row],[Representative]],calls[Satisfaction Rating])&lt;3.5,"Needs Training","OK")</f>
        <v>OK</v>
      </c>
      <c r="I316">
        <v>4.0999999999999996</v>
      </c>
      <c r="J316">
        <f>IF(MONTH(calls[[#This Row],[Date of Call]])&lt;=6, YEAR(calls[[#This Row],[Date of Call]]), YEAR(calls[[#This Row],[Date of Call]])+1)</f>
        <v>2023</v>
      </c>
      <c r="K316" t="str">
        <f>TEXT(calls[[#This Row],[Date of Call]],"DDDD")</f>
        <v>Wednesday</v>
      </c>
      <c r="L316" t="str" cm="1">
        <f t="array" ref="L316">_xlfn.IFS(calls[[#This Row],[Duration]]&lt;=10,"under 10 mins",calls[[#This Row],[Duration]]&lt;=30,"10 to 30mins",calls[[#This Row],[Duration]]&lt;=60,"60 to 30mins",calls[[#This Row],[Duration]]&lt;=120,"1 to 2hrs",TRUE,"More than 2 hrs")</f>
        <v>More than 2 hrs</v>
      </c>
      <c r="M316">
        <f>ROUND(calls[[#This Row],[Satisfaction Rating]],0)</f>
        <v>4</v>
      </c>
      <c r="N316">
        <f>COUNTIF(calls[Customer ID], calls[[#This Row],[Customer ID]])</f>
        <v>59</v>
      </c>
      <c r="O316">
        <f>SUMIF(calls[Customer ID], calls[[#This Row],[Customer ID]], calls[Purchase Amount])</f>
        <v>6518</v>
      </c>
      <c r="P316">
        <f>calls[[#This Row],[call count]]/calls[[#This Row],[Purchase Amount]]</f>
        <v>1.0925925925925926</v>
      </c>
      <c r="Q316">
        <f>COUNTIF(calls[Customer ID],calls[[#This Row],[Customer ID]])</f>
        <v>59</v>
      </c>
      <c r="R316">
        <f>calls[[#This Row],[call count]]/calls[[#This Row],[Purchase Amount]]</f>
        <v>1.0925925925925926</v>
      </c>
    </row>
    <row r="317" spans="1:18" x14ac:dyDescent="0.4">
      <c r="A317" t="s">
        <v>347</v>
      </c>
      <c r="B317" t="s">
        <v>30</v>
      </c>
      <c r="C317">
        <v>23</v>
      </c>
      <c r="D317" s="4" t="s">
        <v>14</v>
      </c>
      <c r="E317" s="5">
        <v>45021</v>
      </c>
      <c r="F317">
        <v>105</v>
      </c>
      <c r="G317">
        <f>AVERAGEIF(calls[Representative], calls[[#This Row],[Representative]], calls[Satisfaction Rating])</f>
        <v>3.9227513227513247</v>
      </c>
      <c r="H317" t="str">
        <f>IF(AVERAGEIF(calls[Representative],calls[[#This Row],[Representative]],calls[Satisfaction Rating])&lt;3.5,"Needs Training","OK")</f>
        <v>OK</v>
      </c>
      <c r="I317">
        <v>4.8</v>
      </c>
      <c r="J317">
        <f>IF(MONTH(calls[[#This Row],[Date of Call]])&lt;=6, YEAR(calls[[#This Row],[Date of Call]]), YEAR(calls[[#This Row],[Date of Call]])+1)</f>
        <v>2023</v>
      </c>
      <c r="K317" t="str">
        <f>TEXT(calls[[#This Row],[Date of Call]],"DDDD")</f>
        <v>Wednesday</v>
      </c>
      <c r="L317" t="str" cm="1">
        <f t="array" ref="L317">_xlfn.IFS(calls[[#This Row],[Duration]]&lt;=10,"under 10 mins",calls[[#This Row],[Duration]]&lt;=30,"10 to 30mins",calls[[#This Row],[Duration]]&lt;=60,"60 to 30mins",calls[[#This Row],[Duration]]&lt;=120,"1 to 2hrs",TRUE,"More than 2 hrs")</f>
        <v>10 to 30mins</v>
      </c>
      <c r="M317">
        <f>ROUND(calls[[#This Row],[Satisfaction Rating]],0)</f>
        <v>5</v>
      </c>
      <c r="N317">
        <f>COUNTIF(calls[Customer ID], calls[[#This Row],[Customer ID]])</f>
        <v>69</v>
      </c>
      <c r="O317">
        <f>SUMIF(calls[Customer ID], calls[[#This Row],[Customer ID]], calls[Purchase Amount])</f>
        <v>7230</v>
      </c>
      <c r="P317">
        <f>calls[[#This Row],[call count]]/calls[[#This Row],[Purchase Amount]]</f>
        <v>0.65714285714285714</v>
      </c>
      <c r="Q317">
        <f>COUNTIF(calls[Customer ID],calls[[#This Row],[Customer ID]])</f>
        <v>69</v>
      </c>
      <c r="R317">
        <f>calls[[#This Row],[call count]]/calls[[#This Row],[Purchase Amount]]</f>
        <v>0.65714285714285714</v>
      </c>
    </row>
    <row r="318" spans="1:18" x14ac:dyDescent="0.4">
      <c r="A318" t="s">
        <v>348</v>
      </c>
      <c r="B318" t="s">
        <v>51</v>
      </c>
      <c r="C318">
        <v>124</v>
      </c>
      <c r="D318" s="4" t="s">
        <v>9</v>
      </c>
      <c r="E318" s="5">
        <v>45022</v>
      </c>
      <c r="F318">
        <v>176</v>
      </c>
      <c r="G318">
        <f>AVERAGEIF(calls[Representative], calls[[#This Row],[Representative]], calls[Satisfaction Rating])</f>
        <v>3.8706422018348627</v>
      </c>
      <c r="H318" t="str">
        <f>IF(AVERAGEIF(calls[Representative],calls[[#This Row],[Representative]],calls[Satisfaction Rating])&lt;3.5,"Needs Training","OK")</f>
        <v>OK</v>
      </c>
      <c r="I318">
        <v>3.9</v>
      </c>
      <c r="J318">
        <f>IF(MONTH(calls[[#This Row],[Date of Call]])&lt;=6, YEAR(calls[[#This Row],[Date of Call]]), YEAR(calls[[#This Row],[Date of Call]])+1)</f>
        <v>2023</v>
      </c>
      <c r="K318" t="str">
        <f>TEXT(calls[[#This Row],[Date of Call]],"DDDD")</f>
        <v>Thursday</v>
      </c>
      <c r="L318" t="str" cm="1">
        <f t="array" ref="L318">_xlfn.IFS(calls[[#This Row],[Duration]]&lt;=10,"under 10 mins",calls[[#This Row],[Duration]]&lt;=30,"10 to 30mins",calls[[#This Row],[Duration]]&lt;=60,"60 to 30mins",calls[[#This Row],[Duration]]&lt;=120,"1 to 2hrs",TRUE,"More than 2 hrs")</f>
        <v>More than 2 hrs</v>
      </c>
      <c r="M318">
        <f>ROUND(calls[[#This Row],[Satisfaction Rating]],0)</f>
        <v>4</v>
      </c>
      <c r="N318">
        <f>COUNTIF(calls[Customer ID], calls[[#This Row],[Customer ID]])</f>
        <v>59</v>
      </c>
      <c r="O318">
        <f>SUMIF(calls[Customer ID], calls[[#This Row],[Customer ID]], calls[Purchase Amount])</f>
        <v>6518</v>
      </c>
      <c r="P318">
        <f>calls[[#This Row],[call count]]/calls[[#This Row],[Purchase Amount]]</f>
        <v>0.33522727272727271</v>
      </c>
      <c r="Q318">
        <f>COUNTIF(calls[Customer ID],calls[[#This Row],[Customer ID]])</f>
        <v>59</v>
      </c>
      <c r="R318">
        <f>calls[[#This Row],[call count]]/calls[[#This Row],[Purchase Amount]]</f>
        <v>0.33522727272727271</v>
      </c>
    </row>
    <row r="319" spans="1:18" x14ac:dyDescent="0.4">
      <c r="A319" t="s">
        <v>349</v>
      </c>
      <c r="B319" t="s">
        <v>8</v>
      </c>
      <c r="C319">
        <v>107</v>
      </c>
      <c r="D319" s="4" t="s">
        <v>9</v>
      </c>
      <c r="E319" s="5">
        <v>45022</v>
      </c>
      <c r="F319">
        <v>115</v>
      </c>
      <c r="G319">
        <f>AVERAGEIF(calls[Representative], calls[[#This Row],[Representative]], calls[Satisfaction Rating])</f>
        <v>3.8706422018348627</v>
      </c>
      <c r="H319" t="str">
        <f>IF(AVERAGEIF(calls[Representative],calls[[#This Row],[Representative]],calls[Satisfaction Rating])&lt;3.5,"Needs Training","OK")</f>
        <v>OK</v>
      </c>
      <c r="I319">
        <v>3.8</v>
      </c>
      <c r="J319">
        <f>IF(MONTH(calls[[#This Row],[Date of Call]])&lt;=6, YEAR(calls[[#This Row],[Date of Call]]), YEAR(calls[[#This Row],[Date of Call]])+1)</f>
        <v>2023</v>
      </c>
      <c r="K319" t="str">
        <f>TEXT(calls[[#This Row],[Date of Call]],"DDDD")</f>
        <v>Thursday</v>
      </c>
      <c r="L319" t="str" cm="1">
        <f t="array" ref="L319">_xlfn.IFS(calls[[#This Row],[Duration]]&lt;=10,"under 10 mins",calls[[#This Row],[Duration]]&lt;=30,"10 to 30mins",calls[[#This Row],[Duration]]&lt;=60,"60 to 30mins",calls[[#This Row],[Duration]]&lt;=120,"1 to 2hrs",TRUE,"More than 2 hrs")</f>
        <v>1 to 2hrs</v>
      </c>
      <c r="M319">
        <f>ROUND(calls[[#This Row],[Satisfaction Rating]],0)</f>
        <v>4</v>
      </c>
      <c r="N319">
        <f>COUNTIF(calls[Customer ID], calls[[#This Row],[Customer ID]])</f>
        <v>79</v>
      </c>
      <c r="O319">
        <f>SUMIF(calls[Customer ID], calls[[#This Row],[Customer ID]], calls[Purchase Amount])</f>
        <v>7747</v>
      </c>
      <c r="P319">
        <f>calls[[#This Row],[call count]]/calls[[#This Row],[Purchase Amount]]</f>
        <v>0.68695652173913047</v>
      </c>
      <c r="Q319">
        <f>COUNTIF(calls[Customer ID],calls[[#This Row],[Customer ID]])</f>
        <v>79</v>
      </c>
      <c r="R319">
        <f>calls[[#This Row],[call count]]/calls[[#This Row],[Purchase Amount]]</f>
        <v>0.68695652173913047</v>
      </c>
    </row>
    <row r="320" spans="1:18" x14ac:dyDescent="0.4">
      <c r="A320" t="s">
        <v>350</v>
      </c>
      <c r="B320" t="s">
        <v>44</v>
      </c>
      <c r="C320">
        <v>60</v>
      </c>
      <c r="D320" s="4" t="s">
        <v>2</v>
      </c>
      <c r="E320" s="5">
        <v>45022</v>
      </c>
      <c r="F320">
        <v>116</v>
      </c>
      <c r="G320">
        <f>AVERAGEIF(calls[Representative], calls[[#This Row],[Representative]], calls[Satisfaction Rating])</f>
        <v>3.8824999999999998</v>
      </c>
      <c r="H320" t="str">
        <f>IF(AVERAGEIF(calls[Representative],calls[[#This Row],[Representative]],calls[Satisfaction Rating])&lt;3.5,"Needs Training","OK")</f>
        <v>OK</v>
      </c>
      <c r="I320">
        <v>3.9</v>
      </c>
      <c r="J320">
        <f>IF(MONTH(calls[[#This Row],[Date of Call]])&lt;=6, YEAR(calls[[#This Row],[Date of Call]]), YEAR(calls[[#This Row],[Date of Call]])+1)</f>
        <v>2023</v>
      </c>
      <c r="K320" t="str">
        <f>TEXT(calls[[#This Row],[Date of Call]],"DDDD")</f>
        <v>Thursday</v>
      </c>
      <c r="L320" t="str" cm="1">
        <f t="array" ref="L320">_xlfn.IFS(calls[[#This Row],[Duration]]&lt;=10,"under 10 mins",calls[[#This Row],[Duration]]&lt;=30,"10 to 30mins",calls[[#This Row],[Duration]]&lt;=60,"60 to 30mins",calls[[#This Row],[Duration]]&lt;=120,"1 to 2hrs",TRUE,"More than 2 hrs")</f>
        <v>60 to 30mins</v>
      </c>
      <c r="M320">
        <f>ROUND(calls[[#This Row],[Satisfaction Rating]],0)</f>
        <v>4</v>
      </c>
      <c r="N320">
        <f>COUNTIF(calls[Customer ID], calls[[#This Row],[Customer ID]])</f>
        <v>62</v>
      </c>
      <c r="O320">
        <f>SUMIF(calls[Customer ID], calls[[#This Row],[Customer ID]], calls[Purchase Amount])</f>
        <v>6176</v>
      </c>
      <c r="P320">
        <f>calls[[#This Row],[call count]]/calls[[#This Row],[Purchase Amount]]</f>
        <v>0.53448275862068961</v>
      </c>
      <c r="Q320">
        <f>COUNTIF(calls[Customer ID],calls[[#This Row],[Customer ID]])</f>
        <v>62</v>
      </c>
      <c r="R320">
        <f>calls[[#This Row],[call count]]/calls[[#This Row],[Purchase Amount]]</f>
        <v>0.53448275862068961</v>
      </c>
    </row>
    <row r="321" spans="1:18" x14ac:dyDescent="0.4">
      <c r="A321" t="s">
        <v>351</v>
      </c>
      <c r="B321" t="s">
        <v>44</v>
      </c>
      <c r="C321">
        <v>158</v>
      </c>
      <c r="D321" s="4" t="s">
        <v>27</v>
      </c>
      <c r="E321" s="5">
        <v>45022</v>
      </c>
      <c r="F321">
        <v>100</v>
      </c>
      <c r="G321">
        <f>AVERAGEIF(calls[Representative], calls[[#This Row],[Representative]], calls[Satisfaction Rating])</f>
        <v>3.8589371980676304</v>
      </c>
      <c r="H321" t="str">
        <f>IF(AVERAGEIF(calls[Representative],calls[[#This Row],[Representative]],calls[Satisfaction Rating])&lt;3.5,"Needs Training","OK")</f>
        <v>OK</v>
      </c>
      <c r="I321">
        <v>4.0999999999999996</v>
      </c>
      <c r="J321">
        <f>IF(MONTH(calls[[#This Row],[Date of Call]])&lt;=6, YEAR(calls[[#This Row],[Date of Call]]), YEAR(calls[[#This Row],[Date of Call]])+1)</f>
        <v>2023</v>
      </c>
      <c r="K321" t="str">
        <f>TEXT(calls[[#This Row],[Date of Call]],"DDDD")</f>
        <v>Thursday</v>
      </c>
      <c r="L321" t="str" cm="1">
        <f t="array" ref="L321">_xlfn.IFS(calls[[#This Row],[Duration]]&lt;=10,"under 10 mins",calls[[#This Row],[Duration]]&lt;=30,"10 to 30mins",calls[[#This Row],[Duration]]&lt;=60,"60 to 30mins",calls[[#This Row],[Duration]]&lt;=120,"1 to 2hrs",TRUE,"More than 2 hrs")</f>
        <v>More than 2 hrs</v>
      </c>
      <c r="M321">
        <f>ROUND(calls[[#This Row],[Satisfaction Rating]],0)</f>
        <v>4</v>
      </c>
      <c r="N321">
        <f>COUNTIF(calls[Customer ID], calls[[#This Row],[Customer ID]])</f>
        <v>62</v>
      </c>
      <c r="O321">
        <f>SUMIF(calls[Customer ID], calls[[#This Row],[Customer ID]], calls[Purchase Amount])</f>
        <v>6176</v>
      </c>
      <c r="P321">
        <f>calls[[#This Row],[call count]]/calls[[#This Row],[Purchase Amount]]</f>
        <v>0.62</v>
      </c>
      <c r="Q321">
        <f>COUNTIF(calls[Customer ID],calls[[#This Row],[Customer ID]])</f>
        <v>62</v>
      </c>
      <c r="R321">
        <f>calls[[#This Row],[call count]]/calls[[#This Row],[Purchase Amount]]</f>
        <v>0.62</v>
      </c>
    </row>
    <row r="322" spans="1:18" x14ac:dyDescent="0.4">
      <c r="A322" t="s">
        <v>352</v>
      </c>
      <c r="B322" t="s">
        <v>40</v>
      </c>
      <c r="C322">
        <v>110</v>
      </c>
      <c r="D322" s="4" t="s">
        <v>27</v>
      </c>
      <c r="E322" s="5">
        <v>45023</v>
      </c>
      <c r="F322">
        <v>36</v>
      </c>
      <c r="G322">
        <f>AVERAGEIF(calls[Representative], calls[[#This Row],[Representative]], calls[Satisfaction Rating])</f>
        <v>3.8589371980676304</v>
      </c>
      <c r="H322" t="str">
        <f>IF(AVERAGEIF(calls[Representative],calls[[#This Row],[Representative]],calls[Satisfaction Rating])&lt;3.5,"Needs Training","OK")</f>
        <v>OK</v>
      </c>
      <c r="I322">
        <v>2.2000000000000002</v>
      </c>
      <c r="J322">
        <f>IF(MONTH(calls[[#This Row],[Date of Call]])&lt;=6, YEAR(calls[[#This Row],[Date of Call]]), YEAR(calls[[#This Row],[Date of Call]])+1)</f>
        <v>2023</v>
      </c>
      <c r="K322" t="str">
        <f>TEXT(calls[[#This Row],[Date of Call]],"DDDD")</f>
        <v>Friday</v>
      </c>
      <c r="L322" t="str" cm="1">
        <f t="array" ref="L322">_xlfn.IFS(calls[[#This Row],[Duration]]&lt;=10,"under 10 mins",calls[[#This Row],[Duration]]&lt;=30,"10 to 30mins",calls[[#This Row],[Duration]]&lt;=60,"60 to 30mins",calls[[#This Row],[Duration]]&lt;=120,"1 to 2hrs",TRUE,"More than 2 hrs")</f>
        <v>1 to 2hrs</v>
      </c>
      <c r="M322">
        <f>ROUND(calls[[#This Row],[Satisfaction Rating]],0)</f>
        <v>2</v>
      </c>
      <c r="N322">
        <f>COUNTIF(calls[Customer ID], calls[[#This Row],[Customer ID]])</f>
        <v>69</v>
      </c>
      <c r="O322">
        <f>SUMIF(calls[Customer ID], calls[[#This Row],[Customer ID]], calls[Purchase Amount])</f>
        <v>6601</v>
      </c>
      <c r="P322">
        <f>calls[[#This Row],[call count]]/calls[[#This Row],[Purchase Amount]]</f>
        <v>1.9166666666666667</v>
      </c>
      <c r="Q322">
        <f>COUNTIF(calls[Customer ID],calls[[#This Row],[Customer ID]])</f>
        <v>69</v>
      </c>
      <c r="R322">
        <f>calls[[#This Row],[call count]]/calls[[#This Row],[Purchase Amount]]</f>
        <v>1.9166666666666667</v>
      </c>
    </row>
    <row r="323" spans="1:18" x14ac:dyDescent="0.4">
      <c r="A323" t="s">
        <v>353</v>
      </c>
      <c r="B323" t="s">
        <v>64</v>
      </c>
      <c r="C323">
        <v>70</v>
      </c>
      <c r="D323" s="4" t="s">
        <v>27</v>
      </c>
      <c r="E323" s="5">
        <v>45023</v>
      </c>
      <c r="F323">
        <v>114</v>
      </c>
      <c r="G323">
        <f>AVERAGEIF(calls[Representative], calls[[#This Row],[Representative]], calls[Satisfaction Rating])</f>
        <v>3.8589371980676304</v>
      </c>
      <c r="H323" t="str">
        <f>IF(AVERAGEIF(calls[Representative],calls[[#This Row],[Representative]],calls[Satisfaction Rating])&lt;3.5,"Needs Training","OK")</f>
        <v>OK</v>
      </c>
      <c r="I323">
        <v>5</v>
      </c>
      <c r="J323">
        <f>IF(MONTH(calls[[#This Row],[Date of Call]])&lt;=6, YEAR(calls[[#This Row],[Date of Call]]), YEAR(calls[[#This Row],[Date of Call]])+1)</f>
        <v>2023</v>
      </c>
      <c r="K323" t="str">
        <f>TEXT(calls[[#This Row],[Date of Call]],"DDDD")</f>
        <v>Friday</v>
      </c>
      <c r="L323" t="str" cm="1">
        <f t="array" ref="L323">_xlfn.IFS(calls[[#This Row],[Duration]]&lt;=10,"under 10 mins",calls[[#This Row],[Duration]]&lt;=30,"10 to 30mins",calls[[#This Row],[Duration]]&lt;=60,"60 to 30mins",calls[[#This Row],[Duration]]&lt;=120,"1 to 2hrs",TRUE,"More than 2 hrs")</f>
        <v>1 to 2hrs</v>
      </c>
      <c r="M323">
        <f>ROUND(calls[[#This Row],[Satisfaction Rating]],0)</f>
        <v>5</v>
      </c>
      <c r="N323">
        <f>COUNTIF(calls[Customer ID], calls[[#This Row],[Customer ID]])</f>
        <v>65</v>
      </c>
      <c r="O323">
        <f>SUMIF(calls[Customer ID], calls[[#This Row],[Customer ID]], calls[Purchase Amount])</f>
        <v>6785</v>
      </c>
      <c r="P323">
        <f>calls[[#This Row],[call count]]/calls[[#This Row],[Purchase Amount]]</f>
        <v>0.57017543859649122</v>
      </c>
      <c r="Q323">
        <f>COUNTIF(calls[Customer ID],calls[[#This Row],[Customer ID]])</f>
        <v>65</v>
      </c>
      <c r="R323">
        <f>calls[[#This Row],[call count]]/calls[[#This Row],[Purchase Amount]]</f>
        <v>0.57017543859649122</v>
      </c>
    </row>
    <row r="324" spans="1:18" x14ac:dyDescent="0.4">
      <c r="A324" t="s">
        <v>354</v>
      </c>
      <c r="B324" t="s">
        <v>64</v>
      </c>
      <c r="C324">
        <v>150</v>
      </c>
      <c r="D324" s="4" t="s">
        <v>2</v>
      </c>
      <c r="E324" s="5">
        <v>45023</v>
      </c>
      <c r="F324">
        <v>24</v>
      </c>
      <c r="G324">
        <f>AVERAGEIF(calls[Representative], calls[[#This Row],[Representative]], calls[Satisfaction Rating])</f>
        <v>3.8824999999999998</v>
      </c>
      <c r="H324" t="str">
        <f>IF(AVERAGEIF(calls[Representative],calls[[#This Row],[Representative]],calls[Satisfaction Rating])&lt;3.5,"Needs Training","OK")</f>
        <v>OK</v>
      </c>
      <c r="I324">
        <v>3.8</v>
      </c>
      <c r="J324">
        <f>IF(MONTH(calls[[#This Row],[Date of Call]])&lt;=6, YEAR(calls[[#This Row],[Date of Call]]), YEAR(calls[[#This Row],[Date of Call]])+1)</f>
        <v>2023</v>
      </c>
      <c r="K324" t="str">
        <f>TEXT(calls[[#This Row],[Date of Call]],"DDDD")</f>
        <v>Friday</v>
      </c>
      <c r="L324" t="str" cm="1">
        <f t="array" ref="L324">_xlfn.IFS(calls[[#This Row],[Duration]]&lt;=10,"under 10 mins",calls[[#This Row],[Duration]]&lt;=30,"10 to 30mins",calls[[#This Row],[Duration]]&lt;=60,"60 to 30mins",calls[[#This Row],[Duration]]&lt;=120,"1 to 2hrs",TRUE,"More than 2 hrs")</f>
        <v>More than 2 hrs</v>
      </c>
      <c r="M324">
        <f>ROUND(calls[[#This Row],[Satisfaction Rating]],0)</f>
        <v>4</v>
      </c>
      <c r="N324">
        <f>COUNTIF(calls[Customer ID], calls[[#This Row],[Customer ID]])</f>
        <v>65</v>
      </c>
      <c r="O324">
        <f>SUMIF(calls[Customer ID], calls[[#This Row],[Customer ID]], calls[Purchase Amount])</f>
        <v>6785</v>
      </c>
      <c r="P324">
        <f>calls[[#This Row],[call count]]/calls[[#This Row],[Purchase Amount]]</f>
        <v>2.7083333333333335</v>
      </c>
      <c r="Q324">
        <f>COUNTIF(calls[Customer ID],calls[[#This Row],[Customer ID]])</f>
        <v>65</v>
      </c>
      <c r="R324">
        <f>calls[[#This Row],[call count]]/calls[[#This Row],[Purchase Amount]]</f>
        <v>2.7083333333333335</v>
      </c>
    </row>
    <row r="325" spans="1:18" x14ac:dyDescent="0.4">
      <c r="A325" t="s">
        <v>355</v>
      </c>
      <c r="B325" t="s">
        <v>21</v>
      </c>
      <c r="C325">
        <v>36</v>
      </c>
      <c r="D325" s="4" t="s">
        <v>9</v>
      </c>
      <c r="E325" s="5">
        <v>45023</v>
      </c>
      <c r="F325">
        <v>135</v>
      </c>
      <c r="G325">
        <f>AVERAGEIF(calls[Representative], calls[[#This Row],[Representative]], calls[Satisfaction Rating])</f>
        <v>3.8706422018348627</v>
      </c>
      <c r="H325" t="str">
        <f>IF(AVERAGEIF(calls[Representative],calls[[#This Row],[Representative]],calls[Satisfaction Rating])&lt;3.5,"Needs Training","OK")</f>
        <v>OK</v>
      </c>
      <c r="I325">
        <v>4.5999999999999996</v>
      </c>
      <c r="J325">
        <f>IF(MONTH(calls[[#This Row],[Date of Call]])&lt;=6, YEAR(calls[[#This Row],[Date of Call]]), YEAR(calls[[#This Row],[Date of Call]])+1)</f>
        <v>2023</v>
      </c>
      <c r="K325" t="str">
        <f>TEXT(calls[[#This Row],[Date of Call]],"DDDD")</f>
        <v>Friday</v>
      </c>
      <c r="L325" t="str" cm="1">
        <f t="array" ref="L325">_xlfn.IFS(calls[[#This Row],[Duration]]&lt;=10,"under 10 mins",calls[[#This Row],[Duration]]&lt;=30,"10 to 30mins",calls[[#This Row],[Duration]]&lt;=60,"60 to 30mins",calls[[#This Row],[Duration]]&lt;=120,"1 to 2hrs",TRUE,"More than 2 hrs")</f>
        <v>60 to 30mins</v>
      </c>
      <c r="M325">
        <f>ROUND(calls[[#This Row],[Satisfaction Rating]],0)</f>
        <v>5</v>
      </c>
      <c r="N325">
        <f>COUNTIF(calls[Customer ID], calls[[#This Row],[Customer ID]])</f>
        <v>67</v>
      </c>
      <c r="O325">
        <f>SUMIF(calls[Customer ID], calls[[#This Row],[Customer ID]], calls[Purchase Amount])</f>
        <v>7216</v>
      </c>
      <c r="P325">
        <f>calls[[#This Row],[call count]]/calls[[#This Row],[Purchase Amount]]</f>
        <v>0.49629629629629629</v>
      </c>
      <c r="Q325">
        <f>COUNTIF(calls[Customer ID],calls[[#This Row],[Customer ID]])</f>
        <v>67</v>
      </c>
      <c r="R325">
        <f>calls[[#This Row],[call count]]/calls[[#This Row],[Purchase Amount]]</f>
        <v>0.49629629629629629</v>
      </c>
    </row>
    <row r="326" spans="1:18" x14ac:dyDescent="0.4">
      <c r="A326" t="s">
        <v>356</v>
      </c>
      <c r="B326" t="s">
        <v>51</v>
      </c>
      <c r="C326">
        <v>74</v>
      </c>
      <c r="D326" s="4" t="s">
        <v>9</v>
      </c>
      <c r="E326" s="5">
        <v>45023</v>
      </c>
      <c r="F326">
        <v>30</v>
      </c>
      <c r="G326">
        <f>AVERAGEIF(calls[Representative], calls[[#This Row],[Representative]], calls[Satisfaction Rating])</f>
        <v>3.8706422018348627</v>
      </c>
      <c r="H326" t="str">
        <f>IF(AVERAGEIF(calls[Representative],calls[[#This Row],[Representative]],calls[Satisfaction Rating])&lt;3.5,"Needs Training","OK")</f>
        <v>OK</v>
      </c>
      <c r="I326">
        <v>4</v>
      </c>
      <c r="J326">
        <f>IF(MONTH(calls[[#This Row],[Date of Call]])&lt;=6, YEAR(calls[[#This Row],[Date of Call]]), YEAR(calls[[#This Row],[Date of Call]])+1)</f>
        <v>2023</v>
      </c>
      <c r="K326" t="str">
        <f>TEXT(calls[[#This Row],[Date of Call]],"DDDD")</f>
        <v>Friday</v>
      </c>
      <c r="L326" t="str" cm="1">
        <f t="array" ref="L326">_xlfn.IFS(calls[[#This Row],[Duration]]&lt;=10,"under 10 mins",calls[[#This Row],[Duration]]&lt;=30,"10 to 30mins",calls[[#This Row],[Duration]]&lt;=60,"60 to 30mins",calls[[#This Row],[Duration]]&lt;=120,"1 to 2hrs",TRUE,"More than 2 hrs")</f>
        <v>1 to 2hrs</v>
      </c>
      <c r="M326">
        <f>ROUND(calls[[#This Row],[Satisfaction Rating]],0)</f>
        <v>4</v>
      </c>
      <c r="N326">
        <f>COUNTIF(calls[Customer ID], calls[[#This Row],[Customer ID]])</f>
        <v>59</v>
      </c>
      <c r="O326">
        <f>SUMIF(calls[Customer ID], calls[[#This Row],[Customer ID]], calls[Purchase Amount])</f>
        <v>6518</v>
      </c>
      <c r="P326">
        <f>calls[[#This Row],[call count]]/calls[[#This Row],[Purchase Amount]]</f>
        <v>1.9666666666666666</v>
      </c>
      <c r="Q326">
        <f>COUNTIF(calls[Customer ID],calls[[#This Row],[Customer ID]])</f>
        <v>59</v>
      </c>
      <c r="R326">
        <f>calls[[#This Row],[call count]]/calls[[#This Row],[Purchase Amount]]</f>
        <v>1.9666666666666666</v>
      </c>
    </row>
    <row r="327" spans="1:18" x14ac:dyDescent="0.4">
      <c r="A327" t="s">
        <v>357</v>
      </c>
      <c r="B327" t="s">
        <v>6</v>
      </c>
      <c r="C327">
        <v>75</v>
      </c>
      <c r="D327" s="4" t="s">
        <v>9</v>
      </c>
      <c r="E327" s="5">
        <v>45023</v>
      </c>
      <c r="F327">
        <v>84</v>
      </c>
      <c r="G327">
        <f>AVERAGEIF(calls[Representative], calls[[#This Row],[Representative]], calls[Satisfaction Rating])</f>
        <v>3.8706422018348627</v>
      </c>
      <c r="H327" t="str">
        <f>IF(AVERAGEIF(calls[Representative],calls[[#This Row],[Representative]],calls[Satisfaction Rating])&lt;3.5,"Needs Training","OK")</f>
        <v>OK</v>
      </c>
      <c r="I327">
        <v>2.8</v>
      </c>
      <c r="J327">
        <f>IF(MONTH(calls[[#This Row],[Date of Call]])&lt;=6, YEAR(calls[[#This Row],[Date of Call]]), YEAR(calls[[#This Row],[Date of Call]])+1)</f>
        <v>2023</v>
      </c>
      <c r="K327" t="str">
        <f>TEXT(calls[[#This Row],[Date of Call]],"DDDD")</f>
        <v>Friday</v>
      </c>
      <c r="L327" t="str" cm="1">
        <f t="array" ref="L327">_xlfn.IFS(calls[[#This Row],[Duration]]&lt;=10,"under 10 mins",calls[[#This Row],[Duration]]&lt;=30,"10 to 30mins",calls[[#This Row],[Duration]]&lt;=60,"60 to 30mins",calls[[#This Row],[Duration]]&lt;=120,"1 to 2hrs",TRUE,"More than 2 hrs")</f>
        <v>1 to 2hrs</v>
      </c>
      <c r="M327">
        <f>ROUND(calls[[#This Row],[Satisfaction Rating]],0)</f>
        <v>3</v>
      </c>
      <c r="N327">
        <f>COUNTIF(calls[Customer ID], calls[[#This Row],[Customer ID]])</f>
        <v>82</v>
      </c>
      <c r="O327">
        <f>SUMIF(calls[Customer ID], calls[[#This Row],[Customer ID]], calls[Purchase Amount])</f>
        <v>7689</v>
      </c>
      <c r="P327">
        <f>calls[[#This Row],[call count]]/calls[[#This Row],[Purchase Amount]]</f>
        <v>0.97619047619047616</v>
      </c>
      <c r="Q327">
        <f>COUNTIF(calls[Customer ID],calls[[#This Row],[Customer ID]])</f>
        <v>82</v>
      </c>
      <c r="R327">
        <f>calls[[#This Row],[call count]]/calls[[#This Row],[Purchase Amount]]</f>
        <v>0.97619047619047616</v>
      </c>
    </row>
    <row r="328" spans="1:18" x14ac:dyDescent="0.4">
      <c r="A328" t="s">
        <v>358</v>
      </c>
      <c r="B328" t="s">
        <v>84</v>
      </c>
      <c r="C328">
        <v>70</v>
      </c>
      <c r="D328" s="4" t="s">
        <v>23</v>
      </c>
      <c r="E328" s="5">
        <v>45023</v>
      </c>
      <c r="F328">
        <v>42</v>
      </c>
      <c r="G328">
        <f>AVERAGEIF(calls[Representative], calls[[#This Row],[Representative]], calls[Satisfaction Rating])</f>
        <v>3.8973118279569863</v>
      </c>
      <c r="H328" t="str">
        <f>IF(AVERAGEIF(calls[Representative],calls[[#This Row],[Representative]],calls[Satisfaction Rating])&lt;3.5,"Needs Training","OK")</f>
        <v>OK</v>
      </c>
      <c r="I328">
        <v>4.4000000000000004</v>
      </c>
      <c r="J328">
        <f>IF(MONTH(calls[[#This Row],[Date of Call]])&lt;=6, YEAR(calls[[#This Row],[Date of Call]]), YEAR(calls[[#This Row],[Date of Call]])+1)</f>
        <v>2023</v>
      </c>
      <c r="K328" t="str">
        <f>TEXT(calls[[#This Row],[Date of Call]],"DDDD")</f>
        <v>Friday</v>
      </c>
      <c r="L328" t="str" cm="1">
        <f t="array" ref="L328">_xlfn.IFS(calls[[#This Row],[Duration]]&lt;=10,"under 10 mins",calls[[#This Row],[Duration]]&lt;=30,"10 to 30mins",calls[[#This Row],[Duration]]&lt;=60,"60 to 30mins",calls[[#This Row],[Duration]]&lt;=120,"1 to 2hrs",TRUE,"More than 2 hrs")</f>
        <v>1 to 2hrs</v>
      </c>
      <c r="M328">
        <f>ROUND(calls[[#This Row],[Satisfaction Rating]],0)</f>
        <v>4</v>
      </c>
      <c r="N328">
        <f>COUNTIF(calls[Customer ID], calls[[#This Row],[Customer ID]])</f>
        <v>59</v>
      </c>
      <c r="O328">
        <f>SUMIF(calls[Customer ID], calls[[#This Row],[Customer ID]], calls[Purchase Amount])</f>
        <v>5009</v>
      </c>
      <c r="P328">
        <f>calls[[#This Row],[call count]]/calls[[#This Row],[Purchase Amount]]</f>
        <v>1.4047619047619047</v>
      </c>
      <c r="Q328">
        <f>COUNTIF(calls[Customer ID],calls[[#This Row],[Customer ID]])</f>
        <v>59</v>
      </c>
      <c r="R328">
        <f>calls[[#This Row],[call count]]/calls[[#This Row],[Purchase Amount]]</f>
        <v>1.4047619047619047</v>
      </c>
    </row>
    <row r="329" spans="1:18" x14ac:dyDescent="0.4">
      <c r="A329" t="s">
        <v>359</v>
      </c>
      <c r="B329" t="s">
        <v>40</v>
      </c>
      <c r="C329">
        <v>23</v>
      </c>
      <c r="D329" s="4" t="s">
        <v>27</v>
      </c>
      <c r="E329" s="5">
        <v>45023</v>
      </c>
      <c r="F329">
        <v>117</v>
      </c>
      <c r="G329">
        <f>AVERAGEIF(calls[Representative], calls[[#This Row],[Representative]], calls[Satisfaction Rating])</f>
        <v>3.8589371980676304</v>
      </c>
      <c r="H329" t="str">
        <f>IF(AVERAGEIF(calls[Representative],calls[[#This Row],[Representative]],calls[Satisfaction Rating])&lt;3.5,"Needs Training","OK")</f>
        <v>OK</v>
      </c>
      <c r="I329">
        <v>2.4</v>
      </c>
      <c r="J329">
        <f>IF(MONTH(calls[[#This Row],[Date of Call]])&lt;=6, YEAR(calls[[#This Row],[Date of Call]]), YEAR(calls[[#This Row],[Date of Call]])+1)</f>
        <v>2023</v>
      </c>
      <c r="K329" t="str">
        <f>TEXT(calls[[#This Row],[Date of Call]],"DDDD")</f>
        <v>Friday</v>
      </c>
      <c r="L329" t="str" cm="1">
        <f t="array" ref="L329">_xlfn.IFS(calls[[#This Row],[Duration]]&lt;=10,"under 10 mins",calls[[#This Row],[Duration]]&lt;=30,"10 to 30mins",calls[[#This Row],[Duration]]&lt;=60,"60 to 30mins",calls[[#This Row],[Duration]]&lt;=120,"1 to 2hrs",TRUE,"More than 2 hrs")</f>
        <v>10 to 30mins</v>
      </c>
      <c r="M329">
        <f>ROUND(calls[[#This Row],[Satisfaction Rating]],0)</f>
        <v>2</v>
      </c>
      <c r="N329">
        <f>COUNTIF(calls[Customer ID], calls[[#This Row],[Customer ID]])</f>
        <v>69</v>
      </c>
      <c r="O329">
        <f>SUMIF(calls[Customer ID], calls[[#This Row],[Customer ID]], calls[Purchase Amount])</f>
        <v>6601</v>
      </c>
      <c r="P329">
        <f>calls[[#This Row],[call count]]/calls[[#This Row],[Purchase Amount]]</f>
        <v>0.58974358974358976</v>
      </c>
      <c r="Q329">
        <f>COUNTIF(calls[Customer ID],calls[[#This Row],[Customer ID]])</f>
        <v>69</v>
      </c>
      <c r="R329">
        <f>calls[[#This Row],[call count]]/calls[[#This Row],[Purchase Amount]]</f>
        <v>0.58974358974358976</v>
      </c>
    </row>
    <row r="330" spans="1:18" x14ac:dyDescent="0.4">
      <c r="A330" t="s">
        <v>360</v>
      </c>
      <c r="B330" t="s">
        <v>26</v>
      </c>
      <c r="C330">
        <v>104</v>
      </c>
      <c r="D330" s="4" t="s">
        <v>14</v>
      </c>
      <c r="E330" s="5">
        <v>45023</v>
      </c>
      <c r="F330">
        <v>164</v>
      </c>
      <c r="G330">
        <f>AVERAGEIF(calls[Representative], calls[[#This Row],[Representative]], calls[Satisfaction Rating])</f>
        <v>3.9227513227513247</v>
      </c>
      <c r="H330" t="str">
        <f>IF(AVERAGEIF(calls[Representative],calls[[#This Row],[Representative]],calls[Satisfaction Rating])&lt;3.5,"Needs Training","OK")</f>
        <v>OK</v>
      </c>
      <c r="I330">
        <v>4</v>
      </c>
      <c r="J330">
        <f>IF(MONTH(calls[[#This Row],[Date of Call]])&lt;=6, YEAR(calls[[#This Row],[Date of Call]]), YEAR(calls[[#This Row],[Date of Call]])+1)</f>
        <v>2023</v>
      </c>
      <c r="K330" t="str">
        <f>TEXT(calls[[#This Row],[Date of Call]],"DDDD")</f>
        <v>Friday</v>
      </c>
      <c r="L330" t="str" cm="1">
        <f t="array" ref="L330">_xlfn.IFS(calls[[#This Row],[Duration]]&lt;=10,"under 10 mins",calls[[#This Row],[Duration]]&lt;=30,"10 to 30mins",calls[[#This Row],[Duration]]&lt;=60,"60 to 30mins",calls[[#This Row],[Duration]]&lt;=120,"1 to 2hrs",TRUE,"More than 2 hrs")</f>
        <v>1 to 2hrs</v>
      </c>
      <c r="M330">
        <f>ROUND(calls[[#This Row],[Satisfaction Rating]],0)</f>
        <v>4</v>
      </c>
      <c r="N330">
        <f>COUNTIF(calls[Customer ID], calls[[#This Row],[Customer ID]])</f>
        <v>72</v>
      </c>
      <c r="O330">
        <f>SUMIF(calls[Customer ID], calls[[#This Row],[Customer ID]], calls[Purchase Amount])</f>
        <v>6242</v>
      </c>
      <c r="P330">
        <f>calls[[#This Row],[call count]]/calls[[#This Row],[Purchase Amount]]</f>
        <v>0.43902439024390244</v>
      </c>
      <c r="Q330">
        <f>COUNTIF(calls[Customer ID],calls[[#This Row],[Customer ID]])</f>
        <v>72</v>
      </c>
      <c r="R330">
        <f>calls[[#This Row],[call count]]/calls[[#This Row],[Purchase Amount]]</f>
        <v>0.43902439024390244</v>
      </c>
    </row>
    <row r="331" spans="1:18" x14ac:dyDescent="0.4">
      <c r="A331" t="s">
        <v>361</v>
      </c>
      <c r="B331" t="s">
        <v>64</v>
      </c>
      <c r="C331">
        <v>95</v>
      </c>
      <c r="D331" s="4" t="s">
        <v>23</v>
      </c>
      <c r="E331" s="5">
        <v>45024</v>
      </c>
      <c r="F331">
        <v>123</v>
      </c>
      <c r="G331">
        <f>AVERAGEIF(calls[Representative], calls[[#This Row],[Representative]], calls[Satisfaction Rating])</f>
        <v>3.8973118279569863</v>
      </c>
      <c r="H331" t="str">
        <f>IF(AVERAGEIF(calls[Representative],calls[[#This Row],[Representative]],calls[Satisfaction Rating])&lt;3.5,"Needs Training","OK")</f>
        <v>OK</v>
      </c>
      <c r="I331">
        <v>4.4000000000000004</v>
      </c>
      <c r="J331">
        <f>IF(MONTH(calls[[#This Row],[Date of Call]])&lt;=6, YEAR(calls[[#This Row],[Date of Call]]), YEAR(calls[[#This Row],[Date of Call]])+1)</f>
        <v>2023</v>
      </c>
      <c r="K331" t="str">
        <f>TEXT(calls[[#This Row],[Date of Call]],"DDDD")</f>
        <v>Saturday</v>
      </c>
      <c r="L331" t="str" cm="1">
        <f t="array" ref="L331">_xlfn.IFS(calls[[#This Row],[Duration]]&lt;=10,"under 10 mins",calls[[#This Row],[Duration]]&lt;=30,"10 to 30mins",calls[[#This Row],[Duration]]&lt;=60,"60 to 30mins",calls[[#This Row],[Duration]]&lt;=120,"1 to 2hrs",TRUE,"More than 2 hrs")</f>
        <v>1 to 2hrs</v>
      </c>
      <c r="M331">
        <f>ROUND(calls[[#This Row],[Satisfaction Rating]],0)</f>
        <v>4</v>
      </c>
      <c r="N331">
        <f>COUNTIF(calls[Customer ID], calls[[#This Row],[Customer ID]])</f>
        <v>65</v>
      </c>
      <c r="O331">
        <f>SUMIF(calls[Customer ID], calls[[#This Row],[Customer ID]], calls[Purchase Amount])</f>
        <v>6785</v>
      </c>
      <c r="P331">
        <f>calls[[#This Row],[call count]]/calls[[#This Row],[Purchase Amount]]</f>
        <v>0.52845528455284552</v>
      </c>
      <c r="Q331">
        <f>COUNTIF(calls[Customer ID],calls[[#This Row],[Customer ID]])</f>
        <v>65</v>
      </c>
      <c r="R331">
        <f>calls[[#This Row],[call count]]/calls[[#This Row],[Purchase Amount]]</f>
        <v>0.52845528455284552</v>
      </c>
    </row>
    <row r="332" spans="1:18" x14ac:dyDescent="0.4">
      <c r="A332" t="s">
        <v>362</v>
      </c>
      <c r="B332" t="s">
        <v>13</v>
      </c>
      <c r="C332">
        <v>49</v>
      </c>
      <c r="D332" s="4" t="s">
        <v>2</v>
      </c>
      <c r="E332" s="5">
        <v>45024</v>
      </c>
      <c r="F332">
        <v>172</v>
      </c>
      <c r="G332">
        <f>AVERAGEIF(calls[Representative], calls[[#This Row],[Representative]], calls[Satisfaction Rating])</f>
        <v>3.8824999999999998</v>
      </c>
      <c r="H332" t="str">
        <f>IF(AVERAGEIF(calls[Representative],calls[[#This Row],[Representative]],calls[Satisfaction Rating])&lt;3.5,"Needs Training","OK")</f>
        <v>OK</v>
      </c>
      <c r="I332">
        <v>2.9</v>
      </c>
      <c r="J332">
        <f>IF(MONTH(calls[[#This Row],[Date of Call]])&lt;=6, YEAR(calls[[#This Row],[Date of Call]]), YEAR(calls[[#This Row],[Date of Call]])+1)</f>
        <v>2023</v>
      </c>
      <c r="K332" t="str">
        <f>TEXT(calls[[#This Row],[Date of Call]],"DDDD")</f>
        <v>Saturday</v>
      </c>
      <c r="L332" t="str" cm="1">
        <f t="array" ref="L332">_xlfn.IFS(calls[[#This Row],[Duration]]&lt;=10,"under 10 mins",calls[[#This Row],[Duration]]&lt;=30,"10 to 30mins",calls[[#This Row],[Duration]]&lt;=60,"60 to 30mins",calls[[#This Row],[Duration]]&lt;=120,"1 to 2hrs",TRUE,"More than 2 hrs")</f>
        <v>60 to 30mins</v>
      </c>
      <c r="M332">
        <f>ROUND(calls[[#This Row],[Satisfaction Rating]],0)</f>
        <v>3</v>
      </c>
      <c r="N332">
        <f>COUNTIF(calls[Customer ID], calls[[#This Row],[Customer ID]])</f>
        <v>74</v>
      </c>
      <c r="O332">
        <f>SUMIF(calls[Customer ID], calls[[#This Row],[Customer ID]], calls[Purchase Amount])</f>
        <v>6749</v>
      </c>
      <c r="P332">
        <f>calls[[#This Row],[call count]]/calls[[#This Row],[Purchase Amount]]</f>
        <v>0.43023255813953487</v>
      </c>
      <c r="Q332">
        <f>COUNTIF(calls[Customer ID],calls[[#This Row],[Customer ID]])</f>
        <v>74</v>
      </c>
      <c r="R332">
        <f>calls[[#This Row],[call count]]/calls[[#This Row],[Purchase Amount]]</f>
        <v>0.43023255813953487</v>
      </c>
    </row>
    <row r="333" spans="1:18" x14ac:dyDescent="0.4">
      <c r="A333" t="s">
        <v>363</v>
      </c>
      <c r="B333" t="s">
        <v>54</v>
      </c>
      <c r="C333">
        <v>8</v>
      </c>
      <c r="D333" s="4" t="s">
        <v>27</v>
      </c>
      <c r="E333" s="5">
        <v>45024</v>
      </c>
      <c r="F333">
        <v>20</v>
      </c>
      <c r="G333">
        <f>AVERAGEIF(calls[Representative], calls[[#This Row],[Representative]], calls[Satisfaction Rating])</f>
        <v>3.8589371980676304</v>
      </c>
      <c r="H333" t="str">
        <f>IF(AVERAGEIF(calls[Representative],calls[[#This Row],[Representative]],calls[Satisfaction Rating])&lt;3.5,"Needs Training","OK")</f>
        <v>OK</v>
      </c>
      <c r="I333">
        <v>4.8</v>
      </c>
      <c r="J333">
        <f>IF(MONTH(calls[[#This Row],[Date of Call]])&lt;=6, YEAR(calls[[#This Row],[Date of Call]]), YEAR(calls[[#This Row],[Date of Call]])+1)</f>
        <v>2023</v>
      </c>
      <c r="K333" t="str">
        <f>TEXT(calls[[#This Row],[Date of Call]],"DDDD")</f>
        <v>Saturday</v>
      </c>
      <c r="L333" t="str" cm="1">
        <f t="array" ref="L333">_xlfn.IFS(calls[[#This Row],[Duration]]&lt;=10,"under 10 mins",calls[[#This Row],[Duration]]&lt;=30,"10 to 30mins",calls[[#This Row],[Duration]]&lt;=60,"60 to 30mins",calls[[#This Row],[Duration]]&lt;=120,"1 to 2hrs",TRUE,"More than 2 hrs")</f>
        <v>under 10 mins</v>
      </c>
      <c r="M333">
        <f>ROUND(calls[[#This Row],[Satisfaction Rating]],0)</f>
        <v>5</v>
      </c>
      <c r="N333">
        <f>COUNTIF(calls[Customer ID], calls[[#This Row],[Customer ID]])</f>
        <v>70</v>
      </c>
      <c r="O333">
        <f>SUMIF(calls[Customer ID], calls[[#This Row],[Customer ID]], calls[Purchase Amount])</f>
        <v>6819</v>
      </c>
      <c r="P333">
        <f>calls[[#This Row],[call count]]/calls[[#This Row],[Purchase Amount]]</f>
        <v>3.5</v>
      </c>
      <c r="Q333">
        <f>COUNTIF(calls[Customer ID],calls[[#This Row],[Customer ID]])</f>
        <v>70</v>
      </c>
      <c r="R333">
        <f>calls[[#This Row],[call count]]/calls[[#This Row],[Purchase Amount]]</f>
        <v>3.5</v>
      </c>
    </row>
    <row r="334" spans="1:18" x14ac:dyDescent="0.4">
      <c r="A334" t="s">
        <v>364</v>
      </c>
      <c r="B334" t="s">
        <v>64</v>
      </c>
      <c r="C334">
        <v>157</v>
      </c>
      <c r="D334" s="4" t="s">
        <v>2</v>
      </c>
      <c r="E334" s="5">
        <v>45024</v>
      </c>
      <c r="F334">
        <v>72</v>
      </c>
      <c r="G334">
        <f>AVERAGEIF(calls[Representative], calls[[#This Row],[Representative]], calls[Satisfaction Rating])</f>
        <v>3.8824999999999998</v>
      </c>
      <c r="H334" t="str">
        <f>IF(AVERAGEIF(calls[Representative],calls[[#This Row],[Representative]],calls[Satisfaction Rating])&lt;3.5,"Needs Training","OK")</f>
        <v>OK</v>
      </c>
      <c r="I334">
        <v>3.7</v>
      </c>
      <c r="J334">
        <f>IF(MONTH(calls[[#This Row],[Date of Call]])&lt;=6, YEAR(calls[[#This Row],[Date of Call]]), YEAR(calls[[#This Row],[Date of Call]])+1)</f>
        <v>2023</v>
      </c>
      <c r="K334" t="str">
        <f>TEXT(calls[[#This Row],[Date of Call]],"DDDD")</f>
        <v>Saturday</v>
      </c>
      <c r="L334" t="str" cm="1">
        <f t="array" ref="L334">_xlfn.IFS(calls[[#This Row],[Duration]]&lt;=10,"under 10 mins",calls[[#This Row],[Duration]]&lt;=30,"10 to 30mins",calls[[#This Row],[Duration]]&lt;=60,"60 to 30mins",calls[[#This Row],[Duration]]&lt;=120,"1 to 2hrs",TRUE,"More than 2 hrs")</f>
        <v>More than 2 hrs</v>
      </c>
      <c r="M334">
        <f>ROUND(calls[[#This Row],[Satisfaction Rating]],0)</f>
        <v>4</v>
      </c>
      <c r="N334">
        <f>COUNTIF(calls[Customer ID], calls[[#This Row],[Customer ID]])</f>
        <v>65</v>
      </c>
      <c r="O334">
        <f>SUMIF(calls[Customer ID], calls[[#This Row],[Customer ID]], calls[Purchase Amount])</f>
        <v>6785</v>
      </c>
      <c r="P334">
        <f>calls[[#This Row],[call count]]/calls[[#This Row],[Purchase Amount]]</f>
        <v>0.90277777777777779</v>
      </c>
      <c r="Q334">
        <f>COUNTIF(calls[Customer ID],calls[[#This Row],[Customer ID]])</f>
        <v>65</v>
      </c>
      <c r="R334">
        <f>calls[[#This Row],[call count]]/calls[[#This Row],[Purchase Amount]]</f>
        <v>0.90277777777777779</v>
      </c>
    </row>
    <row r="335" spans="1:18" x14ac:dyDescent="0.4">
      <c r="A335" t="s">
        <v>365</v>
      </c>
      <c r="B335" t="s">
        <v>8</v>
      </c>
      <c r="C335">
        <v>74</v>
      </c>
      <c r="D335" s="4" t="s">
        <v>9</v>
      </c>
      <c r="E335" s="5">
        <v>45024</v>
      </c>
      <c r="F335">
        <v>32</v>
      </c>
      <c r="G335">
        <f>AVERAGEIF(calls[Representative], calls[[#This Row],[Representative]], calls[Satisfaction Rating])</f>
        <v>3.8706422018348627</v>
      </c>
      <c r="H335" t="str">
        <f>IF(AVERAGEIF(calls[Representative],calls[[#This Row],[Representative]],calls[Satisfaction Rating])&lt;3.5,"Needs Training","OK")</f>
        <v>OK</v>
      </c>
      <c r="I335">
        <v>4.8</v>
      </c>
      <c r="J335">
        <f>IF(MONTH(calls[[#This Row],[Date of Call]])&lt;=6, YEAR(calls[[#This Row],[Date of Call]]), YEAR(calls[[#This Row],[Date of Call]])+1)</f>
        <v>2023</v>
      </c>
      <c r="K335" t="str">
        <f>TEXT(calls[[#This Row],[Date of Call]],"DDDD")</f>
        <v>Saturday</v>
      </c>
      <c r="L335" t="str" cm="1">
        <f t="array" ref="L335">_xlfn.IFS(calls[[#This Row],[Duration]]&lt;=10,"under 10 mins",calls[[#This Row],[Duration]]&lt;=30,"10 to 30mins",calls[[#This Row],[Duration]]&lt;=60,"60 to 30mins",calls[[#This Row],[Duration]]&lt;=120,"1 to 2hrs",TRUE,"More than 2 hrs")</f>
        <v>1 to 2hrs</v>
      </c>
      <c r="M335">
        <f>ROUND(calls[[#This Row],[Satisfaction Rating]],0)</f>
        <v>5</v>
      </c>
      <c r="N335">
        <f>COUNTIF(calls[Customer ID], calls[[#This Row],[Customer ID]])</f>
        <v>79</v>
      </c>
      <c r="O335">
        <f>SUMIF(calls[Customer ID], calls[[#This Row],[Customer ID]], calls[Purchase Amount])</f>
        <v>7747</v>
      </c>
      <c r="P335">
        <f>calls[[#This Row],[call count]]/calls[[#This Row],[Purchase Amount]]</f>
        <v>2.46875</v>
      </c>
      <c r="Q335">
        <f>COUNTIF(calls[Customer ID],calls[[#This Row],[Customer ID]])</f>
        <v>79</v>
      </c>
      <c r="R335">
        <f>calls[[#This Row],[call count]]/calls[[#This Row],[Purchase Amount]]</f>
        <v>2.46875</v>
      </c>
    </row>
    <row r="336" spans="1:18" x14ac:dyDescent="0.4">
      <c r="A336" t="s">
        <v>366</v>
      </c>
      <c r="B336" t="s">
        <v>40</v>
      </c>
      <c r="C336">
        <v>72</v>
      </c>
      <c r="D336" s="4" t="s">
        <v>23</v>
      </c>
      <c r="E336" s="5">
        <v>45024</v>
      </c>
      <c r="F336">
        <v>140</v>
      </c>
      <c r="G336">
        <f>AVERAGEIF(calls[Representative], calls[[#This Row],[Representative]], calls[Satisfaction Rating])</f>
        <v>3.8973118279569863</v>
      </c>
      <c r="H336" t="str">
        <f>IF(AVERAGEIF(calls[Representative],calls[[#This Row],[Representative]],calls[Satisfaction Rating])&lt;3.5,"Needs Training","OK")</f>
        <v>OK</v>
      </c>
      <c r="I336">
        <v>3.2</v>
      </c>
      <c r="J336">
        <f>IF(MONTH(calls[[#This Row],[Date of Call]])&lt;=6, YEAR(calls[[#This Row],[Date of Call]]), YEAR(calls[[#This Row],[Date of Call]])+1)</f>
        <v>2023</v>
      </c>
      <c r="K336" t="str">
        <f>TEXT(calls[[#This Row],[Date of Call]],"DDDD")</f>
        <v>Saturday</v>
      </c>
      <c r="L336" t="str" cm="1">
        <f t="array" ref="L336">_xlfn.IFS(calls[[#This Row],[Duration]]&lt;=10,"under 10 mins",calls[[#This Row],[Duration]]&lt;=30,"10 to 30mins",calls[[#This Row],[Duration]]&lt;=60,"60 to 30mins",calls[[#This Row],[Duration]]&lt;=120,"1 to 2hrs",TRUE,"More than 2 hrs")</f>
        <v>1 to 2hrs</v>
      </c>
      <c r="M336">
        <f>ROUND(calls[[#This Row],[Satisfaction Rating]],0)</f>
        <v>3</v>
      </c>
      <c r="N336">
        <f>COUNTIF(calls[Customer ID], calls[[#This Row],[Customer ID]])</f>
        <v>69</v>
      </c>
      <c r="O336">
        <f>SUMIF(calls[Customer ID], calls[[#This Row],[Customer ID]], calls[Purchase Amount])</f>
        <v>6601</v>
      </c>
      <c r="P336">
        <f>calls[[#This Row],[call count]]/calls[[#This Row],[Purchase Amount]]</f>
        <v>0.49285714285714288</v>
      </c>
      <c r="Q336">
        <f>COUNTIF(calls[Customer ID],calls[[#This Row],[Customer ID]])</f>
        <v>69</v>
      </c>
      <c r="R336">
        <f>calls[[#This Row],[call count]]/calls[[#This Row],[Purchase Amount]]</f>
        <v>0.49285714285714288</v>
      </c>
    </row>
    <row r="337" spans="1:18" x14ac:dyDescent="0.4">
      <c r="A337" t="s">
        <v>367</v>
      </c>
      <c r="B337" t="s">
        <v>8</v>
      </c>
      <c r="C337">
        <v>79</v>
      </c>
      <c r="D337" s="4" t="s">
        <v>9</v>
      </c>
      <c r="E337" s="5">
        <v>45025</v>
      </c>
      <c r="F337">
        <v>120</v>
      </c>
      <c r="G337">
        <f>AVERAGEIF(calls[Representative], calls[[#This Row],[Representative]], calls[Satisfaction Rating])</f>
        <v>3.8706422018348627</v>
      </c>
      <c r="H337" t="str">
        <f>IF(AVERAGEIF(calls[Representative],calls[[#This Row],[Representative]],calls[Satisfaction Rating])&lt;3.5,"Needs Training","OK")</f>
        <v>OK</v>
      </c>
      <c r="I337">
        <v>4.9000000000000004</v>
      </c>
      <c r="J337">
        <f>IF(MONTH(calls[[#This Row],[Date of Call]])&lt;=6, YEAR(calls[[#This Row],[Date of Call]]), YEAR(calls[[#This Row],[Date of Call]])+1)</f>
        <v>2023</v>
      </c>
      <c r="K337" t="str">
        <f>TEXT(calls[[#This Row],[Date of Call]],"DDDD")</f>
        <v>Sunday</v>
      </c>
      <c r="L337" t="str" cm="1">
        <f t="array" ref="L337">_xlfn.IFS(calls[[#This Row],[Duration]]&lt;=10,"under 10 mins",calls[[#This Row],[Duration]]&lt;=30,"10 to 30mins",calls[[#This Row],[Duration]]&lt;=60,"60 to 30mins",calls[[#This Row],[Duration]]&lt;=120,"1 to 2hrs",TRUE,"More than 2 hrs")</f>
        <v>1 to 2hrs</v>
      </c>
      <c r="M337">
        <f>ROUND(calls[[#This Row],[Satisfaction Rating]],0)</f>
        <v>5</v>
      </c>
      <c r="N337">
        <f>COUNTIF(calls[Customer ID], calls[[#This Row],[Customer ID]])</f>
        <v>79</v>
      </c>
      <c r="O337">
        <f>SUMIF(calls[Customer ID], calls[[#This Row],[Customer ID]], calls[Purchase Amount])</f>
        <v>7747</v>
      </c>
      <c r="P337">
        <f>calls[[#This Row],[call count]]/calls[[#This Row],[Purchase Amount]]</f>
        <v>0.65833333333333333</v>
      </c>
      <c r="Q337">
        <f>COUNTIF(calls[Customer ID],calls[[#This Row],[Customer ID]])</f>
        <v>79</v>
      </c>
      <c r="R337">
        <f>calls[[#This Row],[call count]]/calls[[#This Row],[Purchase Amount]]</f>
        <v>0.65833333333333333</v>
      </c>
    </row>
    <row r="338" spans="1:18" x14ac:dyDescent="0.4">
      <c r="A338" t="s">
        <v>368</v>
      </c>
      <c r="B338" t="s">
        <v>51</v>
      </c>
      <c r="C338">
        <v>23</v>
      </c>
      <c r="D338" s="4" t="s">
        <v>9</v>
      </c>
      <c r="E338" s="5">
        <v>45025</v>
      </c>
      <c r="F338">
        <v>86</v>
      </c>
      <c r="G338">
        <f>AVERAGEIF(calls[Representative], calls[[#This Row],[Representative]], calls[Satisfaction Rating])</f>
        <v>3.8706422018348627</v>
      </c>
      <c r="H338" t="str">
        <f>IF(AVERAGEIF(calls[Representative],calls[[#This Row],[Representative]],calls[Satisfaction Rating])&lt;3.5,"Needs Training","OK")</f>
        <v>OK</v>
      </c>
      <c r="I338">
        <v>2.2000000000000002</v>
      </c>
      <c r="J338">
        <f>IF(MONTH(calls[[#This Row],[Date of Call]])&lt;=6, YEAR(calls[[#This Row],[Date of Call]]), YEAR(calls[[#This Row],[Date of Call]])+1)</f>
        <v>2023</v>
      </c>
      <c r="K338" t="str">
        <f>TEXT(calls[[#This Row],[Date of Call]],"DDDD")</f>
        <v>Sunday</v>
      </c>
      <c r="L338" t="str" cm="1">
        <f t="array" ref="L338">_xlfn.IFS(calls[[#This Row],[Duration]]&lt;=10,"under 10 mins",calls[[#This Row],[Duration]]&lt;=30,"10 to 30mins",calls[[#This Row],[Duration]]&lt;=60,"60 to 30mins",calls[[#This Row],[Duration]]&lt;=120,"1 to 2hrs",TRUE,"More than 2 hrs")</f>
        <v>10 to 30mins</v>
      </c>
      <c r="M338">
        <f>ROUND(calls[[#This Row],[Satisfaction Rating]],0)</f>
        <v>2</v>
      </c>
      <c r="N338">
        <f>COUNTIF(calls[Customer ID], calls[[#This Row],[Customer ID]])</f>
        <v>59</v>
      </c>
      <c r="O338">
        <f>SUMIF(calls[Customer ID], calls[[#This Row],[Customer ID]], calls[Purchase Amount])</f>
        <v>6518</v>
      </c>
      <c r="P338">
        <f>calls[[#This Row],[call count]]/calls[[#This Row],[Purchase Amount]]</f>
        <v>0.68604651162790697</v>
      </c>
      <c r="Q338">
        <f>COUNTIF(calls[Customer ID],calls[[#This Row],[Customer ID]])</f>
        <v>59</v>
      </c>
      <c r="R338">
        <f>calls[[#This Row],[call count]]/calls[[#This Row],[Purchase Amount]]</f>
        <v>0.68604651162790697</v>
      </c>
    </row>
    <row r="339" spans="1:18" x14ac:dyDescent="0.4">
      <c r="A339" t="s">
        <v>369</v>
      </c>
      <c r="B339" t="s">
        <v>6</v>
      </c>
      <c r="C339">
        <v>69</v>
      </c>
      <c r="D339" s="4" t="s">
        <v>9</v>
      </c>
      <c r="E339" s="5">
        <v>45025</v>
      </c>
      <c r="F339">
        <v>132</v>
      </c>
      <c r="G339">
        <f>AVERAGEIF(calls[Representative], calls[[#This Row],[Representative]], calls[Satisfaction Rating])</f>
        <v>3.8706422018348627</v>
      </c>
      <c r="H339" t="str">
        <f>IF(AVERAGEIF(calls[Representative],calls[[#This Row],[Representative]],calls[Satisfaction Rating])&lt;3.5,"Needs Training","OK")</f>
        <v>OK</v>
      </c>
      <c r="I339">
        <v>5</v>
      </c>
      <c r="J339">
        <f>IF(MONTH(calls[[#This Row],[Date of Call]])&lt;=6, YEAR(calls[[#This Row],[Date of Call]]), YEAR(calls[[#This Row],[Date of Call]])+1)</f>
        <v>2023</v>
      </c>
      <c r="K339" t="str">
        <f>TEXT(calls[[#This Row],[Date of Call]],"DDDD")</f>
        <v>Sunday</v>
      </c>
      <c r="L339" t="str" cm="1">
        <f t="array" ref="L339">_xlfn.IFS(calls[[#This Row],[Duration]]&lt;=10,"under 10 mins",calls[[#This Row],[Duration]]&lt;=30,"10 to 30mins",calls[[#This Row],[Duration]]&lt;=60,"60 to 30mins",calls[[#This Row],[Duration]]&lt;=120,"1 to 2hrs",TRUE,"More than 2 hrs")</f>
        <v>1 to 2hrs</v>
      </c>
      <c r="M339">
        <f>ROUND(calls[[#This Row],[Satisfaction Rating]],0)</f>
        <v>5</v>
      </c>
      <c r="N339">
        <f>COUNTIF(calls[Customer ID], calls[[#This Row],[Customer ID]])</f>
        <v>82</v>
      </c>
      <c r="O339">
        <f>SUMIF(calls[Customer ID], calls[[#This Row],[Customer ID]], calls[Purchase Amount])</f>
        <v>7689</v>
      </c>
      <c r="P339">
        <f>calls[[#This Row],[call count]]/calls[[#This Row],[Purchase Amount]]</f>
        <v>0.62121212121212122</v>
      </c>
      <c r="Q339">
        <f>COUNTIF(calls[Customer ID],calls[[#This Row],[Customer ID]])</f>
        <v>82</v>
      </c>
      <c r="R339">
        <f>calls[[#This Row],[call count]]/calls[[#This Row],[Purchase Amount]]</f>
        <v>0.62121212121212122</v>
      </c>
    </row>
    <row r="340" spans="1:18" x14ac:dyDescent="0.4">
      <c r="A340" t="s">
        <v>370</v>
      </c>
      <c r="B340" t="s">
        <v>44</v>
      </c>
      <c r="C340">
        <v>64</v>
      </c>
      <c r="D340" s="4" t="s">
        <v>9</v>
      </c>
      <c r="E340" s="5">
        <v>45025</v>
      </c>
      <c r="F340">
        <v>80</v>
      </c>
      <c r="G340">
        <f>AVERAGEIF(calls[Representative], calls[[#This Row],[Representative]], calls[Satisfaction Rating])</f>
        <v>3.8706422018348627</v>
      </c>
      <c r="H340" t="str">
        <f>IF(AVERAGEIF(calls[Representative],calls[[#This Row],[Representative]],calls[Satisfaction Rating])&lt;3.5,"Needs Training","OK")</f>
        <v>OK</v>
      </c>
      <c r="I340">
        <v>3.3</v>
      </c>
      <c r="J340">
        <f>IF(MONTH(calls[[#This Row],[Date of Call]])&lt;=6, YEAR(calls[[#This Row],[Date of Call]]), YEAR(calls[[#This Row],[Date of Call]])+1)</f>
        <v>2023</v>
      </c>
      <c r="K340" t="str">
        <f>TEXT(calls[[#This Row],[Date of Call]],"DDDD")</f>
        <v>Sunday</v>
      </c>
      <c r="L340" t="str" cm="1">
        <f t="array" ref="L340">_xlfn.IFS(calls[[#This Row],[Duration]]&lt;=10,"under 10 mins",calls[[#This Row],[Duration]]&lt;=30,"10 to 30mins",calls[[#This Row],[Duration]]&lt;=60,"60 to 30mins",calls[[#This Row],[Duration]]&lt;=120,"1 to 2hrs",TRUE,"More than 2 hrs")</f>
        <v>1 to 2hrs</v>
      </c>
      <c r="M340">
        <f>ROUND(calls[[#This Row],[Satisfaction Rating]],0)</f>
        <v>3</v>
      </c>
      <c r="N340">
        <f>COUNTIF(calls[Customer ID], calls[[#This Row],[Customer ID]])</f>
        <v>62</v>
      </c>
      <c r="O340">
        <f>SUMIF(calls[Customer ID], calls[[#This Row],[Customer ID]], calls[Purchase Amount])</f>
        <v>6176</v>
      </c>
      <c r="P340">
        <f>calls[[#This Row],[call count]]/calls[[#This Row],[Purchase Amount]]</f>
        <v>0.77500000000000002</v>
      </c>
      <c r="Q340">
        <f>COUNTIF(calls[Customer ID],calls[[#This Row],[Customer ID]])</f>
        <v>62</v>
      </c>
      <c r="R340">
        <f>calls[[#This Row],[call count]]/calls[[#This Row],[Purchase Amount]]</f>
        <v>0.77500000000000002</v>
      </c>
    </row>
    <row r="341" spans="1:18" x14ac:dyDescent="0.4">
      <c r="A341" t="s">
        <v>371</v>
      </c>
      <c r="B341" t="s">
        <v>32</v>
      </c>
      <c r="C341">
        <v>47</v>
      </c>
      <c r="D341" s="4" t="s">
        <v>2</v>
      </c>
      <c r="E341" s="5">
        <v>45025</v>
      </c>
      <c r="F341">
        <v>132</v>
      </c>
      <c r="G341">
        <f>AVERAGEIF(calls[Representative], calls[[#This Row],[Representative]], calls[Satisfaction Rating])</f>
        <v>3.8824999999999998</v>
      </c>
      <c r="H341" t="str">
        <f>IF(AVERAGEIF(calls[Representative],calls[[#This Row],[Representative]],calls[Satisfaction Rating])&lt;3.5,"Needs Training","OK")</f>
        <v>OK</v>
      </c>
      <c r="I341">
        <v>3.7</v>
      </c>
      <c r="J341">
        <f>IF(MONTH(calls[[#This Row],[Date of Call]])&lt;=6, YEAR(calls[[#This Row],[Date of Call]]), YEAR(calls[[#This Row],[Date of Call]])+1)</f>
        <v>2023</v>
      </c>
      <c r="K341" t="str">
        <f>TEXT(calls[[#This Row],[Date of Call]],"DDDD")</f>
        <v>Sunday</v>
      </c>
      <c r="L341" t="str" cm="1">
        <f t="array" ref="L341">_xlfn.IFS(calls[[#This Row],[Duration]]&lt;=10,"under 10 mins",calls[[#This Row],[Duration]]&lt;=30,"10 to 30mins",calls[[#This Row],[Duration]]&lt;=60,"60 to 30mins",calls[[#This Row],[Duration]]&lt;=120,"1 to 2hrs",TRUE,"More than 2 hrs")</f>
        <v>60 to 30mins</v>
      </c>
      <c r="M341">
        <f>ROUND(calls[[#This Row],[Satisfaction Rating]],0)</f>
        <v>4</v>
      </c>
      <c r="N341">
        <f>COUNTIF(calls[Customer ID], calls[[#This Row],[Customer ID]])</f>
        <v>63</v>
      </c>
      <c r="O341">
        <f>SUMIF(calls[Customer ID], calls[[#This Row],[Customer ID]], calls[Purchase Amount])</f>
        <v>5634</v>
      </c>
      <c r="P341">
        <f>calls[[#This Row],[call count]]/calls[[#This Row],[Purchase Amount]]</f>
        <v>0.47727272727272729</v>
      </c>
      <c r="Q341">
        <f>COUNTIF(calls[Customer ID],calls[[#This Row],[Customer ID]])</f>
        <v>63</v>
      </c>
      <c r="R341">
        <f>calls[[#This Row],[call count]]/calls[[#This Row],[Purchase Amount]]</f>
        <v>0.47727272727272729</v>
      </c>
    </row>
    <row r="342" spans="1:18" x14ac:dyDescent="0.4">
      <c r="A342" t="s">
        <v>372</v>
      </c>
      <c r="B342" t="s">
        <v>8</v>
      </c>
      <c r="C342">
        <v>55</v>
      </c>
      <c r="D342" s="4" t="s">
        <v>23</v>
      </c>
      <c r="E342" s="5">
        <v>45025</v>
      </c>
      <c r="F342">
        <v>27</v>
      </c>
      <c r="G342">
        <f>AVERAGEIF(calls[Representative], calls[[#This Row],[Representative]], calls[Satisfaction Rating])</f>
        <v>3.8973118279569863</v>
      </c>
      <c r="H342" t="str">
        <f>IF(AVERAGEIF(calls[Representative],calls[[#This Row],[Representative]],calls[Satisfaction Rating])&lt;3.5,"Needs Training","OK")</f>
        <v>OK</v>
      </c>
      <c r="I342">
        <v>3.7</v>
      </c>
      <c r="J342">
        <f>IF(MONTH(calls[[#This Row],[Date of Call]])&lt;=6, YEAR(calls[[#This Row],[Date of Call]]), YEAR(calls[[#This Row],[Date of Call]])+1)</f>
        <v>2023</v>
      </c>
      <c r="K342" t="str">
        <f>TEXT(calls[[#This Row],[Date of Call]],"DDDD")</f>
        <v>Sunday</v>
      </c>
      <c r="L342" t="str" cm="1">
        <f t="array" ref="L342">_xlfn.IFS(calls[[#This Row],[Duration]]&lt;=10,"under 10 mins",calls[[#This Row],[Duration]]&lt;=30,"10 to 30mins",calls[[#This Row],[Duration]]&lt;=60,"60 to 30mins",calls[[#This Row],[Duration]]&lt;=120,"1 to 2hrs",TRUE,"More than 2 hrs")</f>
        <v>60 to 30mins</v>
      </c>
      <c r="M342">
        <f>ROUND(calls[[#This Row],[Satisfaction Rating]],0)</f>
        <v>4</v>
      </c>
      <c r="N342">
        <f>COUNTIF(calls[Customer ID], calls[[#This Row],[Customer ID]])</f>
        <v>79</v>
      </c>
      <c r="O342">
        <f>SUMIF(calls[Customer ID], calls[[#This Row],[Customer ID]], calls[Purchase Amount])</f>
        <v>7747</v>
      </c>
      <c r="P342">
        <f>calls[[#This Row],[call count]]/calls[[#This Row],[Purchase Amount]]</f>
        <v>2.925925925925926</v>
      </c>
      <c r="Q342">
        <f>COUNTIF(calls[Customer ID],calls[[#This Row],[Customer ID]])</f>
        <v>79</v>
      </c>
      <c r="R342">
        <f>calls[[#This Row],[call count]]/calls[[#This Row],[Purchase Amount]]</f>
        <v>2.925925925925926</v>
      </c>
    </row>
    <row r="343" spans="1:18" x14ac:dyDescent="0.4">
      <c r="A343" t="s">
        <v>373</v>
      </c>
      <c r="B343" t="s">
        <v>26</v>
      </c>
      <c r="C343">
        <v>104</v>
      </c>
      <c r="D343" s="4" t="s">
        <v>23</v>
      </c>
      <c r="E343" s="5">
        <v>45026</v>
      </c>
      <c r="F343">
        <v>68</v>
      </c>
      <c r="G343">
        <f>AVERAGEIF(calls[Representative], calls[[#This Row],[Representative]], calls[Satisfaction Rating])</f>
        <v>3.8973118279569863</v>
      </c>
      <c r="H343" t="str">
        <f>IF(AVERAGEIF(calls[Representative],calls[[#This Row],[Representative]],calls[Satisfaction Rating])&lt;3.5,"Needs Training","OK")</f>
        <v>OK</v>
      </c>
      <c r="I343">
        <v>3.6</v>
      </c>
      <c r="J343">
        <f>IF(MONTH(calls[[#This Row],[Date of Call]])&lt;=6, YEAR(calls[[#This Row],[Date of Call]]), YEAR(calls[[#This Row],[Date of Call]])+1)</f>
        <v>2023</v>
      </c>
      <c r="K343" t="str">
        <f>TEXT(calls[[#This Row],[Date of Call]],"DDDD")</f>
        <v>Monday</v>
      </c>
      <c r="L343" t="str" cm="1">
        <f t="array" ref="L343">_xlfn.IFS(calls[[#This Row],[Duration]]&lt;=10,"under 10 mins",calls[[#This Row],[Duration]]&lt;=30,"10 to 30mins",calls[[#This Row],[Duration]]&lt;=60,"60 to 30mins",calls[[#This Row],[Duration]]&lt;=120,"1 to 2hrs",TRUE,"More than 2 hrs")</f>
        <v>1 to 2hrs</v>
      </c>
      <c r="M343">
        <f>ROUND(calls[[#This Row],[Satisfaction Rating]],0)</f>
        <v>4</v>
      </c>
      <c r="N343">
        <f>COUNTIF(calls[Customer ID], calls[[#This Row],[Customer ID]])</f>
        <v>72</v>
      </c>
      <c r="O343">
        <f>SUMIF(calls[Customer ID], calls[[#This Row],[Customer ID]], calls[Purchase Amount])</f>
        <v>6242</v>
      </c>
      <c r="P343">
        <f>calls[[#This Row],[call count]]/calls[[#This Row],[Purchase Amount]]</f>
        <v>1.0588235294117647</v>
      </c>
      <c r="Q343">
        <f>COUNTIF(calls[Customer ID],calls[[#This Row],[Customer ID]])</f>
        <v>72</v>
      </c>
      <c r="R343">
        <f>calls[[#This Row],[call count]]/calls[[#This Row],[Purchase Amount]]</f>
        <v>1.0588235294117647</v>
      </c>
    </row>
    <row r="344" spans="1:18" x14ac:dyDescent="0.4">
      <c r="A344" t="s">
        <v>374</v>
      </c>
      <c r="B344" t="s">
        <v>32</v>
      </c>
      <c r="C344">
        <v>116</v>
      </c>
      <c r="D344" s="4" t="s">
        <v>9</v>
      </c>
      <c r="E344" s="5">
        <v>45026</v>
      </c>
      <c r="F344">
        <v>22</v>
      </c>
      <c r="G344">
        <f>AVERAGEIF(calls[Representative], calls[[#This Row],[Representative]], calls[Satisfaction Rating])</f>
        <v>3.8706422018348627</v>
      </c>
      <c r="H344" t="str">
        <f>IF(AVERAGEIF(calls[Representative],calls[[#This Row],[Representative]],calls[Satisfaction Rating])&lt;3.5,"Needs Training","OK")</f>
        <v>OK</v>
      </c>
      <c r="I344">
        <v>4.7</v>
      </c>
      <c r="J344">
        <f>IF(MONTH(calls[[#This Row],[Date of Call]])&lt;=6, YEAR(calls[[#This Row],[Date of Call]]), YEAR(calls[[#This Row],[Date of Call]])+1)</f>
        <v>2023</v>
      </c>
      <c r="K344" t="str">
        <f>TEXT(calls[[#This Row],[Date of Call]],"DDDD")</f>
        <v>Monday</v>
      </c>
      <c r="L344" t="str" cm="1">
        <f t="array" ref="L344">_xlfn.IFS(calls[[#This Row],[Duration]]&lt;=10,"under 10 mins",calls[[#This Row],[Duration]]&lt;=30,"10 to 30mins",calls[[#This Row],[Duration]]&lt;=60,"60 to 30mins",calls[[#This Row],[Duration]]&lt;=120,"1 to 2hrs",TRUE,"More than 2 hrs")</f>
        <v>1 to 2hrs</v>
      </c>
      <c r="M344">
        <f>ROUND(calls[[#This Row],[Satisfaction Rating]],0)</f>
        <v>5</v>
      </c>
      <c r="N344">
        <f>COUNTIF(calls[Customer ID], calls[[#This Row],[Customer ID]])</f>
        <v>63</v>
      </c>
      <c r="O344">
        <f>SUMIF(calls[Customer ID], calls[[#This Row],[Customer ID]], calls[Purchase Amount])</f>
        <v>5634</v>
      </c>
      <c r="P344">
        <f>calls[[#This Row],[call count]]/calls[[#This Row],[Purchase Amount]]</f>
        <v>2.8636363636363638</v>
      </c>
      <c r="Q344">
        <f>COUNTIF(calls[Customer ID],calls[[#This Row],[Customer ID]])</f>
        <v>63</v>
      </c>
      <c r="R344">
        <f>calls[[#This Row],[call count]]/calls[[#This Row],[Purchase Amount]]</f>
        <v>2.8636363636363638</v>
      </c>
    </row>
    <row r="345" spans="1:18" x14ac:dyDescent="0.4">
      <c r="A345" t="s">
        <v>375</v>
      </c>
      <c r="B345" t="s">
        <v>51</v>
      </c>
      <c r="C345">
        <v>99</v>
      </c>
      <c r="D345" s="4" t="s">
        <v>23</v>
      </c>
      <c r="E345" s="5">
        <v>45026</v>
      </c>
      <c r="F345">
        <v>42</v>
      </c>
      <c r="G345">
        <f>AVERAGEIF(calls[Representative], calls[[#This Row],[Representative]], calls[Satisfaction Rating])</f>
        <v>3.8973118279569863</v>
      </c>
      <c r="H345" t="str">
        <f>IF(AVERAGEIF(calls[Representative],calls[[#This Row],[Representative]],calls[Satisfaction Rating])&lt;3.5,"Needs Training","OK")</f>
        <v>OK</v>
      </c>
      <c r="I345">
        <v>3.1</v>
      </c>
      <c r="J345">
        <f>IF(MONTH(calls[[#This Row],[Date of Call]])&lt;=6, YEAR(calls[[#This Row],[Date of Call]]), YEAR(calls[[#This Row],[Date of Call]])+1)</f>
        <v>2023</v>
      </c>
      <c r="K345" t="str">
        <f>TEXT(calls[[#This Row],[Date of Call]],"DDDD")</f>
        <v>Monday</v>
      </c>
      <c r="L345" t="str" cm="1">
        <f t="array" ref="L345">_xlfn.IFS(calls[[#This Row],[Duration]]&lt;=10,"under 10 mins",calls[[#This Row],[Duration]]&lt;=30,"10 to 30mins",calls[[#This Row],[Duration]]&lt;=60,"60 to 30mins",calls[[#This Row],[Duration]]&lt;=120,"1 to 2hrs",TRUE,"More than 2 hrs")</f>
        <v>1 to 2hrs</v>
      </c>
      <c r="M345">
        <f>ROUND(calls[[#This Row],[Satisfaction Rating]],0)</f>
        <v>3</v>
      </c>
      <c r="N345">
        <f>COUNTIF(calls[Customer ID], calls[[#This Row],[Customer ID]])</f>
        <v>59</v>
      </c>
      <c r="O345">
        <f>SUMIF(calls[Customer ID], calls[[#This Row],[Customer ID]], calls[Purchase Amount])</f>
        <v>6518</v>
      </c>
      <c r="P345">
        <f>calls[[#This Row],[call count]]/calls[[#This Row],[Purchase Amount]]</f>
        <v>1.4047619047619047</v>
      </c>
      <c r="Q345">
        <f>COUNTIF(calls[Customer ID],calls[[#This Row],[Customer ID]])</f>
        <v>59</v>
      </c>
      <c r="R345">
        <f>calls[[#This Row],[call count]]/calls[[#This Row],[Purchase Amount]]</f>
        <v>1.4047619047619047</v>
      </c>
    </row>
    <row r="346" spans="1:18" x14ac:dyDescent="0.4">
      <c r="A346" t="s">
        <v>376</v>
      </c>
      <c r="B346" t="s">
        <v>26</v>
      </c>
      <c r="C346">
        <v>84</v>
      </c>
      <c r="D346" s="4" t="s">
        <v>23</v>
      </c>
      <c r="E346" s="5">
        <v>45027</v>
      </c>
      <c r="F346">
        <v>38</v>
      </c>
      <c r="G346">
        <f>AVERAGEIF(calls[Representative], calls[[#This Row],[Representative]], calls[Satisfaction Rating])</f>
        <v>3.8973118279569863</v>
      </c>
      <c r="H346" t="str">
        <f>IF(AVERAGEIF(calls[Representative],calls[[#This Row],[Representative]],calls[Satisfaction Rating])&lt;3.5,"Needs Training","OK")</f>
        <v>OK</v>
      </c>
      <c r="I346">
        <v>3.3</v>
      </c>
      <c r="J346">
        <f>IF(MONTH(calls[[#This Row],[Date of Call]])&lt;=6, YEAR(calls[[#This Row],[Date of Call]]), YEAR(calls[[#This Row],[Date of Call]])+1)</f>
        <v>2023</v>
      </c>
      <c r="K346" t="str">
        <f>TEXT(calls[[#This Row],[Date of Call]],"DDDD")</f>
        <v>Tuesday</v>
      </c>
      <c r="L346" t="str" cm="1">
        <f t="array" ref="L346">_xlfn.IFS(calls[[#This Row],[Duration]]&lt;=10,"under 10 mins",calls[[#This Row],[Duration]]&lt;=30,"10 to 30mins",calls[[#This Row],[Duration]]&lt;=60,"60 to 30mins",calls[[#This Row],[Duration]]&lt;=120,"1 to 2hrs",TRUE,"More than 2 hrs")</f>
        <v>1 to 2hrs</v>
      </c>
      <c r="M346">
        <f>ROUND(calls[[#This Row],[Satisfaction Rating]],0)</f>
        <v>3</v>
      </c>
      <c r="N346">
        <f>COUNTIF(calls[Customer ID], calls[[#This Row],[Customer ID]])</f>
        <v>72</v>
      </c>
      <c r="O346">
        <f>SUMIF(calls[Customer ID], calls[[#This Row],[Customer ID]], calls[Purchase Amount])</f>
        <v>6242</v>
      </c>
      <c r="P346">
        <f>calls[[#This Row],[call count]]/calls[[#This Row],[Purchase Amount]]</f>
        <v>1.8947368421052631</v>
      </c>
      <c r="Q346">
        <f>COUNTIF(calls[Customer ID],calls[[#This Row],[Customer ID]])</f>
        <v>72</v>
      </c>
      <c r="R346">
        <f>calls[[#This Row],[call count]]/calls[[#This Row],[Purchase Amount]]</f>
        <v>1.8947368421052631</v>
      </c>
    </row>
    <row r="347" spans="1:18" x14ac:dyDescent="0.4">
      <c r="A347" t="s">
        <v>377</v>
      </c>
      <c r="B347" t="s">
        <v>54</v>
      </c>
      <c r="C347">
        <v>159</v>
      </c>
      <c r="D347" s="4" t="s">
        <v>23</v>
      </c>
      <c r="E347" s="5">
        <v>45027</v>
      </c>
      <c r="F347">
        <v>42</v>
      </c>
      <c r="G347">
        <f>AVERAGEIF(calls[Representative], calls[[#This Row],[Representative]], calls[Satisfaction Rating])</f>
        <v>3.8973118279569863</v>
      </c>
      <c r="H347" t="str">
        <f>IF(AVERAGEIF(calls[Representative],calls[[#This Row],[Representative]],calls[Satisfaction Rating])&lt;3.5,"Needs Training","OK")</f>
        <v>OK</v>
      </c>
      <c r="I347">
        <v>4.5</v>
      </c>
      <c r="J347">
        <f>IF(MONTH(calls[[#This Row],[Date of Call]])&lt;=6, YEAR(calls[[#This Row],[Date of Call]]), YEAR(calls[[#This Row],[Date of Call]])+1)</f>
        <v>2023</v>
      </c>
      <c r="K347" t="str">
        <f>TEXT(calls[[#This Row],[Date of Call]],"DDDD")</f>
        <v>Tuesday</v>
      </c>
      <c r="L347" t="str" cm="1">
        <f t="array" ref="L347">_xlfn.IFS(calls[[#This Row],[Duration]]&lt;=10,"under 10 mins",calls[[#This Row],[Duration]]&lt;=30,"10 to 30mins",calls[[#This Row],[Duration]]&lt;=60,"60 to 30mins",calls[[#This Row],[Duration]]&lt;=120,"1 to 2hrs",TRUE,"More than 2 hrs")</f>
        <v>More than 2 hrs</v>
      </c>
      <c r="M347">
        <f>ROUND(calls[[#This Row],[Satisfaction Rating]],0)</f>
        <v>5</v>
      </c>
      <c r="N347">
        <f>COUNTIF(calls[Customer ID], calls[[#This Row],[Customer ID]])</f>
        <v>70</v>
      </c>
      <c r="O347">
        <f>SUMIF(calls[Customer ID], calls[[#This Row],[Customer ID]], calls[Purchase Amount])</f>
        <v>6819</v>
      </c>
      <c r="P347">
        <f>calls[[#This Row],[call count]]/calls[[#This Row],[Purchase Amount]]</f>
        <v>1.6666666666666667</v>
      </c>
      <c r="Q347">
        <f>COUNTIF(calls[Customer ID],calls[[#This Row],[Customer ID]])</f>
        <v>70</v>
      </c>
      <c r="R347">
        <f>calls[[#This Row],[call count]]/calls[[#This Row],[Purchase Amount]]</f>
        <v>1.6666666666666667</v>
      </c>
    </row>
    <row r="348" spans="1:18" x14ac:dyDescent="0.4">
      <c r="A348" t="s">
        <v>378</v>
      </c>
      <c r="B348" t="s">
        <v>21</v>
      </c>
      <c r="C348">
        <v>25</v>
      </c>
      <c r="D348" s="4" t="s">
        <v>2</v>
      </c>
      <c r="E348" s="5">
        <v>45027</v>
      </c>
      <c r="F348">
        <v>75</v>
      </c>
      <c r="G348">
        <f>AVERAGEIF(calls[Representative], calls[[#This Row],[Representative]], calls[Satisfaction Rating])</f>
        <v>3.8824999999999998</v>
      </c>
      <c r="H348" t="str">
        <f>IF(AVERAGEIF(calls[Representative],calls[[#This Row],[Representative]],calls[Satisfaction Rating])&lt;3.5,"Needs Training","OK")</f>
        <v>OK</v>
      </c>
      <c r="I348">
        <v>3.9</v>
      </c>
      <c r="J348">
        <f>IF(MONTH(calls[[#This Row],[Date of Call]])&lt;=6, YEAR(calls[[#This Row],[Date of Call]]), YEAR(calls[[#This Row],[Date of Call]])+1)</f>
        <v>2023</v>
      </c>
      <c r="K348" t="str">
        <f>TEXT(calls[[#This Row],[Date of Call]],"DDDD")</f>
        <v>Tuesday</v>
      </c>
      <c r="L348" t="str" cm="1">
        <f t="array" ref="L348">_xlfn.IFS(calls[[#This Row],[Duration]]&lt;=10,"under 10 mins",calls[[#This Row],[Duration]]&lt;=30,"10 to 30mins",calls[[#This Row],[Duration]]&lt;=60,"60 to 30mins",calls[[#This Row],[Duration]]&lt;=120,"1 to 2hrs",TRUE,"More than 2 hrs")</f>
        <v>10 to 30mins</v>
      </c>
      <c r="M348">
        <f>ROUND(calls[[#This Row],[Satisfaction Rating]],0)</f>
        <v>4</v>
      </c>
      <c r="N348">
        <f>COUNTIF(calls[Customer ID], calls[[#This Row],[Customer ID]])</f>
        <v>67</v>
      </c>
      <c r="O348">
        <f>SUMIF(calls[Customer ID], calls[[#This Row],[Customer ID]], calls[Purchase Amount])</f>
        <v>7216</v>
      </c>
      <c r="P348">
        <f>calls[[#This Row],[call count]]/calls[[#This Row],[Purchase Amount]]</f>
        <v>0.89333333333333331</v>
      </c>
      <c r="Q348">
        <f>COUNTIF(calls[Customer ID],calls[[#This Row],[Customer ID]])</f>
        <v>67</v>
      </c>
      <c r="R348">
        <f>calls[[#This Row],[call count]]/calls[[#This Row],[Purchase Amount]]</f>
        <v>0.89333333333333331</v>
      </c>
    </row>
    <row r="349" spans="1:18" x14ac:dyDescent="0.4">
      <c r="A349" t="s">
        <v>379</v>
      </c>
      <c r="B349" t="s">
        <v>54</v>
      </c>
      <c r="C349">
        <v>53</v>
      </c>
      <c r="D349" s="4" t="s">
        <v>27</v>
      </c>
      <c r="E349" s="5">
        <v>45028</v>
      </c>
      <c r="F349">
        <v>23</v>
      </c>
      <c r="G349">
        <f>AVERAGEIF(calls[Representative], calls[[#This Row],[Representative]], calls[Satisfaction Rating])</f>
        <v>3.8589371980676304</v>
      </c>
      <c r="H349" t="str">
        <f>IF(AVERAGEIF(calls[Representative],calls[[#This Row],[Representative]],calls[Satisfaction Rating])&lt;3.5,"Needs Training","OK")</f>
        <v>OK</v>
      </c>
      <c r="I349">
        <v>4.9000000000000004</v>
      </c>
      <c r="J349">
        <f>IF(MONTH(calls[[#This Row],[Date of Call]])&lt;=6, YEAR(calls[[#This Row],[Date of Call]]), YEAR(calls[[#This Row],[Date of Call]])+1)</f>
        <v>2023</v>
      </c>
      <c r="K349" t="str">
        <f>TEXT(calls[[#This Row],[Date of Call]],"DDDD")</f>
        <v>Wednesday</v>
      </c>
      <c r="L349" t="str" cm="1">
        <f t="array" ref="L349">_xlfn.IFS(calls[[#This Row],[Duration]]&lt;=10,"under 10 mins",calls[[#This Row],[Duration]]&lt;=30,"10 to 30mins",calls[[#This Row],[Duration]]&lt;=60,"60 to 30mins",calls[[#This Row],[Duration]]&lt;=120,"1 to 2hrs",TRUE,"More than 2 hrs")</f>
        <v>60 to 30mins</v>
      </c>
      <c r="M349">
        <f>ROUND(calls[[#This Row],[Satisfaction Rating]],0)</f>
        <v>5</v>
      </c>
      <c r="N349">
        <f>COUNTIF(calls[Customer ID], calls[[#This Row],[Customer ID]])</f>
        <v>70</v>
      </c>
      <c r="O349">
        <f>SUMIF(calls[Customer ID], calls[[#This Row],[Customer ID]], calls[Purchase Amount])</f>
        <v>6819</v>
      </c>
      <c r="P349">
        <f>calls[[#This Row],[call count]]/calls[[#This Row],[Purchase Amount]]</f>
        <v>3.0434782608695654</v>
      </c>
      <c r="Q349">
        <f>COUNTIF(calls[Customer ID],calls[[#This Row],[Customer ID]])</f>
        <v>70</v>
      </c>
      <c r="R349">
        <f>calls[[#This Row],[call count]]/calls[[#This Row],[Purchase Amount]]</f>
        <v>3.0434782608695654</v>
      </c>
    </row>
    <row r="350" spans="1:18" x14ac:dyDescent="0.4">
      <c r="A350" t="s">
        <v>380</v>
      </c>
      <c r="B350" t="s">
        <v>54</v>
      </c>
      <c r="C350">
        <v>89</v>
      </c>
      <c r="D350" s="4" t="s">
        <v>2</v>
      </c>
      <c r="E350" s="5">
        <v>45028</v>
      </c>
      <c r="F350">
        <v>200</v>
      </c>
      <c r="G350">
        <f>AVERAGEIF(calls[Representative], calls[[#This Row],[Representative]], calls[Satisfaction Rating])</f>
        <v>3.8824999999999998</v>
      </c>
      <c r="H350" t="str">
        <f>IF(AVERAGEIF(calls[Representative],calls[[#This Row],[Representative]],calls[Satisfaction Rating])&lt;3.5,"Needs Training","OK")</f>
        <v>OK</v>
      </c>
      <c r="I350">
        <v>4.8</v>
      </c>
      <c r="J350">
        <f>IF(MONTH(calls[[#This Row],[Date of Call]])&lt;=6, YEAR(calls[[#This Row],[Date of Call]]), YEAR(calls[[#This Row],[Date of Call]])+1)</f>
        <v>2023</v>
      </c>
      <c r="K350" t="str">
        <f>TEXT(calls[[#This Row],[Date of Call]],"DDDD")</f>
        <v>Wednesday</v>
      </c>
      <c r="L350" t="str" cm="1">
        <f t="array" ref="L350">_xlfn.IFS(calls[[#This Row],[Duration]]&lt;=10,"under 10 mins",calls[[#This Row],[Duration]]&lt;=30,"10 to 30mins",calls[[#This Row],[Duration]]&lt;=60,"60 to 30mins",calls[[#This Row],[Duration]]&lt;=120,"1 to 2hrs",TRUE,"More than 2 hrs")</f>
        <v>1 to 2hrs</v>
      </c>
      <c r="M350">
        <f>ROUND(calls[[#This Row],[Satisfaction Rating]],0)</f>
        <v>5</v>
      </c>
      <c r="N350">
        <f>COUNTIF(calls[Customer ID], calls[[#This Row],[Customer ID]])</f>
        <v>70</v>
      </c>
      <c r="O350">
        <f>SUMIF(calls[Customer ID], calls[[#This Row],[Customer ID]], calls[Purchase Amount])</f>
        <v>6819</v>
      </c>
      <c r="P350">
        <f>calls[[#This Row],[call count]]/calls[[#This Row],[Purchase Amount]]</f>
        <v>0.35</v>
      </c>
      <c r="Q350">
        <f>COUNTIF(calls[Customer ID],calls[[#This Row],[Customer ID]])</f>
        <v>70</v>
      </c>
      <c r="R350">
        <f>calls[[#This Row],[call count]]/calls[[#This Row],[Purchase Amount]]</f>
        <v>0.35</v>
      </c>
    </row>
    <row r="351" spans="1:18" x14ac:dyDescent="0.4">
      <c r="A351" t="s">
        <v>381</v>
      </c>
      <c r="B351" t="s">
        <v>11</v>
      </c>
      <c r="C351">
        <v>73</v>
      </c>
      <c r="D351" s="4" t="s">
        <v>9</v>
      </c>
      <c r="E351" s="5">
        <v>45029</v>
      </c>
      <c r="F351">
        <v>45</v>
      </c>
      <c r="G351">
        <f>AVERAGEIF(calls[Representative], calls[[#This Row],[Representative]], calls[Satisfaction Rating])</f>
        <v>3.8706422018348627</v>
      </c>
      <c r="H351" t="str">
        <f>IF(AVERAGEIF(calls[Representative],calls[[#This Row],[Representative]],calls[Satisfaction Rating])&lt;3.5,"Needs Training","OK")</f>
        <v>OK</v>
      </c>
      <c r="I351">
        <v>3.6</v>
      </c>
      <c r="J351">
        <f>IF(MONTH(calls[[#This Row],[Date of Call]])&lt;=6, YEAR(calls[[#This Row],[Date of Call]]), YEAR(calls[[#This Row],[Date of Call]])+1)</f>
        <v>2023</v>
      </c>
      <c r="K351" t="str">
        <f>TEXT(calls[[#This Row],[Date of Call]],"DDDD")</f>
        <v>Thursday</v>
      </c>
      <c r="L351" t="str" cm="1">
        <f t="array" ref="L351">_xlfn.IFS(calls[[#This Row],[Duration]]&lt;=10,"under 10 mins",calls[[#This Row],[Duration]]&lt;=30,"10 to 30mins",calls[[#This Row],[Duration]]&lt;=60,"60 to 30mins",calls[[#This Row],[Duration]]&lt;=120,"1 to 2hrs",TRUE,"More than 2 hrs")</f>
        <v>1 to 2hrs</v>
      </c>
      <c r="M351">
        <f>ROUND(calls[[#This Row],[Satisfaction Rating]],0)</f>
        <v>4</v>
      </c>
      <c r="N351">
        <f>COUNTIF(calls[Customer ID], calls[[#This Row],[Customer ID]])</f>
        <v>60</v>
      </c>
      <c r="O351">
        <f>SUMIF(calls[Customer ID], calls[[#This Row],[Customer ID]], calls[Purchase Amount])</f>
        <v>5404</v>
      </c>
      <c r="P351">
        <f>calls[[#This Row],[call count]]/calls[[#This Row],[Purchase Amount]]</f>
        <v>1.3333333333333333</v>
      </c>
      <c r="Q351">
        <f>COUNTIF(calls[Customer ID],calls[[#This Row],[Customer ID]])</f>
        <v>60</v>
      </c>
      <c r="R351">
        <f>calls[[#This Row],[call count]]/calls[[#This Row],[Purchase Amount]]</f>
        <v>1.3333333333333333</v>
      </c>
    </row>
    <row r="352" spans="1:18" x14ac:dyDescent="0.4">
      <c r="A352" t="s">
        <v>382</v>
      </c>
      <c r="B352" t="s">
        <v>51</v>
      </c>
      <c r="C352">
        <v>50</v>
      </c>
      <c r="D352" s="4" t="s">
        <v>9</v>
      </c>
      <c r="E352" s="5">
        <v>45029</v>
      </c>
      <c r="F352">
        <v>105</v>
      </c>
      <c r="G352">
        <f>AVERAGEIF(calls[Representative], calls[[#This Row],[Representative]], calls[Satisfaction Rating])</f>
        <v>3.8706422018348627</v>
      </c>
      <c r="H352" t="str">
        <f>IF(AVERAGEIF(calls[Representative],calls[[#This Row],[Representative]],calls[Satisfaction Rating])&lt;3.5,"Needs Training","OK")</f>
        <v>OK</v>
      </c>
      <c r="I352">
        <v>3.5</v>
      </c>
      <c r="J352">
        <f>IF(MONTH(calls[[#This Row],[Date of Call]])&lt;=6, YEAR(calls[[#This Row],[Date of Call]]), YEAR(calls[[#This Row],[Date of Call]])+1)</f>
        <v>2023</v>
      </c>
      <c r="K352" t="str">
        <f>TEXT(calls[[#This Row],[Date of Call]],"DDDD")</f>
        <v>Thursday</v>
      </c>
      <c r="L352" t="str" cm="1">
        <f t="array" ref="L352">_xlfn.IFS(calls[[#This Row],[Duration]]&lt;=10,"under 10 mins",calls[[#This Row],[Duration]]&lt;=30,"10 to 30mins",calls[[#This Row],[Duration]]&lt;=60,"60 to 30mins",calls[[#This Row],[Duration]]&lt;=120,"1 to 2hrs",TRUE,"More than 2 hrs")</f>
        <v>60 to 30mins</v>
      </c>
      <c r="M352">
        <f>ROUND(calls[[#This Row],[Satisfaction Rating]],0)</f>
        <v>4</v>
      </c>
      <c r="N352">
        <f>COUNTIF(calls[Customer ID], calls[[#This Row],[Customer ID]])</f>
        <v>59</v>
      </c>
      <c r="O352">
        <f>SUMIF(calls[Customer ID], calls[[#This Row],[Customer ID]], calls[Purchase Amount])</f>
        <v>6518</v>
      </c>
      <c r="P352">
        <f>calls[[#This Row],[call count]]/calls[[#This Row],[Purchase Amount]]</f>
        <v>0.56190476190476191</v>
      </c>
      <c r="Q352">
        <f>COUNTIF(calls[Customer ID],calls[[#This Row],[Customer ID]])</f>
        <v>59</v>
      </c>
      <c r="R352">
        <f>calls[[#This Row],[call count]]/calls[[#This Row],[Purchase Amount]]</f>
        <v>0.56190476190476191</v>
      </c>
    </row>
    <row r="353" spans="1:18" x14ac:dyDescent="0.4">
      <c r="A353" t="s">
        <v>383</v>
      </c>
      <c r="B353" t="s">
        <v>13</v>
      </c>
      <c r="C353">
        <v>98</v>
      </c>
      <c r="D353" s="4" t="s">
        <v>9</v>
      </c>
      <c r="E353" s="5">
        <v>45029</v>
      </c>
      <c r="F353">
        <v>22</v>
      </c>
      <c r="G353">
        <f>AVERAGEIF(calls[Representative], calls[[#This Row],[Representative]], calls[Satisfaction Rating])</f>
        <v>3.8706422018348627</v>
      </c>
      <c r="H353" t="str">
        <f>IF(AVERAGEIF(calls[Representative],calls[[#This Row],[Representative]],calls[Satisfaction Rating])&lt;3.5,"Needs Training","OK")</f>
        <v>OK</v>
      </c>
      <c r="I353">
        <v>3.8</v>
      </c>
      <c r="J353">
        <f>IF(MONTH(calls[[#This Row],[Date of Call]])&lt;=6, YEAR(calls[[#This Row],[Date of Call]]), YEAR(calls[[#This Row],[Date of Call]])+1)</f>
        <v>2023</v>
      </c>
      <c r="K353" t="str">
        <f>TEXT(calls[[#This Row],[Date of Call]],"DDDD")</f>
        <v>Thursday</v>
      </c>
      <c r="L353" t="str" cm="1">
        <f t="array" ref="L353">_xlfn.IFS(calls[[#This Row],[Duration]]&lt;=10,"under 10 mins",calls[[#This Row],[Duration]]&lt;=30,"10 to 30mins",calls[[#This Row],[Duration]]&lt;=60,"60 to 30mins",calls[[#This Row],[Duration]]&lt;=120,"1 to 2hrs",TRUE,"More than 2 hrs")</f>
        <v>1 to 2hrs</v>
      </c>
      <c r="M353">
        <f>ROUND(calls[[#This Row],[Satisfaction Rating]],0)</f>
        <v>4</v>
      </c>
      <c r="N353">
        <f>COUNTIF(calls[Customer ID], calls[[#This Row],[Customer ID]])</f>
        <v>74</v>
      </c>
      <c r="O353">
        <f>SUMIF(calls[Customer ID], calls[[#This Row],[Customer ID]], calls[Purchase Amount])</f>
        <v>6749</v>
      </c>
      <c r="P353">
        <f>calls[[#This Row],[call count]]/calls[[#This Row],[Purchase Amount]]</f>
        <v>3.3636363636363638</v>
      </c>
      <c r="Q353">
        <f>COUNTIF(calls[Customer ID],calls[[#This Row],[Customer ID]])</f>
        <v>74</v>
      </c>
      <c r="R353">
        <f>calls[[#This Row],[call count]]/calls[[#This Row],[Purchase Amount]]</f>
        <v>3.3636363636363638</v>
      </c>
    </row>
    <row r="354" spans="1:18" x14ac:dyDescent="0.4">
      <c r="A354" t="s">
        <v>384</v>
      </c>
      <c r="B354" t="s">
        <v>30</v>
      </c>
      <c r="C354">
        <v>114</v>
      </c>
      <c r="D354" s="4" t="s">
        <v>23</v>
      </c>
      <c r="E354" s="5">
        <v>45030</v>
      </c>
      <c r="F354">
        <v>126</v>
      </c>
      <c r="G354">
        <f>AVERAGEIF(calls[Representative], calls[[#This Row],[Representative]], calls[Satisfaction Rating])</f>
        <v>3.8973118279569863</v>
      </c>
      <c r="H354" t="str">
        <f>IF(AVERAGEIF(calls[Representative],calls[[#This Row],[Representative]],calls[Satisfaction Rating])&lt;3.5,"Needs Training","OK")</f>
        <v>OK</v>
      </c>
      <c r="I354">
        <v>4.4000000000000004</v>
      </c>
      <c r="J354">
        <f>IF(MONTH(calls[[#This Row],[Date of Call]])&lt;=6, YEAR(calls[[#This Row],[Date of Call]]), YEAR(calls[[#This Row],[Date of Call]])+1)</f>
        <v>2023</v>
      </c>
      <c r="K354" t="str">
        <f>TEXT(calls[[#This Row],[Date of Call]],"DDDD")</f>
        <v>Friday</v>
      </c>
      <c r="L354" t="str" cm="1">
        <f t="array" ref="L354">_xlfn.IFS(calls[[#This Row],[Duration]]&lt;=10,"under 10 mins",calls[[#This Row],[Duration]]&lt;=30,"10 to 30mins",calls[[#This Row],[Duration]]&lt;=60,"60 to 30mins",calls[[#This Row],[Duration]]&lt;=120,"1 to 2hrs",TRUE,"More than 2 hrs")</f>
        <v>1 to 2hrs</v>
      </c>
      <c r="M354">
        <f>ROUND(calls[[#This Row],[Satisfaction Rating]],0)</f>
        <v>4</v>
      </c>
      <c r="N354">
        <f>COUNTIF(calls[Customer ID], calls[[#This Row],[Customer ID]])</f>
        <v>69</v>
      </c>
      <c r="O354">
        <f>SUMIF(calls[Customer ID], calls[[#This Row],[Customer ID]], calls[Purchase Amount])</f>
        <v>7230</v>
      </c>
      <c r="P354">
        <f>calls[[#This Row],[call count]]/calls[[#This Row],[Purchase Amount]]</f>
        <v>0.54761904761904767</v>
      </c>
      <c r="Q354">
        <f>COUNTIF(calls[Customer ID],calls[[#This Row],[Customer ID]])</f>
        <v>69</v>
      </c>
      <c r="R354">
        <f>calls[[#This Row],[call count]]/calls[[#This Row],[Purchase Amount]]</f>
        <v>0.54761904761904767</v>
      </c>
    </row>
    <row r="355" spans="1:18" x14ac:dyDescent="0.4">
      <c r="A355" t="s">
        <v>385</v>
      </c>
      <c r="B355" t="s">
        <v>44</v>
      </c>
      <c r="C355">
        <v>67</v>
      </c>
      <c r="D355" s="4" t="s">
        <v>23</v>
      </c>
      <c r="E355" s="5">
        <v>45030</v>
      </c>
      <c r="F355">
        <v>35</v>
      </c>
      <c r="G355">
        <f>AVERAGEIF(calls[Representative], calls[[#This Row],[Representative]], calls[Satisfaction Rating])</f>
        <v>3.8973118279569863</v>
      </c>
      <c r="H355" t="str">
        <f>IF(AVERAGEIF(calls[Representative],calls[[#This Row],[Representative]],calls[Satisfaction Rating])&lt;3.5,"Needs Training","OK")</f>
        <v>OK</v>
      </c>
      <c r="I355">
        <v>3</v>
      </c>
      <c r="J355">
        <f>IF(MONTH(calls[[#This Row],[Date of Call]])&lt;=6, YEAR(calls[[#This Row],[Date of Call]]), YEAR(calls[[#This Row],[Date of Call]])+1)</f>
        <v>2023</v>
      </c>
      <c r="K355" t="str">
        <f>TEXT(calls[[#This Row],[Date of Call]],"DDDD")</f>
        <v>Friday</v>
      </c>
      <c r="L355" t="str" cm="1">
        <f t="array" ref="L355">_xlfn.IFS(calls[[#This Row],[Duration]]&lt;=10,"under 10 mins",calls[[#This Row],[Duration]]&lt;=30,"10 to 30mins",calls[[#This Row],[Duration]]&lt;=60,"60 to 30mins",calls[[#This Row],[Duration]]&lt;=120,"1 to 2hrs",TRUE,"More than 2 hrs")</f>
        <v>1 to 2hrs</v>
      </c>
      <c r="M355">
        <f>ROUND(calls[[#This Row],[Satisfaction Rating]],0)</f>
        <v>3</v>
      </c>
      <c r="N355">
        <f>COUNTIF(calls[Customer ID], calls[[#This Row],[Customer ID]])</f>
        <v>62</v>
      </c>
      <c r="O355">
        <f>SUMIF(calls[Customer ID], calls[[#This Row],[Customer ID]], calls[Purchase Amount])</f>
        <v>6176</v>
      </c>
      <c r="P355">
        <f>calls[[#This Row],[call count]]/calls[[#This Row],[Purchase Amount]]</f>
        <v>1.7714285714285714</v>
      </c>
      <c r="Q355">
        <f>COUNTIF(calls[Customer ID],calls[[#This Row],[Customer ID]])</f>
        <v>62</v>
      </c>
      <c r="R355">
        <f>calls[[#This Row],[call count]]/calls[[#This Row],[Purchase Amount]]</f>
        <v>1.7714285714285714</v>
      </c>
    </row>
    <row r="356" spans="1:18" x14ac:dyDescent="0.4">
      <c r="A356" t="s">
        <v>386</v>
      </c>
      <c r="B356" t="s">
        <v>8</v>
      </c>
      <c r="C356">
        <v>91</v>
      </c>
      <c r="D356" s="4" t="s">
        <v>9</v>
      </c>
      <c r="E356" s="5">
        <v>45030</v>
      </c>
      <c r="F356">
        <v>84</v>
      </c>
      <c r="G356">
        <f>AVERAGEIF(calls[Representative], calls[[#This Row],[Representative]], calls[Satisfaction Rating])</f>
        <v>3.8706422018348627</v>
      </c>
      <c r="H356" t="str">
        <f>IF(AVERAGEIF(calls[Representative],calls[[#This Row],[Representative]],calls[Satisfaction Rating])&lt;3.5,"Needs Training","OK")</f>
        <v>OK</v>
      </c>
      <c r="I356">
        <v>4.5</v>
      </c>
      <c r="J356">
        <f>IF(MONTH(calls[[#This Row],[Date of Call]])&lt;=6, YEAR(calls[[#This Row],[Date of Call]]), YEAR(calls[[#This Row],[Date of Call]])+1)</f>
        <v>2023</v>
      </c>
      <c r="K356" t="str">
        <f>TEXT(calls[[#This Row],[Date of Call]],"DDDD")</f>
        <v>Friday</v>
      </c>
      <c r="L356" t="str" cm="1">
        <f t="array" ref="L356">_xlfn.IFS(calls[[#This Row],[Duration]]&lt;=10,"under 10 mins",calls[[#This Row],[Duration]]&lt;=30,"10 to 30mins",calls[[#This Row],[Duration]]&lt;=60,"60 to 30mins",calls[[#This Row],[Duration]]&lt;=120,"1 to 2hrs",TRUE,"More than 2 hrs")</f>
        <v>1 to 2hrs</v>
      </c>
      <c r="M356">
        <f>ROUND(calls[[#This Row],[Satisfaction Rating]],0)</f>
        <v>5</v>
      </c>
      <c r="N356">
        <f>COUNTIF(calls[Customer ID], calls[[#This Row],[Customer ID]])</f>
        <v>79</v>
      </c>
      <c r="O356">
        <f>SUMIF(calls[Customer ID], calls[[#This Row],[Customer ID]], calls[Purchase Amount])</f>
        <v>7747</v>
      </c>
      <c r="P356">
        <f>calls[[#This Row],[call count]]/calls[[#This Row],[Purchase Amount]]</f>
        <v>0.94047619047619047</v>
      </c>
      <c r="Q356">
        <f>COUNTIF(calls[Customer ID],calls[[#This Row],[Customer ID]])</f>
        <v>79</v>
      </c>
      <c r="R356">
        <f>calls[[#This Row],[call count]]/calls[[#This Row],[Purchase Amount]]</f>
        <v>0.94047619047619047</v>
      </c>
    </row>
    <row r="357" spans="1:18" x14ac:dyDescent="0.4">
      <c r="A357" t="s">
        <v>387</v>
      </c>
      <c r="B357" t="s">
        <v>84</v>
      </c>
      <c r="C357">
        <v>67</v>
      </c>
      <c r="D357" s="4" t="s">
        <v>9</v>
      </c>
      <c r="E357" s="5">
        <v>45031</v>
      </c>
      <c r="F357">
        <v>172</v>
      </c>
      <c r="G357">
        <f>AVERAGEIF(calls[Representative], calls[[#This Row],[Representative]], calls[Satisfaction Rating])</f>
        <v>3.8706422018348627</v>
      </c>
      <c r="H357" t="str">
        <f>IF(AVERAGEIF(calls[Representative],calls[[#This Row],[Representative]],calls[Satisfaction Rating])&lt;3.5,"Needs Training","OK")</f>
        <v>OK</v>
      </c>
      <c r="I357">
        <v>4.5</v>
      </c>
      <c r="J357">
        <f>IF(MONTH(calls[[#This Row],[Date of Call]])&lt;=6, YEAR(calls[[#This Row],[Date of Call]]), YEAR(calls[[#This Row],[Date of Call]])+1)</f>
        <v>2023</v>
      </c>
      <c r="K357" t="str">
        <f>TEXT(calls[[#This Row],[Date of Call]],"DDDD")</f>
        <v>Saturday</v>
      </c>
      <c r="L357" t="str" cm="1">
        <f t="array" ref="L357">_xlfn.IFS(calls[[#This Row],[Duration]]&lt;=10,"under 10 mins",calls[[#This Row],[Duration]]&lt;=30,"10 to 30mins",calls[[#This Row],[Duration]]&lt;=60,"60 to 30mins",calls[[#This Row],[Duration]]&lt;=120,"1 to 2hrs",TRUE,"More than 2 hrs")</f>
        <v>1 to 2hrs</v>
      </c>
      <c r="M357">
        <f>ROUND(calls[[#This Row],[Satisfaction Rating]],0)</f>
        <v>5</v>
      </c>
      <c r="N357">
        <f>COUNTIF(calls[Customer ID], calls[[#This Row],[Customer ID]])</f>
        <v>59</v>
      </c>
      <c r="O357">
        <f>SUMIF(calls[Customer ID], calls[[#This Row],[Customer ID]], calls[Purchase Amount])</f>
        <v>5009</v>
      </c>
      <c r="P357">
        <f>calls[[#This Row],[call count]]/calls[[#This Row],[Purchase Amount]]</f>
        <v>0.34302325581395349</v>
      </c>
      <c r="Q357">
        <f>COUNTIF(calls[Customer ID],calls[[#This Row],[Customer ID]])</f>
        <v>59</v>
      </c>
      <c r="R357">
        <f>calls[[#This Row],[call count]]/calls[[#This Row],[Purchase Amount]]</f>
        <v>0.34302325581395349</v>
      </c>
    </row>
    <row r="358" spans="1:18" x14ac:dyDescent="0.4">
      <c r="A358" t="s">
        <v>388</v>
      </c>
      <c r="B358" t="s">
        <v>30</v>
      </c>
      <c r="C358">
        <v>139</v>
      </c>
      <c r="D358" s="4" t="s">
        <v>2</v>
      </c>
      <c r="E358" s="5">
        <v>45031</v>
      </c>
      <c r="F358">
        <v>114</v>
      </c>
      <c r="G358">
        <f>AVERAGEIF(calls[Representative], calls[[#This Row],[Representative]], calls[Satisfaction Rating])</f>
        <v>3.8824999999999998</v>
      </c>
      <c r="H358" t="str">
        <f>IF(AVERAGEIF(calls[Representative],calls[[#This Row],[Representative]],calls[Satisfaction Rating])&lt;3.5,"Needs Training","OK")</f>
        <v>OK</v>
      </c>
      <c r="I358">
        <v>4</v>
      </c>
      <c r="J358">
        <f>IF(MONTH(calls[[#This Row],[Date of Call]])&lt;=6, YEAR(calls[[#This Row],[Date of Call]]), YEAR(calls[[#This Row],[Date of Call]])+1)</f>
        <v>2023</v>
      </c>
      <c r="K358" t="str">
        <f>TEXT(calls[[#This Row],[Date of Call]],"DDDD")</f>
        <v>Saturday</v>
      </c>
      <c r="L358" t="str" cm="1">
        <f t="array" ref="L358">_xlfn.IFS(calls[[#This Row],[Duration]]&lt;=10,"under 10 mins",calls[[#This Row],[Duration]]&lt;=30,"10 to 30mins",calls[[#This Row],[Duration]]&lt;=60,"60 to 30mins",calls[[#This Row],[Duration]]&lt;=120,"1 to 2hrs",TRUE,"More than 2 hrs")</f>
        <v>More than 2 hrs</v>
      </c>
      <c r="M358">
        <f>ROUND(calls[[#This Row],[Satisfaction Rating]],0)</f>
        <v>4</v>
      </c>
      <c r="N358">
        <f>COUNTIF(calls[Customer ID], calls[[#This Row],[Customer ID]])</f>
        <v>69</v>
      </c>
      <c r="O358">
        <f>SUMIF(calls[Customer ID], calls[[#This Row],[Customer ID]], calls[Purchase Amount])</f>
        <v>7230</v>
      </c>
      <c r="P358">
        <f>calls[[#This Row],[call count]]/calls[[#This Row],[Purchase Amount]]</f>
        <v>0.60526315789473684</v>
      </c>
      <c r="Q358">
        <f>COUNTIF(calls[Customer ID],calls[[#This Row],[Customer ID]])</f>
        <v>69</v>
      </c>
      <c r="R358">
        <f>calls[[#This Row],[call count]]/calls[[#This Row],[Purchase Amount]]</f>
        <v>0.60526315789473684</v>
      </c>
    </row>
    <row r="359" spans="1:18" x14ac:dyDescent="0.4">
      <c r="A359" t="s">
        <v>389</v>
      </c>
      <c r="B359" t="s">
        <v>84</v>
      </c>
      <c r="C359">
        <v>102</v>
      </c>
      <c r="D359" s="4" t="s">
        <v>2</v>
      </c>
      <c r="E359" s="5">
        <v>45031</v>
      </c>
      <c r="F359">
        <v>60</v>
      </c>
      <c r="G359">
        <f>AVERAGEIF(calls[Representative], calls[[#This Row],[Representative]], calls[Satisfaction Rating])</f>
        <v>3.8824999999999998</v>
      </c>
      <c r="H359" t="str">
        <f>IF(AVERAGEIF(calls[Representative],calls[[#This Row],[Representative]],calls[Satisfaction Rating])&lt;3.5,"Needs Training","OK")</f>
        <v>OK</v>
      </c>
      <c r="I359">
        <v>3.8</v>
      </c>
      <c r="J359">
        <f>IF(MONTH(calls[[#This Row],[Date of Call]])&lt;=6, YEAR(calls[[#This Row],[Date of Call]]), YEAR(calls[[#This Row],[Date of Call]])+1)</f>
        <v>2023</v>
      </c>
      <c r="K359" t="str">
        <f>TEXT(calls[[#This Row],[Date of Call]],"DDDD")</f>
        <v>Saturday</v>
      </c>
      <c r="L359" t="str" cm="1">
        <f t="array" ref="L359">_xlfn.IFS(calls[[#This Row],[Duration]]&lt;=10,"under 10 mins",calls[[#This Row],[Duration]]&lt;=30,"10 to 30mins",calls[[#This Row],[Duration]]&lt;=60,"60 to 30mins",calls[[#This Row],[Duration]]&lt;=120,"1 to 2hrs",TRUE,"More than 2 hrs")</f>
        <v>1 to 2hrs</v>
      </c>
      <c r="M359">
        <f>ROUND(calls[[#This Row],[Satisfaction Rating]],0)</f>
        <v>4</v>
      </c>
      <c r="N359">
        <f>COUNTIF(calls[Customer ID], calls[[#This Row],[Customer ID]])</f>
        <v>59</v>
      </c>
      <c r="O359">
        <f>SUMIF(calls[Customer ID], calls[[#This Row],[Customer ID]], calls[Purchase Amount])</f>
        <v>5009</v>
      </c>
      <c r="P359">
        <f>calls[[#This Row],[call count]]/calls[[#This Row],[Purchase Amount]]</f>
        <v>0.98333333333333328</v>
      </c>
      <c r="Q359">
        <f>COUNTIF(calls[Customer ID],calls[[#This Row],[Customer ID]])</f>
        <v>59</v>
      </c>
      <c r="R359">
        <f>calls[[#This Row],[call count]]/calls[[#This Row],[Purchase Amount]]</f>
        <v>0.98333333333333328</v>
      </c>
    </row>
    <row r="360" spans="1:18" x14ac:dyDescent="0.4">
      <c r="A360" t="s">
        <v>390</v>
      </c>
      <c r="B360" t="s">
        <v>64</v>
      </c>
      <c r="C360">
        <v>108</v>
      </c>
      <c r="D360" s="4" t="s">
        <v>14</v>
      </c>
      <c r="E360" s="5">
        <v>45031</v>
      </c>
      <c r="F360">
        <v>26</v>
      </c>
      <c r="G360">
        <f>AVERAGEIF(calls[Representative], calls[[#This Row],[Representative]], calls[Satisfaction Rating])</f>
        <v>3.9227513227513247</v>
      </c>
      <c r="H360" t="str">
        <f>IF(AVERAGEIF(calls[Representative],calls[[#This Row],[Representative]],calls[Satisfaction Rating])&lt;3.5,"Needs Training","OK")</f>
        <v>OK</v>
      </c>
      <c r="I360">
        <v>3.3</v>
      </c>
      <c r="J360">
        <f>IF(MONTH(calls[[#This Row],[Date of Call]])&lt;=6, YEAR(calls[[#This Row],[Date of Call]]), YEAR(calls[[#This Row],[Date of Call]])+1)</f>
        <v>2023</v>
      </c>
      <c r="K360" t="str">
        <f>TEXT(calls[[#This Row],[Date of Call]],"DDDD")</f>
        <v>Saturday</v>
      </c>
      <c r="L360" t="str" cm="1">
        <f t="array" ref="L360">_xlfn.IFS(calls[[#This Row],[Duration]]&lt;=10,"under 10 mins",calls[[#This Row],[Duration]]&lt;=30,"10 to 30mins",calls[[#This Row],[Duration]]&lt;=60,"60 to 30mins",calls[[#This Row],[Duration]]&lt;=120,"1 to 2hrs",TRUE,"More than 2 hrs")</f>
        <v>1 to 2hrs</v>
      </c>
      <c r="M360">
        <f>ROUND(calls[[#This Row],[Satisfaction Rating]],0)</f>
        <v>3</v>
      </c>
      <c r="N360">
        <f>COUNTIF(calls[Customer ID], calls[[#This Row],[Customer ID]])</f>
        <v>65</v>
      </c>
      <c r="O360">
        <f>SUMIF(calls[Customer ID], calls[[#This Row],[Customer ID]], calls[Purchase Amount])</f>
        <v>6785</v>
      </c>
      <c r="P360">
        <f>calls[[#This Row],[call count]]/calls[[#This Row],[Purchase Amount]]</f>
        <v>2.5</v>
      </c>
      <c r="Q360">
        <f>COUNTIF(calls[Customer ID],calls[[#This Row],[Customer ID]])</f>
        <v>65</v>
      </c>
      <c r="R360">
        <f>calls[[#This Row],[call count]]/calls[[#This Row],[Purchase Amount]]</f>
        <v>2.5</v>
      </c>
    </row>
    <row r="361" spans="1:18" x14ac:dyDescent="0.4">
      <c r="A361" t="s">
        <v>391</v>
      </c>
      <c r="B361" t="s">
        <v>21</v>
      </c>
      <c r="C361">
        <v>66</v>
      </c>
      <c r="D361" s="4" t="s">
        <v>9</v>
      </c>
      <c r="E361" s="5">
        <v>45031</v>
      </c>
      <c r="F361">
        <v>210</v>
      </c>
      <c r="G361">
        <f>AVERAGEIF(calls[Representative], calls[[#This Row],[Representative]], calls[Satisfaction Rating])</f>
        <v>3.8706422018348627</v>
      </c>
      <c r="H361" t="str">
        <f>IF(AVERAGEIF(calls[Representative],calls[[#This Row],[Representative]],calls[Satisfaction Rating])&lt;3.5,"Needs Training","OK")</f>
        <v>OK</v>
      </c>
      <c r="I361">
        <v>4.3</v>
      </c>
      <c r="J361">
        <f>IF(MONTH(calls[[#This Row],[Date of Call]])&lt;=6, YEAR(calls[[#This Row],[Date of Call]]), YEAR(calls[[#This Row],[Date of Call]])+1)</f>
        <v>2023</v>
      </c>
      <c r="K361" t="str">
        <f>TEXT(calls[[#This Row],[Date of Call]],"DDDD")</f>
        <v>Saturday</v>
      </c>
      <c r="L361" t="str" cm="1">
        <f t="array" ref="L361">_xlfn.IFS(calls[[#This Row],[Duration]]&lt;=10,"under 10 mins",calls[[#This Row],[Duration]]&lt;=30,"10 to 30mins",calls[[#This Row],[Duration]]&lt;=60,"60 to 30mins",calls[[#This Row],[Duration]]&lt;=120,"1 to 2hrs",TRUE,"More than 2 hrs")</f>
        <v>1 to 2hrs</v>
      </c>
      <c r="M361">
        <f>ROUND(calls[[#This Row],[Satisfaction Rating]],0)</f>
        <v>4</v>
      </c>
      <c r="N361">
        <f>COUNTIF(calls[Customer ID], calls[[#This Row],[Customer ID]])</f>
        <v>67</v>
      </c>
      <c r="O361">
        <f>SUMIF(calls[Customer ID], calls[[#This Row],[Customer ID]], calls[Purchase Amount])</f>
        <v>7216</v>
      </c>
      <c r="P361">
        <f>calls[[#This Row],[call count]]/calls[[#This Row],[Purchase Amount]]</f>
        <v>0.31904761904761902</v>
      </c>
      <c r="Q361">
        <f>COUNTIF(calls[Customer ID],calls[[#This Row],[Customer ID]])</f>
        <v>67</v>
      </c>
      <c r="R361">
        <f>calls[[#This Row],[call count]]/calls[[#This Row],[Purchase Amount]]</f>
        <v>0.31904761904761902</v>
      </c>
    </row>
    <row r="362" spans="1:18" x14ac:dyDescent="0.4">
      <c r="A362" t="s">
        <v>392</v>
      </c>
      <c r="B362" t="s">
        <v>40</v>
      </c>
      <c r="C362">
        <v>85</v>
      </c>
      <c r="D362" s="4" t="s">
        <v>2</v>
      </c>
      <c r="E362" s="5">
        <v>45031</v>
      </c>
      <c r="F362">
        <v>129</v>
      </c>
      <c r="G362">
        <f>AVERAGEIF(calls[Representative], calls[[#This Row],[Representative]], calls[Satisfaction Rating])</f>
        <v>3.8824999999999998</v>
      </c>
      <c r="H362" t="str">
        <f>IF(AVERAGEIF(calls[Representative],calls[[#This Row],[Representative]],calls[Satisfaction Rating])&lt;3.5,"Needs Training","OK")</f>
        <v>OK</v>
      </c>
      <c r="I362">
        <v>4.2</v>
      </c>
      <c r="J362">
        <f>IF(MONTH(calls[[#This Row],[Date of Call]])&lt;=6, YEAR(calls[[#This Row],[Date of Call]]), YEAR(calls[[#This Row],[Date of Call]])+1)</f>
        <v>2023</v>
      </c>
      <c r="K362" t="str">
        <f>TEXT(calls[[#This Row],[Date of Call]],"DDDD")</f>
        <v>Saturday</v>
      </c>
      <c r="L362" t="str" cm="1">
        <f t="array" ref="L362">_xlfn.IFS(calls[[#This Row],[Duration]]&lt;=10,"under 10 mins",calls[[#This Row],[Duration]]&lt;=30,"10 to 30mins",calls[[#This Row],[Duration]]&lt;=60,"60 to 30mins",calls[[#This Row],[Duration]]&lt;=120,"1 to 2hrs",TRUE,"More than 2 hrs")</f>
        <v>1 to 2hrs</v>
      </c>
      <c r="M362">
        <f>ROUND(calls[[#This Row],[Satisfaction Rating]],0)</f>
        <v>4</v>
      </c>
      <c r="N362">
        <f>COUNTIF(calls[Customer ID], calls[[#This Row],[Customer ID]])</f>
        <v>69</v>
      </c>
      <c r="O362">
        <f>SUMIF(calls[Customer ID], calls[[#This Row],[Customer ID]], calls[Purchase Amount])</f>
        <v>6601</v>
      </c>
      <c r="P362">
        <f>calls[[#This Row],[call count]]/calls[[#This Row],[Purchase Amount]]</f>
        <v>0.53488372093023251</v>
      </c>
      <c r="Q362">
        <f>COUNTIF(calls[Customer ID],calls[[#This Row],[Customer ID]])</f>
        <v>69</v>
      </c>
      <c r="R362">
        <f>calls[[#This Row],[call count]]/calls[[#This Row],[Purchase Amount]]</f>
        <v>0.53488372093023251</v>
      </c>
    </row>
    <row r="363" spans="1:18" x14ac:dyDescent="0.4">
      <c r="A363" t="s">
        <v>393</v>
      </c>
      <c r="B363" t="s">
        <v>44</v>
      </c>
      <c r="C363">
        <v>55</v>
      </c>
      <c r="D363" s="4" t="s">
        <v>14</v>
      </c>
      <c r="E363" s="5">
        <v>45031</v>
      </c>
      <c r="F363">
        <v>215</v>
      </c>
      <c r="G363">
        <f>AVERAGEIF(calls[Representative], calls[[#This Row],[Representative]], calls[Satisfaction Rating])</f>
        <v>3.9227513227513247</v>
      </c>
      <c r="H363" t="str">
        <f>IF(AVERAGEIF(calls[Representative],calls[[#This Row],[Representative]],calls[Satisfaction Rating])&lt;3.5,"Needs Training","OK")</f>
        <v>OK</v>
      </c>
      <c r="I363">
        <v>4.3</v>
      </c>
      <c r="J363">
        <f>IF(MONTH(calls[[#This Row],[Date of Call]])&lt;=6, YEAR(calls[[#This Row],[Date of Call]]), YEAR(calls[[#This Row],[Date of Call]])+1)</f>
        <v>2023</v>
      </c>
      <c r="K363" t="str">
        <f>TEXT(calls[[#This Row],[Date of Call]],"DDDD")</f>
        <v>Saturday</v>
      </c>
      <c r="L363" t="str" cm="1">
        <f t="array" ref="L363">_xlfn.IFS(calls[[#This Row],[Duration]]&lt;=10,"under 10 mins",calls[[#This Row],[Duration]]&lt;=30,"10 to 30mins",calls[[#This Row],[Duration]]&lt;=60,"60 to 30mins",calls[[#This Row],[Duration]]&lt;=120,"1 to 2hrs",TRUE,"More than 2 hrs")</f>
        <v>60 to 30mins</v>
      </c>
      <c r="M363">
        <f>ROUND(calls[[#This Row],[Satisfaction Rating]],0)</f>
        <v>4</v>
      </c>
      <c r="N363">
        <f>COUNTIF(calls[Customer ID], calls[[#This Row],[Customer ID]])</f>
        <v>62</v>
      </c>
      <c r="O363">
        <f>SUMIF(calls[Customer ID], calls[[#This Row],[Customer ID]], calls[Purchase Amount])</f>
        <v>6176</v>
      </c>
      <c r="P363">
        <f>calls[[#This Row],[call count]]/calls[[#This Row],[Purchase Amount]]</f>
        <v>0.28837209302325584</v>
      </c>
      <c r="Q363">
        <f>COUNTIF(calls[Customer ID],calls[[#This Row],[Customer ID]])</f>
        <v>62</v>
      </c>
      <c r="R363">
        <f>calls[[#This Row],[call count]]/calls[[#This Row],[Purchase Amount]]</f>
        <v>0.28837209302325584</v>
      </c>
    </row>
    <row r="364" spans="1:18" x14ac:dyDescent="0.4">
      <c r="A364" t="s">
        <v>394</v>
      </c>
      <c r="B364" t="s">
        <v>64</v>
      </c>
      <c r="C364">
        <v>17</v>
      </c>
      <c r="D364" s="4" t="s">
        <v>27</v>
      </c>
      <c r="E364" s="5">
        <v>45031</v>
      </c>
      <c r="F364">
        <v>69</v>
      </c>
      <c r="G364">
        <f>AVERAGEIF(calls[Representative], calls[[#This Row],[Representative]], calls[Satisfaction Rating])</f>
        <v>3.8589371980676304</v>
      </c>
      <c r="H364" t="str">
        <f>IF(AVERAGEIF(calls[Representative],calls[[#This Row],[Representative]],calls[Satisfaction Rating])&lt;3.5,"Needs Training","OK")</f>
        <v>OK</v>
      </c>
      <c r="I364">
        <v>4.5999999999999996</v>
      </c>
      <c r="J364">
        <f>IF(MONTH(calls[[#This Row],[Date of Call]])&lt;=6, YEAR(calls[[#This Row],[Date of Call]]), YEAR(calls[[#This Row],[Date of Call]])+1)</f>
        <v>2023</v>
      </c>
      <c r="K364" t="str">
        <f>TEXT(calls[[#This Row],[Date of Call]],"DDDD")</f>
        <v>Saturday</v>
      </c>
      <c r="L364" t="str" cm="1">
        <f t="array" ref="L364">_xlfn.IFS(calls[[#This Row],[Duration]]&lt;=10,"under 10 mins",calls[[#This Row],[Duration]]&lt;=30,"10 to 30mins",calls[[#This Row],[Duration]]&lt;=60,"60 to 30mins",calls[[#This Row],[Duration]]&lt;=120,"1 to 2hrs",TRUE,"More than 2 hrs")</f>
        <v>10 to 30mins</v>
      </c>
      <c r="M364">
        <f>ROUND(calls[[#This Row],[Satisfaction Rating]],0)</f>
        <v>5</v>
      </c>
      <c r="N364">
        <f>COUNTIF(calls[Customer ID], calls[[#This Row],[Customer ID]])</f>
        <v>65</v>
      </c>
      <c r="O364">
        <f>SUMIF(calls[Customer ID], calls[[#This Row],[Customer ID]], calls[Purchase Amount])</f>
        <v>6785</v>
      </c>
      <c r="P364">
        <f>calls[[#This Row],[call count]]/calls[[#This Row],[Purchase Amount]]</f>
        <v>0.94202898550724634</v>
      </c>
      <c r="Q364">
        <f>COUNTIF(calls[Customer ID],calls[[#This Row],[Customer ID]])</f>
        <v>65</v>
      </c>
      <c r="R364">
        <f>calls[[#This Row],[call count]]/calls[[#This Row],[Purchase Amount]]</f>
        <v>0.94202898550724634</v>
      </c>
    </row>
    <row r="365" spans="1:18" x14ac:dyDescent="0.4">
      <c r="A365" t="s">
        <v>395</v>
      </c>
      <c r="B365" t="s">
        <v>44</v>
      </c>
      <c r="C365">
        <v>128</v>
      </c>
      <c r="D365" s="4" t="s">
        <v>27</v>
      </c>
      <c r="E365" s="5">
        <v>45031</v>
      </c>
      <c r="F365">
        <v>140</v>
      </c>
      <c r="G365">
        <f>AVERAGEIF(calls[Representative], calls[[#This Row],[Representative]], calls[Satisfaction Rating])</f>
        <v>3.8589371980676304</v>
      </c>
      <c r="H365" t="str">
        <f>IF(AVERAGEIF(calls[Representative],calls[[#This Row],[Representative]],calls[Satisfaction Rating])&lt;3.5,"Needs Training","OK")</f>
        <v>OK</v>
      </c>
      <c r="I365">
        <v>3</v>
      </c>
      <c r="J365">
        <f>IF(MONTH(calls[[#This Row],[Date of Call]])&lt;=6, YEAR(calls[[#This Row],[Date of Call]]), YEAR(calls[[#This Row],[Date of Call]])+1)</f>
        <v>2023</v>
      </c>
      <c r="K365" t="str">
        <f>TEXT(calls[[#This Row],[Date of Call]],"DDDD")</f>
        <v>Saturday</v>
      </c>
      <c r="L365" t="str" cm="1">
        <f t="array" ref="L365">_xlfn.IFS(calls[[#This Row],[Duration]]&lt;=10,"under 10 mins",calls[[#This Row],[Duration]]&lt;=30,"10 to 30mins",calls[[#This Row],[Duration]]&lt;=60,"60 to 30mins",calls[[#This Row],[Duration]]&lt;=120,"1 to 2hrs",TRUE,"More than 2 hrs")</f>
        <v>More than 2 hrs</v>
      </c>
      <c r="M365">
        <f>ROUND(calls[[#This Row],[Satisfaction Rating]],0)</f>
        <v>3</v>
      </c>
      <c r="N365">
        <f>COUNTIF(calls[Customer ID], calls[[#This Row],[Customer ID]])</f>
        <v>62</v>
      </c>
      <c r="O365">
        <f>SUMIF(calls[Customer ID], calls[[#This Row],[Customer ID]], calls[Purchase Amount])</f>
        <v>6176</v>
      </c>
      <c r="P365">
        <f>calls[[#This Row],[call count]]/calls[[#This Row],[Purchase Amount]]</f>
        <v>0.44285714285714284</v>
      </c>
      <c r="Q365">
        <f>COUNTIF(calls[Customer ID],calls[[#This Row],[Customer ID]])</f>
        <v>62</v>
      </c>
      <c r="R365">
        <f>calls[[#This Row],[call count]]/calls[[#This Row],[Purchase Amount]]</f>
        <v>0.44285714285714284</v>
      </c>
    </row>
    <row r="366" spans="1:18" x14ac:dyDescent="0.4">
      <c r="A366" t="s">
        <v>396</v>
      </c>
      <c r="B366" t="s">
        <v>51</v>
      </c>
      <c r="C366">
        <v>45</v>
      </c>
      <c r="D366" s="4" t="s">
        <v>14</v>
      </c>
      <c r="E366" s="5">
        <v>45032</v>
      </c>
      <c r="F366">
        <v>156</v>
      </c>
      <c r="G366">
        <f>AVERAGEIF(calls[Representative], calls[[#This Row],[Representative]], calls[Satisfaction Rating])</f>
        <v>3.9227513227513247</v>
      </c>
      <c r="H366" t="str">
        <f>IF(AVERAGEIF(calls[Representative],calls[[#This Row],[Representative]],calls[Satisfaction Rating])&lt;3.5,"Needs Training","OK")</f>
        <v>OK</v>
      </c>
      <c r="I366">
        <v>2.7</v>
      </c>
      <c r="J366">
        <f>IF(MONTH(calls[[#This Row],[Date of Call]])&lt;=6, YEAR(calls[[#This Row],[Date of Call]]), YEAR(calls[[#This Row],[Date of Call]])+1)</f>
        <v>2023</v>
      </c>
      <c r="K366" t="str">
        <f>TEXT(calls[[#This Row],[Date of Call]],"DDDD")</f>
        <v>Sunday</v>
      </c>
      <c r="L366" t="str" cm="1">
        <f t="array" ref="L366">_xlfn.IFS(calls[[#This Row],[Duration]]&lt;=10,"under 10 mins",calls[[#This Row],[Duration]]&lt;=30,"10 to 30mins",calls[[#This Row],[Duration]]&lt;=60,"60 to 30mins",calls[[#This Row],[Duration]]&lt;=120,"1 to 2hrs",TRUE,"More than 2 hrs")</f>
        <v>60 to 30mins</v>
      </c>
      <c r="M366">
        <f>ROUND(calls[[#This Row],[Satisfaction Rating]],0)</f>
        <v>3</v>
      </c>
      <c r="N366">
        <f>COUNTIF(calls[Customer ID], calls[[#This Row],[Customer ID]])</f>
        <v>59</v>
      </c>
      <c r="O366">
        <f>SUMIF(calls[Customer ID], calls[[#This Row],[Customer ID]], calls[Purchase Amount])</f>
        <v>6518</v>
      </c>
      <c r="P366">
        <f>calls[[#This Row],[call count]]/calls[[#This Row],[Purchase Amount]]</f>
        <v>0.37820512820512819</v>
      </c>
      <c r="Q366">
        <f>COUNTIF(calls[Customer ID],calls[[#This Row],[Customer ID]])</f>
        <v>59</v>
      </c>
      <c r="R366">
        <f>calls[[#This Row],[call count]]/calls[[#This Row],[Purchase Amount]]</f>
        <v>0.37820512820512819</v>
      </c>
    </row>
    <row r="367" spans="1:18" x14ac:dyDescent="0.4">
      <c r="A367" t="s">
        <v>397</v>
      </c>
      <c r="B367" t="s">
        <v>64</v>
      </c>
      <c r="C367">
        <v>41</v>
      </c>
      <c r="D367" s="4" t="s">
        <v>27</v>
      </c>
      <c r="E367" s="5">
        <v>45032</v>
      </c>
      <c r="F367">
        <v>164</v>
      </c>
      <c r="G367">
        <f>AVERAGEIF(calls[Representative], calls[[#This Row],[Representative]], calls[Satisfaction Rating])</f>
        <v>3.8589371980676304</v>
      </c>
      <c r="H367" t="str">
        <f>IF(AVERAGEIF(calls[Representative],calls[[#This Row],[Representative]],calls[Satisfaction Rating])&lt;3.5,"Needs Training","OK")</f>
        <v>OK</v>
      </c>
      <c r="I367">
        <v>3.1</v>
      </c>
      <c r="J367">
        <f>IF(MONTH(calls[[#This Row],[Date of Call]])&lt;=6, YEAR(calls[[#This Row],[Date of Call]]), YEAR(calls[[#This Row],[Date of Call]])+1)</f>
        <v>2023</v>
      </c>
      <c r="K367" t="str">
        <f>TEXT(calls[[#This Row],[Date of Call]],"DDDD")</f>
        <v>Sunday</v>
      </c>
      <c r="L367" t="str" cm="1">
        <f t="array" ref="L367">_xlfn.IFS(calls[[#This Row],[Duration]]&lt;=10,"under 10 mins",calls[[#This Row],[Duration]]&lt;=30,"10 to 30mins",calls[[#This Row],[Duration]]&lt;=60,"60 to 30mins",calls[[#This Row],[Duration]]&lt;=120,"1 to 2hrs",TRUE,"More than 2 hrs")</f>
        <v>60 to 30mins</v>
      </c>
      <c r="M367">
        <f>ROUND(calls[[#This Row],[Satisfaction Rating]],0)</f>
        <v>3</v>
      </c>
      <c r="N367">
        <f>COUNTIF(calls[Customer ID], calls[[#This Row],[Customer ID]])</f>
        <v>65</v>
      </c>
      <c r="O367">
        <f>SUMIF(calls[Customer ID], calls[[#This Row],[Customer ID]], calls[Purchase Amount])</f>
        <v>6785</v>
      </c>
      <c r="P367">
        <f>calls[[#This Row],[call count]]/calls[[#This Row],[Purchase Amount]]</f>
        <v>0.39634146341463417</v>
      </c>
      <c r="Q367">
        <f>COUNTIF(calls[Customer ID],calls[[#This Row],[Customer ID]])</f>
        <v>65</v>
      </c>
      <c r="R367">
        <f>calls[[#This Row],[call count]]/calls[[#This Row],[Purchase Amount]]</f>
        <v>0.39634146341463417</v>
      </c>
    </row>
    <row r="368" spans="1:18" x14ac:dyDescent="0.4">
      <c r="A368" t="s">
        <v>398</v>
      </c>
      <c r="B368" t="s">
        <v>32</v>
      </c>
      <c r="C368">
        <v>49</v>
      </c>
      <c r="D368" s="4" t="s">
        <v>27</v>
      </c>
      <c r="E368" s="5">
        <v>45032</v>
      </c>
      <c r="F368">
        <v>195</v>
      </c>
      <c r="G368">
        <f>AVERAGEIF(calls[Representative], calls[[#This Row],[Representative]], calls[Satisfaction Rating])</f>
        <v>3.8589371980676304</v>
      </c>
      <c r="H368" t="str">
        <f>IF(AVERAGEIF(calls[Representative],calls[[#This Row],[Representative]],calls[Satisfaction Rating])&lt;3.5,"Needs Training","OK")</f>
        <v>OK</v>
      </c>
      <c r="I368">
        <v>2.6</v>
      </c>
      <c r="J368">
        <f>IF(MONTH(calls[[#This Row],[Date of Call]])&lt;=6, YEAR(calls[[#This Row],[Date of Call]]), YEAR(calls[[#This Row],[Date of Call]])+1)</f>
        <v>2023</v>
      </c>
      <c r="K368" t="str">
        <f>TEXT(calls[[#This Row],[Date of Call]],"DDDD")</f>
        <v>Sunday</v>
      </c>
      <c r="L368" t="str" cm="1">
        <f t="array" ref="L368">_xlfn.IFS(calls[[#This Row],[Duration]]&lt;=10,"under 10 mins",calls[[#This Row],[Duration]]&lt;=30,"10 to 30mins",calls[[#This Row],[Duration]]&lt;=60,"60 to 30mins",calls[[#This Row],[Duration]]&lt;=120,"1 to 2hrs",TRUE,"More than 2 hrs")</f>
        <v>60 to 30mins</v>
      </c>
      <c r="M368">
        <f>ROUND(calls[[#This Row],[Satisfaction Rating]],0)</f>
        <v>3</v>
      </c>
      <c r="N368">
        <f>COUNTIF(calls[Customer ID], calls[[#This Row],[Customer ID]])</f>
        <v>63</v>
      </c>
      <c r="O368">
        <f>SUMIF(calls[Customer ID], calls[[#This Row],[Customer ID]], calls[Purchase Amount])</f>
        <v>5634</v>
      </c>
      <c r="P368">
        <f>calls[[#This Row],[call count]]/calls[[#This Row],[Purchase Amount]]</f>
        <v>0.32307692307692309</v>
      </c>
      <c r="Q368">
        <f>COUNTIF(calls[Customer ID],calls[[#This Row],[Customer ID]])</f>
        <v>63</v>
      </c>
      <c r="R368">
        <f>calls[[#This Row],[call count]]/calls[[#This Row],[Purchase Amount]]</f>
        <v>0.32307692307692309</v>
      </c>
    </row>
    <row r="369" spans="1:18" x14ac:dyDescent="0.4">
      <c r="A369" t="s">
        <v>399</v>
      </c>
      <c r="B369" t="s">
        <v>6</v>
      </c>
      <c r="C369">
        <v>21</v>
      </c>
      <c r="D369" s="4" t="s">
        <v>23</v>
      </c>
      <c r="E369" s="5">
        <v>45032</v>
      </c>
      <c r="F369">
        <v>74</v>
      </c>
      <c r="G369">
        <f>AVERAGEIF(calls[Representative], calls[[#This Row],[Representative]], calls[Satisfaction Rating])</f>
        <v>3.8973118279569863</v>
      </c>
      <c r="H369" t="str">
        <f>IF(AVERAGEIF(calls[Representative],calls[[#This Row],[Representative]],calls[Satisfaction Rating])&lt;3.5,"Needs Training","OK")</f>
        <v>OK</v>
      </c>
      <c r="I369">
        <v>4.5999999999999996</v>
      </c>
      <c r="J369">
        <f>IF(MONTH(calls[[#This Row],[Date of Call]])&lt;=6, YEAR(calls[[#This Row],[Date of Call]]), YEAR(calls[[#This Row],[Date of Call]])+1)</f>
        <v>2023</v>
      </c>
      <c r="K369" t="str">
        <f>TEXT(calls[[#This Row],[Date of Call]],"DDDD")</f>
        <v>Sunday</v>
      </c>
      <c r="L369" t="str" cm="1">
        <f t="array" ref="L369">_xlfn.IFS(calls[[#This Row],[Duration]]&lt;=10,"under 10 mins",calls[[#This Row],[Duration]]&lt;=30,"10 to 30mins",calls[[#This Row],[Duration]]&lt;=60,"60 to 30mins",calls[[#This Row],[Duration]]&lt;=120,"1 to 2hrs",TRUE,"More than 2 hrs")</f>
        <v>10 to 30mins</v>
      </c>
      <c r="M369">
        <f>ROUND(calls[[#This Row],[Satisfaction Rating]],0)</f>
        <v>5</v>
      </c>
      <c r="N369">
        <f>COUNTIF(calls[Customer ID], calls[[#This Row],[Customer ID]])</f>
        <v>82</v>
      </c>
      <c r="O369">
        <f>SUMIF(calls[Customer ID], calls[[#This Row],[Customer ID]], calls[Purchase Amount])</f>
        <v>7689</v>
      </c>
      <c r="P369">
        <f>calls[[#This Row],[call count]]/calls[[#This Row],[Purchase Amount]]</f>
        <v>1.1081081081081081</v>
      </c>
      <c r="Q369">
        <f>COUNTIF(calls[Customer ID],calls[[#This Row],[Customer ID]])</f>
        <v>82</v>
      </c>
      <c r="R369">
        <f>calls[[#This Row],[call count]]/calls[[#This Row],[Purchase Amount]]</f>
        <v>1.1081081081081081</v>
      </c>
    </row>
    <row r="370" spans="1:18" x14ac:dyDescent="0.4">
      <c r="A370" t="s">
        <v>400</v>
      </c>
      <c r="B370" t="s">
        <v>54</v>
      </c>
      <c r="C370">
        <v>133</v>
      </c>
      <c r="D370" s="4" t="s">
        <v>14</v>
      </c>
      <c r="E370" s="5">
        <v>45032</v>
      </c>
      <c r="F370">
        <v>100</v>
      </c>
      <c r="G370">
        <f>AVERAGEIF(calls[Representative], calls[[#This Row],[Representative]], calls[Satisfaction Rating])</f>
        <v>3.9227513227513247</v>
      </c>
      <c r="H370" t="str">
        <f>IF(AVERAGEIF(calls[Representative],calls[[#This Row],[Representative]],calls[Satisfaction Rating])&lt;3.5,"Needs Training","OK")</f>
        <v>OK</v>
      </c>
      <c r="I370">
        <v>4</v>
      </c>
      <c r="J370">
        <f>IF(MONTH(calls[[#This Row],[Date of Call]])&lt;=6, YEAR(calls[[#This Row],[Date of Call]]), YEAR(calls[[#This Row],[Date of Call]])+1)</f>
        <v>2023</v>
      </c>
      <c r="K370" t="str">
        <f>TEXT(calls[[#This Row],[Date of Call]],"DDDD")</f>
        <v>Sunday</v>
      </c>
      <c r="L370" t="str" cm="1">
        <f t="array" ref="L370">_xlfn.IFS(calls[[#This Row],[Duration]]&lt;=10,"under 10 mins",calls[[#This Row],[Duration]]&lt;=30,"10 to 30mins",calls[[#This Row],[Duration]]&lt;=60,"60 to 30mins",calls[[#This Row],[Duration]]&lt;=120,"1 to 2hrs",TRUE,"More than 2 hrs")</f>
        <v>More than 2 hrs</v>
      </c>
      <c r="M370">
        <f>ROUND(calls[[#This Row],[Satisfaction Rating]],0)</f>
        <v>4</v>
      </c>
      <c r="N370">
        <f>COUNTIF(calls[Customer ID], calls[[#This Row],[Customer ID]])</f>
        <v>70</v>
      </c>
      <c r="O370">
        <f>SUMIF(calls[Customer ID], calls[[#This Row],[Customer ID]], calls[Purchase Amount])</f>
        <v>6819</v>
      </c>
      <c r="P370">
        <f>calls[[#This Row],[call count]]/calls[[#This Row],[Purchase Amount]]</f>
        <v>0.7</v>
      </c>
      <c r="Q370">
        <f>COUNTIF(calls[Customer ID],calls[[#This Row],[Customer ID]])</f>
        <v>70</v>
      </c>
      <c r="R370">
        <f>calls[[#This Row],[call count]]/calls[[#This Row],[Purchase Amount]]</f>
        <v>0.7</v>
      </c>
    </row>
    <row r="371" spans="1:18" x14ac:dyDescent="0.4">
      <c r="A371" t="s">
        <v>401</v>
      </c>
      <c r="B371" t="s">
        <v>1</v>
      </c>
      <c r="C371">
        <v>135</v>
      </c>
      <c r="D371" s="4" t="s">
        <v>9</v>
      </c>
      <c r="E371" s="5">
        <v>45032</v>
      </c>
      <c r="F371">
        <v>185</v>
      </c>
      <c r="G371">
        <f>AVERAGEIF(calls[Representative], calls[[#This Row],[Representative]], calls[Satisfaction Rating])</f>
        <v>3.8706422018348627</v>
      </c>
      <c r="H371" t="str">
        <f>IF(AVERAGEIF(calls[Representative],calls[[#This Row],[Representative]],calls[Satisfaction Rating])&lt;3.5,"Needs Training","OK")</f>
        <v>OK</v>
      </c>
      <c r="I371">
        <v>4.5</v>
      </c>
      <c r="J371">
        <f>IF(MONTH(calls[[#This Row],[Date of Call]])&lt;=6, YEAR(calls[[#This Row],[Date of Call]]), YEAR(calls[[#This Row],[Date of Call]])+1)</f>
        <v>2023</v>
      </c>
      <c r="K371" t="str">
        <f>TEXT(calls[[#This Row],[Date of Call]],"DDDD")</f>
        <v>Sunday</v>
      </c>
      <c r="L371" t="str" cm="1">
        <f t="array" ref="L371">_xlfn.IFS(calls[[#This Row],[Duration]]&lt;=10,"under 10 mins",calls[[#This Row],[Duration]]&lt;=30,"10 to 30mins",calls[[#This Row],[Duration]]&lt;=60,"60 to 30mins",calls[[#This Row],[Duration]]&lt;=120,"1 to 2hrs",TRUE,"More than 2 hrs")</f>
        <v>More than 2 hrs</v>
      </c>
      <c r="M371">
        <f>ROUND(calls[[#This Row],[Satisfaction Rating]],0)</f>
        <v>5</v>
      </c>
      <c r="N371">
        <f>COUNTIF(calls[Customer ID], calls[[#This Row],[Customer ID]])</f>
        <v>50</v>
      </c>
      <c r="O371">
        <f>SUMIF(calls[Customer ID], calls[[#This Row],[Customer ID]], calls[Purchase Amount])</f>
        <v>4804</v>
      </c>
      <c r="P371">
        <f>calls[[#This Row],[call count]]/calls[[#This Row],[Purchase Amount]]</f>
        <v>0.27027027027027029</v>
      </c>
      <c r="Q371">
        <f>COUNTIF(calls[Customer ID],calls[[#This Row],[Customer ID]])</f>
        <v>50</v>
      </c>
      <c r="R371">
        <f>calls[[#This Row],[call count]]/calls[[#This Row],[Purchase Amount]]</f>
        <v>0.27027027027027029</v>
      </c>
    </row>
    <row r="372" spans="1:18" x14ac:dyDescent="0.4">
      <c r="A372" t="s">
        <v>402</v>
      </c>
      <c r="B372" t="s">
        <v>30</v>
      </c>
      <c r="C372">
        <v>69</v>
      </c>
      <c r="D372" s="4" t="s">
        <v>14</v>
      </c>
      <c r="E372" s="5">
        <v>45032</v>
      </c>
      <c r="F372">
        <v>130</v>
      </c>
      <c r="G372">
        <f>AVERAGEIF(calls[Representative], calls[[#This Row],[Representative]], calls[Satisfaction Rating])</f>
        <v>3.9227513227513247</v>
      </c>
      <c r="H372" t="str">
        <f>IF(AVERAGEIF(calls[Representative],calls[[#This Row],[Representative]],calls[Satisfaction Rating])&lt;3.5,"Needs Training","OK")</f>
        <v>OK</v>
      </c>
      <c r="I372">
        <v>1.9</v>
      </c>
      <c r="J372">
        <f>IF(MONTH(calls[[#This Row],[Date of Call]])&lt;=6, YEAR(calls[[#This Row],[Date of Call]]), YEAR(calls[[#This Row],[Date of Call]])+1)</f>
        <v>2023</v>
      </c>
      <c r="K372" t="str">
        <f>TEXT(calls[[#This Row],[Date of Call]],"DDDD")</f>
        <v>Sunday</v>
      </c>
      <c r="L372" t="str" cm="1">
        <f t="array" ref="L372">_xlfn.IFS(calls[[#This Row],[Duration]]&lt;=10,"under 10 mins",calls[[#This Row],[Duration]]&lt;=30,"10 to 30mins",calls[[#This Row],[Duration]]&lt;=60,"60 to 30mins",calls[[#This Row],[Duration]]&lt;=120,"1 to 2hrs",TRUE,"More than 2 hrs")</f>
        <v>1 to 2hrs</v>
      </c>
      <c r="M372">
        <f>ROUND(calls[[#This Row],[Satisfaction Rating]],0)</f>
        <v>2</v>
      </c>
      <c r="N372">
        <f>COUNTIF(calls[Customer ID], calls[[#This Row],[Customer ID]])</f>
        <v>69</v>
      </c>
      <c r="O372">
        <f>SUMIF(calls[Customer ID], calls[[#This Row],[Customer ID]], calls[Purchase Amount])</f>
        <v>7230</v>
      </c>
      <c r="P372">
        <f>calls[[#This Row],[call count]]/calls[[#This Row],[Purchase Amount]]</f>
        <v>0.53076923076923077</v>
      </c>
      <c r="Q372">
        <f>COUNTIF(calls[Customer ID],calls[[#This Row],[Customer ID]])</f>
        <v>69</v>
      </c>
      <c r="R372">
        <f>calls[[#This Row],[call count]]/calls[[#This Row],[Purchase Amount]]</f>
        <v>0.53076923076923077</v>
      </c>
    </row>
    <row r="373" spans="1:18" x14ac:dyDescent="0.4">
      <c r="A373" t="s">
        <v>403</v>
      </c>
      <c r="B373" t="s">
        <v>26</v>
      </c>
      <c r="C373">
        <v>110</v>
      </c>
      <c r="D373" s="4" t="s">
        <v>23</v>
      </c>
      <c r="E373" s="5">
        <v>45033</v>
      </c>
      <c r="F373">
        <v>21</v>
      </c>
      <c r="G373">
        <f>AVERAGEIF(calls[Representative], calls[[#This Row],[Representative]], calls[Satisfaction Rating])</f>
        <v>3.8973118279569863</v>
      </c>
      <c r="H373" t="str">
        <f>IF(AVERAGEIF(calls[Representative],calls[[#This Row],[Representative]],calls[Satisfaction Rating])&lt;3.5,"Needs Training","OK")</f>
        <v>OK</v>
      </c>
      <c r="I373">
        <v>2.6</v>
      </c>
      <c r="J373">
        <f>IF(MONTH(calls[[#This Row],[Date of Call]])&lt;=6, YEAR(calls[[#This Row],[Date of Call]]), YEAR(calls[[#This Row],[Date of Call]])+1)</f>
        <v>2023</v>
      </c>
      <c r="K373" t="str">
        <f>TEXT(calls[[#This Row],[Date of Call]],"DDDD")</f>
        <v>Monday</v>
      </c>
      <c r="L373" t="str" cm="1">
        <f t="array" ref="L373">_xlfn.IFS(calls[[#This Row],[Duration]]&lt;=10,"under 10 mins",calls[[#This Row],[Duration]]&lt;=30,"10 to 30mins",calls[[#This Row],[Duration]]&lt;=60,"60 to 30mins",calls[[#This Row],[Duration]]&lt;=120,"1 to 2hrs",TRUE,"More than 2 hrs")</f>
        <v>1 to 2hrs</v>
      </c>
      <c r="M373">
        <f>ROUND(calls[[#This Row],[Satisfaction Rating]],0)</f>
        <v>3</v>
      </c>
      <c r="N373">
        <f>COUNTIF(calls[Customer ID], calls[[#This Row],[Customer ID]])</f>
        <v>72</v>
      </c>
      <c r="O373">
        <f>SUMIF(calls[Customer ID], calls[[#This Row],[Customer ID]], calls[Purchase Amount])</f>
        <v>6242</v>
      </c>
      <c r="P373">
        <f>calls[[#This Row],[call count]]/calls[[#This Row],[Purchase Amount]]</f>
        <v>3.4285714285714284</v>
      </c>
      <c r="Q373">
        <f>COUNTIF(calls[Customer ID],calls[[#This Row],[Customer ID]])</f>
        <v>72</v>
      </c>
      <c r="R373">
        <f>calls[[#This Row],[call count]]/calls[[#This Row],[Purchase Amount]]</f>
        <v>3.4285714285714284</v>
      </c>
    </row>
    <row r="374" spans="1:18" x14ac:dyDescent="0.4">
      <c r="A374" t="s">
        <v>404</v>
      </c>
      <c r="B374" t="s">
        <v>84</v>
      </c>
      <c r="C374">
        <v>64</v>
      </c>
      <c r="D374" s="4" t="s">
        <v>2</v>
      </c>
      <c r="E374" s="5">
        <v>45033</v>
      </c>
      <c r="F374">
        <v>88</v>
      </c>
      <c r="G374">
        <f>AVERAGEIF(calls[Representative], calls[[#This Row],[Representative]], calls[Satisfaction Rating])</f>
        <v>3.8824999999999998</v>
      </c>
      <c r="H374" t="str">
        <f>IF(AVERAGEIF(calls[Representative],calls[[#This Row],[Representative]],calls[Satisfaction Rating])&lt;3.5,"Needs Training","OK")</f>
        <v>OK</v>
      </c>
      <c r="I374">
        <v>4.3</v>
      </c>
      <c r="J374">
        <f>IF(MONTH(calls[[#This Row],[Date of Call]])&lt;=6, YEAR(calls[[#This Row],[Date of Call]]), YEAR(calls[[#This Row],[Date of Call]])+1)</f>
        <v>2023</v>
      </c>
      <c r="K374" t="str">
        <f>TEXT(calls[[#This Row],[Date of Call]],"DDDD")</f>
        <v>Monday</v>
      </c>
      <c r="L374" t="str" cm="1">
        <f t="array" ref="L374">_xlfn.IFS(calls[[#This Row],[Duration]]&lt;=10,"under 10 mins",calls[[#This Row],[Duration]]&lt;=30,"10 to 30mins",calls[[#This Row],[Duration]]&lt;=60,"60 to 30mins",calls[[#This Row],[Duration]]&lt;=120,"1 to 2hrs",TRUE,"More than 2 hrs")</f>
        <v>1 to 2hrs</v>
      </c>
      <c r="M374">
        <f>ROUND(calls[[#This Row],[Satisfaction Rating]],0)</f>
        <v>4</v>
      </c>
      <c r="N374">
        <f>COUNTIF(calls[Customer ID], calls[[#This Row],[Customer ID]])</f>
        <v>59</v>
      </c>
      <c r="O374">
        <f>SUMIF(calls[Customer ID], calls[[#This Row],[Customer ID]], calls[Purchase Amount])</f>
        <v>5009</v>
      </c>
      <c r="P374">
        <f>calls[[#This Row],[call count]]/calls[[#This Row],[Purchase Amount]]</f>
        <v>0.67045454545454541</v>
      </c>
      <c r="Q374">
        <f>COUNTIF(calls[Customer ID],calls[[#This Row],[Customer ID]])</f>
        <v>59</v>
      </c>
      <c r="R374">
        <f>calls[[#This Row],[call count]]/calls[[#This Row],[Purchase Amount]]</f>
        <v>0.67045454545454541</v>
      </c>
    </row>
    <row r="375" spans="1:18" x14ac:dyDescent="0.4">
      <c r="A375" t="s">
        <v>405</v>
      </c>
      <c r="B375" t="s">
        <v>8</v>
      </c>
      <c r="C375">
        <v>105</v>
      </c>
      <c r="D375" s="4" t="s">
        <v>27</v>
      </c>
      <c r="E375" s="5">
        <v>45033</v>
      </c>
      <c r="F375">
        <v>35</v>
      </c>
      <c r="G375">
        <f>AVERAGEIF(calls[Representative], calls[[#This Row],[Representative]], calls[Satisfaction Rating])</f>
        <v>3.8589371980676304</v>
      </c>
      <c r="H375" t="str">
        <f>IF(AVERAGEIF(calls[Representative],calls[[#This Row],[Representative]],calls[Satisfaction Rating])&lt;3.5,"Needs Training","OK")</f>
        <v>OK</v>
      </c>
      <c r="I375">
        <v>4.4000000000000004</v>
      </c>
      <c r="J375">
        <f>IF(MONTH(calls[[#This Row],[Date of Call]])&lt;=6, YEAR(calls[[#This Row],[Date of Call]]), YEAR(calls[[#This Row],[Date of Call]])+1)</f>
        <v>2023</v>
      </c>
      <c r="K375" t="str">
        <f>TEXT(calls[[#This Row],[Date of Call]],"DDDD")</f>
        <v>Monday</v>
      </c>
      <c r="L375" t="str" cm="1">
        <f t="array" ref="L375">_xlfn.IFS(calls[[#This Row],[Duration]]&lt;=10,"under 10 mins",calls[[#This Row],[Duration]]&lt;=30,"10 to 30mins",calls[[#This Row],[Duration]]&lt;=60,"60 to 30mins",calls[[#This Row],[Duration]]&lt;=120,"1 to 2hrs",TRUE,"More than 2 hrs")</f>
        <v>1 to 2hrs</v>
      </c>
      <c r="M375">
        <f>ROUND(calls[[#This Row],[Satisfaction Rating]],0)</f>
        <v>4</v>
      </c>
      <c r="N375">
        <f>COUNTIF(calls[Customer ID], calls[[#This Row],[Customer ID]])</f>
        <v>79</v>
      </c>
      <c r="O375">
        <f>SUMIF(calls[Customer ID], calls[[#This Row],[Customer ID]], calls[Purchase Amount])</f>
        <v>7747</v>
      </c>
      <c r="P375">
        <f>calls[[#This Row],[call count]]/calls[[#This Row],[Purchase Amount]]</f>
        <v>2.2571428571428571</v>
      </c>
      <c r="Q375">
        <f>COUNTIF(calls[Customer ID],calls[[#This Row],[Customer ID]])</f>
        <v>79</v>
      </c>
      <c r="R375">
        <f>calls[[#This Row],[call count]]/calls[[#This Row],[Purchase Amount]]</f>
        <v>2.2571428571428571</v>
      </c>
    </row>
    <row r="376" spans="1:18" x14ac:dyDescent="0.4">
      <c r="A376" t="s">
        <v>406</v>
      </c>
      <c r="B376" t="s">
        <v>84</v>
      </c>
      <c r="C376">
        <v>165</v>
      </c>
      <c r="D376" s="4" t="s">
        <v>9</v>
      </c>
      <c r="E376" s="5">
        <v>45033</v>
      </c>
      <c r="F376">
        <v>68</v>
      </c>
      <c r="G376">
        <f>AVERAGEIF(calls[Representative], calls[[#This Row],[Representative]], calls[Satisfaction Rating])</f>
        <v>3.8706422018348627</v>
      </c>
      <c r="H376" t="str">
        <f>IF(AVERAGEIF(calls[Representative],calls[[#This Row],[Representative]],calls[Satisfaction Rating])&lt;3.5,"Needs Training","OK")</f>
        <v>OK</v>
      </c>
      <c r="I376">
        <v>4.3</v>
      </c>
      <c r="J376">
        <f>IF(MONTH(calls[[#This Row],[Date of Call]])&lt;=6, YEAR(calls[[#This Row],[Date of Call]]), YEAR(calls[[#This Row],[Date of Call]])+1)</f>
        <v>2023</v>
      </c>
      <c r="K376" t="str">
        <f>TEXT(calls[[#This Row],[Date of Call]],"DDDD")</f>
        <v>Monday</v>
      </c>
      <c r="L376" t="str" cm="1">
        <f t="array" ref="L376">_xlfn.IFS(calls[[#This Row],[Duration]]&lt;=10,"under 10 mins",calls[[#This Row],[Duration]]&lt;=30,"10 to 30mins",calls[[#This Row],[Duration]]&lt;=60,"60 to 30mins",calls[[#This Row],[Duration]]&lt;=120,"1 to 2hrs",TRUE,"More than 2 hrs")</f>
        <v>More than 2 hrs</v>
      </c>
      <c r="M376">
        <f>ROUND(calls[[#This Row],[Satisfaction Rating]],0)</f>
        <v>4</v>
      </c>
      <c r="N376">
        <f>COUNTIF(calls[Customer ID], calls[[#This Row],[Customer ID]])</f>
        <v>59</v>
      </c>
      <c r="O376">
        <f>SUMIF(calls[Customer ID], calls[[#This Row],[Customer ID]], calls[Purchase Amount])</f>
        <v>5009</v>
      </c>
      <c r="P376">
        <f>calls[[#This Row],[call count]]/calls[[#This Row],[Purchase Amount]]</f>
        <v>0.86764705882352944</v>
      </c>
      <c r="Q376">
        <f>COUNTIF(calls[Customer ID],calls[[#This Row],[Customer ID]])</f>
        <v>59</v>
      </c>
      <c r="R376">
        <f>calls[[#This Row],[call count]]/calls[[#This Row],[Purchase Amount]]</f>
        <v>0.86764705882352944</v>
      </c>
    </row>
    <row r="377" spans="1:18" x14ac:dyDescent="0.4">
      <c r="A377" t="s">
        <v>407</v>
      </c>
      <c r="B377" t="s">
        <v>51</v>
      </c>
      <c r="C377">
        <v>125</v>
      </c>
      <c r="D377" s="4" t="s">
        <v>9</v>
      </c>
      <c r="E377" s="5">
        <v>45033</v>
      </c>
      <c r="F377">
        <v>148</v>
      </c>
      <c r="G377">
        <f>AVERAGEIF(calls[Representative], calls[[#This Row],[Representative]], calls[Satisfaction Rating])</f>
        <v>3.8706422018348627</v>
      </c>
      <c r="H377" t="str">
        <f>IF(AVERAGEIF(calls[Representative],calls[[#This Row],[Representative]],calls[Satisfaction Rating])&lt;3.5,"Needs Training","OK")</f>
        <v>OK</v>
      </c>
      <c r="I377">
        <v>4.5</v>
      </c>
      <c r="J377">
        <f>IF(MONTH(calls[[#This Row],[Date of Call]])&lt;=6, YEAR(calls[[#This Row],[Date of Call]]), YEAR(calls[[#This Row],[Date of Call]])+1)</f>
        <v>2023</v>
      </c>
      <c r="K377" t="str">
        <f>TEXT(calls[[#This Row],[Date of Call]],"DDDD")</f>
        <v>Monday</v>
      </c>
      <c r="L377" t="str" cm="1">
        <f t="array" ref="L377">_xlfn.IFS(calls[[#This Row],[Duration]]&lt;=10,"under 10 mins",calls[[#This Row],[Duration]]&lt;=30,"10 to 30mins",calls[[#This Row],[Duration]]&lt;=60,"60 to 30mins",calls[[#This Row],[Duration]]&lt;=120,"1 to 2hrs",TRUE,"More than 2 hrs")</f>
        <v>More than 2 hrs</v>
      </c>
      <c r="M377">
        <f>ROUND(calls[[#This Row],[Satisfaction Rating]],0)</f>
        <v>5</v>
      </c>
      <c r="N377">
        <f>COUNTIF(calls[Customer ID], calls[[#This Row],[Customer ID]])</f>
        <v>59</v>
      </c>
      <c r="O377">
        <f>SUMIF(calls[Customer ID], calls[[#This Row],[Customer ID]], calls[Purchase Amount])</f>
        <v>6518</v>
      </c>
      <c r="P377">
        <f>calls[[#This Row],[call count]]/calls[[#This Row],[Purchase Amount]]</f>
        <v>0.39864864864864863</v>
      </c>
      <c r="Q377">
        <f>COUNTIF(calls[Customer ID],calls[[#This Row],[Customer ID]])</f>
        <v>59</v>
      </c>
      <c r="R377">
        <f>calls[[#This Row],[call count]]/calls[[#This Row],[Purchase Amount]]</f>
        <v>0.39864864864864863</v>
      </c>
    </row>
    <row r="378" spans="1:18" x14ac:dyDescent="0.4">
      <c r="A378" t="s">
        <v>408</v>
      </c>
      <c r="B378" t="s">
        <v>8</v>
      </c>
      <c r="C378">
        <v>88</v>
      </c>
      <c r="D378" s="4" t="s">
        <v>2</v>
      </c>
      <c r="E378" s="5">
        <v>45034</v>
      </c>
      <c r="F378">
        <v>81</v>
      </c>
      <c r="G378">
        <f>AVERAGEIF(calls[Representative], calls[[#This Row],[Representative]], calls[Satisfaction Rating])</f>
        <v>3.8824999999999998</v>
      </c>
      <c r="H378" t="str">
        <f>IF(AVERAGEIF(calls[Representative],calls[[#This Row],[Representative]],calls[Satisfaction Rating])&lt;3.5,"Needs Training","OK")</f>
        <v>OK</v>
      </c>
      <c r="I378">
        <v>4.2</v>
      </c>
      <c r="J378">
        <f>IF(MONTH(calls[[#This Row],[Date of Call]])&lt;=6, YEAR(calls[[#This Row],[Date of Call]]), YEAR(calls[[#This Row],[Date of Call]])+1)</f>
        <v>2023</v>
      </c>
      <c r="K378" t="str">
        <f>TEXT(calls[[#This Row],[Date of Call]],"DDDD")</f>
        <v>Tuesday</v>
      </c>
      <c r="L378" t="str" cm="1">
        <f t="array" ref="L378">_xlfn.IFS(calls[[#This Row],[Duration]]&lt;=10,"under 10 mins",calls[[#This Row],[Duration]]&lt;=30,"10 to 30mins",calls[[#This Row],[Duration]]&lt;=60,"60 to 30mins",calls[[#This Row],[Duration]]&lt;=120,"1 to 2hrs",TRUE,"More than 2 hrs")</f>
        <v>1 to 2hrs</v>
      </c>
      <c r="M378">
        <f>ROUND(calls[[#This Row],[Satisfaction Rating]],0)</f>
        <v>4</v>
      </c>
      <c r="N378">
        <f>COUNTIF(calls[Customer ID], calls[[#This Row],[Customer ID]])</f>
        <v>79</v>
      </c>
      <c r="O378">
        <f>SUMIF(calls[Customer ID], calls[[#This Row],[Customer ID]], calls[Purchase Amount])</f>
        <v>7747</v>
      </c>
      <c r="P378">
        <f>calls[[#This Row],[call count]]/calls[[#This Row],[Purchase Amount]]</f>
        <v>0.97530864197530864</v>
      </c>
      <c r="Q378">
        <f>COUNTIF(calls[Customer ID],calls[[#This Row],[Customer ID]])</f>
        <v>79</v>
      </c>
      <c r="R378">
        <f>calls[[#This Row],[call count]]/calls[[#This Row],[Purchase Amount]]</f>
        <v>0.97530864197530864</v>
      </c>
    </row>
    <row r="379" spans="1:18" x14ac:dyDescent="0.4">
      <c r="A379" t="s">
        <v>409</v>
      </c>
      <c r="B379" t="s">
        <v>30</v>
      </c>
      <c r="C379">
        <v>6</v>
      </c>
      <c r="D379" s="4" t="s">
        <v>2</v>
      </c>
      <c r="E379" s="5">
        <v>45034</v>
      </c>
      <c r="F379">
        <v>75</v>
      </c>
      <c r="G379">
        <f>AVERAGEIF(calls[Representative], calls[[#This Row],[Representative]], calls[Satisfaction Rating])</f>
        <v>3.8824999999999998</v>
      </c>
      <c r="H379" t="str">
        <f>IF(AVERAGEIF(calls[Representative],calls[[#This Row],[Representative]],calls[Satisfaction Rating])&lt;3.5,"Needs Training","OK")</f>
        <v>OK</v>
      </c>
      <c r="I379">
        <v>3.9</v>
      </c>
      <c r="J379">
        <f>IF(MONTH(calls[[#This Row],[Date of Call]])&lt;=6, YEAR(calls[[#This Row],[Date of Call]]), YEAR(calls[[#This Row],[Date of Call]])+1)</f>
        <v>2023</v>
      </c>
      <c r="K379" t="str">
        <f>TEXT(calls[[#This Row],[Date of Call]],"DDDD")</f>
        <v>Tuesday</v>
      </c>
      <c r="L379" t="str" cm="1">
        <f t="array" ref="L379">_xlfn.IFS(calls[[#This Row],[Duration]]&lt;=10,"under 10 mins",calls[[#This Row],[Duration]]&lt;=30,"10 to 30mins",calls[[#This Row],[Duration]]&lt;=60,"60 to 30mins",calls[[#This Row],[Duration]]&lt;=120,"1 to 2hrs",TRUE,"More than 2 hrs")</f>
        <v>under 10 mins</v>
      </c>
      <c r="M379">
        <f>ROUND(calls[[#This Row],[Satisfaction Rating]],0)</f>
        <v>4</v>
      </c>
      <c r="N379">
        <f>COUNTIF(calls[Customer ID], calls[[#This Row],[Customer ID]])</f>
        <v>69</v>
      </c>
      <c r="O379">
        <f>SUMIF(calls[Customer ID], calls[[#This Row],[Customer ID]], calls[Purchase Amount])</f>
        <v>7230</v>
      </c>
      <c r="P379">
        <f>calls[[#This Row],[call count]]/calls[[#This Row],[Purchase Amount]]</f>
        <v>0.92</v>
      </c>
      <c r="Q379">
        <f>COUNTIF(calls[Customer ID],calls[[#This Row],[Customer ID]])</f>
        <v>69</v>
      </c>
      <c r="R379">
        <f>calls[[#This Row],[call count]]/calls[[#This Row],[Purchase Amount]]</f>
        <v>0.92</v>
      </c>
    </row>
    <row r="380" spans="1:18" x14ac:dyDescent="0.4">
      <c r="A380" t="s">
        <v>410</v>
      </c>
      <c r="B380" t="s">
        <v>40</v>
      </c>
      <c r="C380">
        <v>69</v>
      </c>
      <c r="D380" s="4" t="s">
        <v>14</v>
      </c>
      <c r="E380" s="5">
        <v>45035</v>
      </c>
      <c r="F380">
        <v>32</v>
      </c>
      <c r="G380">
        <f>AVERAGEIF(calls[Representative], calls[[#This Row],[Representative]], calls[Satisfaction Rating])</f>
        <v>3.9227513227513247</v>
      </c>
      <c r="H380" t="str">
        <f>IF(AVERAGEIF(calls[Representative],calls[[#This Row],[Representative]],calls[Satisfaction Rating])&lt;3.5,"Needs Training","OK")</f>
        <v>OK</v>
      </c>
      <c r="I380">
        <v>3.6</v>
      </c>
      <c r="J380">
        <f>IF(MONTH(calls[[#This Row],[Date of Call]])&lt;=6, YEAR(calls[[#This Row],[Date of Call]]), YEAR(calls[[#This Row],[Date of Call]])+1)</f>
        <v>2023</v>
      </c>
      <c r="K380" t="str">
        <f>TEXT(calls[[#This Row],[Date of Call]],"DDDD")</f>
        <v>Wednesday</v>
      </c>
      <c r="L380" t="str" cm="1">
        <f t="array" ref="L380">_xlfn.IFS(calls[[#This Row],[Duration]]&lt;=10,"under 10 mins",calls[[#This Row],[Duration]]&lt;=30,"10 to 30mins",calls[[#This Row],[Duration]]&lt;=60,"60 to 30mins",calls[[#This Row],[Duration]]&lt;=120,"1 to 2hrs",TRUE,"More than 2 hrs")</f>
        <v>1 to 2hrs</v>
      </c>
      <c r="M380">
        <f>ROUND(calls[[#This Row],[Satisfaction Rating]],0)</f>
        <v>4</v>
      </c>
      <c r="N380">
        <f>COUNTIF(calls[Customer ID], calls[[#This Row],[Customer ID]])</f>
        <v>69</v>
      </c>
      <c r="O380">
        <f>SUMIF(calls[Customer ID], calls[[#This Row],[Customer ID]], calls[Purchase Amount])</f>
        <v>6601</v>
      </c>
      <c r="P380">
        <f>calls[[#This Row],[call count]]/calls[[#This Row],[Purchase Amount]]</f>
        <v>2.15625</v>
      </c>
      <c r="Q380">
        <f>COUNTIF(calls[Customer ID],calls[[#This Row],[Customer ID]])</f>
        <v>69</v>
      </c>
      <c r="R380">
        <f>calls[[#This Row],[call count]]/calls[[#This Row],[Purchase Amount]]</f>
        <v>2.15625</v>
      </c>
    </row>
    <row r="381" spans="1:18" x14ac:dyDescent="0.4">
      <c r="A381" t="s">
        <v>411</v>
      </c>
      <c r="B381" t="s">
        <v>64</v>
      </c>
      <c r="C381">
        <v>107</v>
      </c>
      <c r="D381" s="4" t="s">
        <v>14</v>
      </c>
      <c r="E381" s="5">
        <v>45035</v>
      </c>
      <c r="F381">
        <v>156</v>
      </c>
      <c r="G381">
        <f>AVERAGEIF(calls[Representative], calls[[#This Row],[Representative]], calls[Satisfaction Rating])</f>
        <v>3.9227513227513247</v>
      </c>
      <c r="H381" t="str">
        <f>IF(AVERAGEIF(calls[Representative],calls[[#This Row],[Representative]],calls[Satisfaction Rating])&lt;3.5,"Needs Training","OK")</f>
        <v>OK</v>
      </c>
      <c r="I381">
        <v>3.8</v>
      </c>
      <c r="J381">
        <f>IF(MONTH(calls[[#This Row],[Date of Call]])&lt;=6, YEAR(calls[[#This Row],[Date of Call]]), YEAR(calls[[#This Row],[Date of Call]])+1)</f>
        <v>2023</v>
      </c>
      <c r="K381" t="str">
        <f>TEXT(calls[[#This Row],[Date of Call]],"DDDD")</f>
        <v>Wednesday</v>
      </c>
      <c r="L381" t="str" cm="1">
        <f t="array" ref="L381">_xlfn.IFS(calls[[#This Row],[Duration]]&lt;=10,"under 10 mins",calls[[#This Row],[Duration]]&lt;=30,"10 to 30mins",calls[[#This Row],[Duration]]&lt;=60,"60 to 30mins",calls[[#This Row],[Duration]]&lt;=120,"1 to 2hrs",TRUE,"More than 2 hrs")</f>
        <v>1 to 2hrs</v>
      </c>
      <c r="M381">
        <f>ROUND(calls[[#This Row],[Satisfaction Rating]],0)</f>
        <v>4</v>
      </c>
      <c r="N381">
        <f>COUNTIF(calls[Customer ID], calls[[#This Row],[Customer ID]])</f>
        <v>65</v>
      </c>
      <c r="O381">
        <f>SUMIF(calls[Customer ID], calls[[#This Row],[Customer ID]], calls[Purchase Amount])</f>
        <v>6785</v>
      </c>
      <c r="P381">
        <f>calls[[#This Row],[call count]]/calls[[#This Row],[Purchase Amount]]</f>
        <v>0.41666666666666669</v>
      </c>
      <c r="Q381">
        <f>COUNTIF(calls[Customer ID],calls[[#This Row],[Customer ID]])</f>
        <v>65</v>
      </c>
      <c r="R381">
        <f>calls[[#This Row],[call count]]/calls[[#This Row],[Purchase Amount]]</f>
        <v>0.41666666666666669</v>
      </c>
    </row>
    <row r="382" spans="1:18" x14ac:dyDescent="0.4">
      <c r="A382" t="s">
        <v>412</v>
      </c>
      <c r="B382" t="s">
        <v>6</v>
      </c>
      <c r="C382">
        <v>90</v>
      </c>
      <c r="D382" s="4" t="s">
        <v>9</v>
      </c>
      <c r="E382" s="5">
        <v>45035</v>
      </c>
      <c r="F382">
        <v>99</v>
      </c>
      <c r="G382">
        <f>AVERAGEIF(calls[Representative], calls[[#This Row],[Representative]], calls[Satisfaction Rating])</f>
        <v>3.8706422018348627</v>
      </c>
      <c r="H382" t="str">
        <f>IF(AVERAGEIF(calls[Representative],calls[[#This Row],[Representative]],calls[Satisfaction Rating])&lt;3.5,"Needs Training","OK")</f>
        <v>OK</v>
      </c>
      <c r="I382">
        <v>4.9000000000000004</v>
      </c>
      <c r="J382">
        <f>IF(MONTH(calls[[#This Row],[Date of Call]])&lt;=6, YEAR(calls[[#This Row],[Date of Call]]), YEAR(calls[[#This Row],[Date of Call]])+1)</f>
        <v>2023</v>
      </c>
      <c r="K382" t="str">
        <f>TEXT(calls[[#This Row],[Date of Call]],"DDDD")</f>
        <v>Wednesday</v>
      </c>
      <c r="L382" t="str" cm="1">
        <f t="array" ref="L382">_xlfn.IFS(calls[[#This Row],[Duration]]&lt;=10,"under 10 mins",calls[[#This Row],[Duration]]&lt;=30,"10 to 30mins",calls[[#This Row],[Duration]]&lt;=60,"60 to 30mins",calls[[#This Row],[Duration]]&lt;=120,"1 to 2hrs",TRUE,"More than 2 hrs")</f>
        <v>1 to 2hrs</v>
      </c>
      <c r="M382">
        <f>ROUND(calls[[#This Row],[Satisfaction Rating]],0)</f>
        <v>5</v>
      </c>
      <c r="N382">
        <f>COUNTIF(calls[Customer ID], calls[[#This Row],[Customer ID]])</f>
        <v>82</v>
      </c>
      <c r="O382">
        <f>SUMIF(calls[Customer ID], calls[[#This Row],[Customer ID]], calls[Purchase Amount])</f>
        <v>7689</v>
      </c>
      <c r="P382">
        <f>calls[[#This Row],[call count]]/calls[[#This Row],[Purchase Amount]]</f>
        <v>0.82828282828282829</v>
      </c>
      <c r="Q382">
        <f>COUNTIF(calls[Customer ID],calls[[#This Row],[Customer ID]])</f>
        <v>82</v>
      </c>
      <c r="R382">
        <f>calls[[#This Row],[call count]]/calls[[#This Row],[Purchase Amount]]</f>
        <v>0.82828282828282829</v>
      </c>
    </row>
    <row r="383" spans="1:18" x14ac:dyDescent="0.4">
      <c r="A383" t="s">
        <v>413</v>
      </c>
      <c r="B383" t="s">
        <v>1</v>
      </c>
      <c r="C383">
        <v>120</v>
      </c>
      <c r="D383" s="4" t="s">
        <v>27</v>
      </c>
      <c r="E383" s="5">
        <v>45035</v>
      </c>
      <c r="F383">
        <v>26</v>
      </c>
      <c r="G383">
        <f>AVERAGEIF(calls[Representative], calls[[#This Row],[Representative]], calls[Satisfaction Rating])</f>
        <v>3.8589371980676304</v>
      </c>
      <c r="H383" t="str">
        <f>IF(AVERAGEIF(calls[Representative],calls[[#This Row],[Representative]],calls[Satisfaction Rating])&lt;3.5,"Needs Training","OK")</f>
        <v>OK</v>
      </c>
      <c r="I383">
        <v>4</v>
      </c>
      <c r="J383">
        <f>IF(MONTH(calls[[#This Row],[Date of Call]])&lt;=6, YEAR(calls[[#This Row],[Date of Call]]), YEAR(calls[[#This Row],[Date of Call]])+1)</f>
        <v>2023</v>
      </c>
      <c r="K383" t="str">
        <f>TEXT(calls[[#This Row],[Date of Call]],"DDDD")</f>
        <v>Wednesday</v>
      </c>
      <c r="L383" t="str" cm="1">
        <f t="array" ref="L383">_xlfn.IFS(calls[[#This Row],[Duration]]&lt;=10,"under 10 mins",calls[[#This Row],[Duration]]&lt;=30,"10 to 30mins",calls[[#This Row],[Duration]]&lt;=60,"60 to 30mins",calls[[#This Row],[Duration]]&lt;=120,"1 to 2hrs",TRUE,"More than 2 hrs")</f>
        <v>1 to 2hrs</v>
      </c>
      <c r="M383">
        <f>ROUND(calls[[#This Row],[Satisfaction Rating]],0)</f>
        <v>4</v>
      </c>
      <c r="N383">
        <f>COUNTIF(calls[Customer ID], calls[[#This Row],[Customer ID]])</f>
        <v>50</v>
      </c>
      <c r="O383">
        <f>SUMIF(calls[Customer ID], calls[[#This Row],[Customer ID]], calls[Purchase Amount])</f>
        <v>4804</v>
      </c>
      <c r="P383">
        <f>calls[[#This Row],[call count]]/calls[[#This Row],[Purchase Amount]]</f>
        <v>1.9230769230769231</v>
      </c>
      <c r="Q383">
        <f>COUNTIF(calls[Customer ID],calls[[#This Row],[Customer ID]])</f>
        <v>50</v>
      </c>
      <c r="R383">
        <f>calls[[#This Row],[call count]]/calls[[#This Row],[Purchase Amount]]</f>
        <v>1.9230769230769231</v>
      </c>
    </row>
    <row r="384" spans="1:18" x14ac:dyDescent="0.4">
      <c r="A384" t="s">
        <v>414</v>
      </c>
      <c r="B384" t="s">
        <v>13</v>
      </c>
      <c r="C384">
        <v>47</v>
      </c>
      <c r="D384" s="4" t="s">
        <v>14</v>
      </c>
      <c r="E384" s="5">
        <v>45035</v>
      </c>
      <c r="F384">
        <v>84</v>
      </c>
      <c r="G384">
        <f>AVERAGEIF(calls[Representative], calls[[#This Row],[Representative]], calls[Satisfaction Rating])</f>
        <v>3.9227513227513247</v>
      </c>
      <c r="H384" t="str">
        <f>IF(AVERAGEIF(calls[Representative],calls[[#This Row],[Representative]],calls[Satisfaction Rating])&lt;3.5,"Needs Training","OK")</f>
        <v>OK</v>
      </c>
      <c r="I384">
        <v>4.0999999999999996</v>
      </c>
      <c r="J384">
        <f>IF(MONTH(calls[[#This Row],[Date of Call]])&lt;=6, YEAR(calls[[#This Row],[Date of Call]]), YEAR(calls[[#This Row],[Date of Call]])+1)</f>
        <v>2023</v>
      </c>
      <c r="K384" t="str">
        <f>TEXT(calls[[#This Row],[Date of Call]],"DDDD")</f>
        <v>Wednesday</v>
      </c>
      <c r="L384" t="str" cm="1">
        <f t="array" ref="L384">_xlfn.IFS(calls[[#This Row],[Duration]]&lt;=10,"under 10 mins",calls[[#This Row],[Duration]]&lt;=30,"10 to 30mins",calls[[#This Row],[Duration]]&lt;=60,"60 to 30mins",calls[[#This Row],[Duration]]&lt;=120,"1 to 2hrs",TRUE,"More than 2 hrs")</f>
        <v>60 to 30mins</v>
      </c>
      <c r="M384">
        <f>ROUND(calls[[#This Row],[Satisfaction Rating]],0)</f>
        <v>4</v>
      </c>
      <c r="N384">
        <f>COUNTIF(calls[Customer ID], calls[[#This Row],[Customer ID]])</f>
        <v>74</v>
      </c>
      <c r="O384">
        <f>SUMIF(calls[Customer ID], calls[[#This Row],[Customer ID]], calls[Purchase Amount])</f>
        <v>6749</v>
      </c>
      <c r="P384">
        <f>calls[[#This Row],[call count]]/calls[[#This Row],[Purchase Amount]]</f>
        <v>0.88095238095238093</v>
      </c>
      <c r="Q384">
        <f>COUNTIF(calls[Customer ID],calls[[#This Row],[Customer ID]])</f>
        <v>74</v>
      </c>
      <c r="R384">
        <f>calls[[#This Row],[call count]]/calls[[#This Row],[Purchase Amount]]</f>
        <v>0.88095238095238093</v>
      </c>
    </row>
    <row r="385" spans="1:18" x14ac:dyDescent="0.4">
      <c r="A385" t="s">
        <v>415</v>
      </c>
      <c r="B385" t="s">
        <v>11</v>
      </c>
      <c r="C385">
        <v>60</v>
      </c>
      <c r="D385" s="4" t="s">
        <v>27</v>
      </c>
      <c r="E385" s="5">
        <v>45035</v>
      </c>
      <c r="F385">
        <v>84</v>
      </c>
      <c r="G385">
        <f>AVERAGEIF(calls[Representative], calls[[#This Row],[Representative]], calls[Satisfaction Rating])</f>
        <v>3.8589371980676304</v>
      </c>
      <c r="H385" t="str">
        <f>IF(AVERAGEIF(calls[Representative],calls[[#This Row],[Representative]],calls[Satisfaction Rating])&lt;3.5,"Needs Training","OK")</f>
        <v>OK</v>
      </c>
      <c r="I385">
        <v>4.8</v>
      </c>
      <c r="J385">
        <f>IF(MONTH(calls[[#This Row],[Date of Call]])&lt;=6, YEAR(calls[[#This Row],[Date of Call]]), YEAR(calls[[#This Row],[Date of Call]])+1)</f>
        <v>2023</v>
      </c>
      <c r="K385" t="str">
        <f>TEXT(calls[[#This Row],[Date of Call]],"DDDD")</f>
        <v>Wednesday</v>
      </c>
      <c r="L385" t="str" cm="1">
        <f t="array" ref="L385">_xlfn.IFS(calls[[#This Row],[Duration]]&lt;=10,"under 10 mins",calls[[#This Row],[Duration]]&lt;=30,"10 to 30mins",calls[[#This Row],[Duration]]&lt;=60,"60 to 30mins",calls[[#This Row],[Duration]]&lt;=120,"1 to 2hrs",TRUE,"More than 2 hrs")</f>
        <v>60 to 30mins</v>
      </c>
      <c r="M385">
        <f>ROUND(calls[[#This Row],[Satisfaction Rating]],0)</f>
        <v>5</v>
      </c>
      <c r="N385">
        <f>COUNTIF(calls[Customer ID], calls[[#This Row],[Customer ID]])</f>
        <v>60</v>
      </c>
      <c r="O385">
        <f>SUMIF(calls[Customer ID], calls[[#This Row],[Customer ID]], calls[Purchase Amount])</f>
        <v>5404</v>
      </c>
      <c r="P385">
        <f>calls[[#This Row],[call count]]/calls[[#This Row],[Purchase Amount]]</f>
        <v>0.7142857142857143</v>
      </c>
      <c r="Q385">
        <f>COUNTIF(calls[Customer ID],calls[[#This Row],[Customer ID]])</f>
        <v>60</v>
      </c>
      <c r="R385">
        <f>calls[[#This Row],[call count]]/calls[[#This Row],[Purchase Amount]]</f>
        <v>0.7142857142857143</v>
      </c>
    </row>
    <row r="386" spans="1:18" x14ac:dyDescent="0.4">
      <c r="A386" t="s">
        <v>416</v>
      </c>
      <c r="B386" t="s">
        <v>44</v>
      </c>
      <c r="C386">
        <v>64</v>
      </c>
      <c r="D386" s="4" t="s">
        <v>9</v>
      </c>
      <c r="E386" s="5">
        <v>45035</v>
      </c>
      <c r="F386">
        <v>170</v>
      </c>
      <c r="G386">
        <f>AVERAGEIF(calls[Representative], calls[[#This Row],[Representative]], calls[Satisfaction Rating])</f>
        <v>3.8706422018348627</v>
      </c>
      <c r="H386" t="str">
        <f>IF(AVERAGEIF(calls[Representative],calls[[#This Row],[Representative]],calls[Satisfaction Rating])&lt;3.5,"Needs Training","OK")</f>
        <v>OK</v>
      </c>
      <c r="I386">
        <v>2.2999999999999998</v>
      </c>
      <c r="J386">
        <f>IF(MONTH(calls[[#This Row],[Date of Call]])&lt;=6, YEAR(calls[[#This Row],[Date of Call]]), YEAR(calls[[#This Row],[Date of Call]])+1)</f>
        <v>2023</v>
      </c>
      <c r="K386" t="str">
        <f>TEXT(calls[[#This Row],[Date of Call]],"DDDD")</f>
        <v>Wednesday</v>
      </c>
      <c r="L386" t="str" cm="1">
        <f t="array" ref="L386">_xlfn.IFS(calls[[#This Row],[Duration]]&lt;=10,"under 10 mins",calls[[#This Row],[Duration]]&lt;=30,"10 to 30mins",calls[[#This Row],[Duration]]&lt;=60,"60 to 30mins",calls[[#This Row],[Duration]]&lt;=120,"1 to 2hrs",TRUE,"More than 2 hrs")</f>
        <v>1 to 2hrs</v>
      </c>
      <c r="M386">
        <f>ROUND(calls[[#This Row],[Satisfaction Rating]],0)</f>
        <v>2</v>
      </c>
      <c r="N386">
        <f>COUNTIF(calls[Customer ID], calls[[#This Row],[Customer ID]])</f>
        <v>62</v>
      </c>
      <c r="O386">
        <f>SUMIF(calls[Customer ID], calls[[#This Row],[Customer ID]], calls[Purchase Amount])</f>
        <v>6176</v>
      </c>
      <c r="P386">
        <f>calls[[#This Row],[call count]]/calls[[#This Row],[Purchase Amount]]</f>
        <v>0.36470588235294116</v>
      </c>
      <c r="Q386">
        <f>COUNTIF(calls[Customer ID],calls[[#This Row],[Customer ID]])</f>
        <v>62</v>
      </c>
      <c r="R386">
        <f>calls[[#This Row],[call count]]/calls[[#This Row],[Purchase Amount]]</f>
        <v>0.36470588235294116</v>
      </c>
    </row>
    <row r="387" spans="1:18" x14ac:dyDescent="0.4">
      <c r="A387" t="s">
        <v>417</v>
      </c>
      <c r="B387" t="s">
        <v>84</v>
      </c>
      <c r="C387">
        <v>62</v>
      </c>
      <c r="D387" s="4" t="s">
        <v>14</v>
      </c>
      <c r="E387" s="5">
        <v>45035</v>
      </c>
      <c r="F387">
        <v>35</v>
      </c>
      <c r="G387">
        <f>AVERAGEIF(calls[Representative], calls[[#This Row],[Representative]], calls[Satisfaction Rating])</f>
        <v>3.9227513227513247</v>
      </c>
      <c r="H387" t="str">
        <f>IF(AVERAGEIF(calls[Representative],calls[[#This Row],[Representative]],calls[Satisfaction Rating])&lt;3.5,"Needs Training","OK")</f>
        <v>OK</v>
      </c>
      <c r="I387">
        <v>4.4000000000000004</v>
      </c>
      <c r="J387">
        <f>IF(MONTH(calls[[#This Row],[Date of Call]])&lt;=6, YEAR(calls[[#This Row],[Date of Call]]), YEAR(calls[[#This Row],[Date of Call]])+1)</f>
        <v>2023</v>
      </c>
      <c r="K387" t="str">
        <f>TEXT(calls[[#This Row],[Date of Call]],"DDDD")</f>
        <v>Wednesday</v>
      </c>
      <c r="L387" t="str" cm="1">
        <f t="array" ref="L387">_xlfn.IFS(calls[[#This Row],[Duration]]&lt;=10,"under 10 mins",calls[[#This Row],[Duration]]&lt;=30,"10 to 30mins",calls[[#This Row],[Duration]]&lt;=60,"60 to 30mins",calls[[#This Row],[Duration]]&lt;=120,"1 to 2hrs",TRUE,"More than 2 hrs")</f>
        <v>1 to 2hrs</v>
      </c>
      <c r="M387">
        <f>ROUND(calls[[#This Row],[Satisfaction Rating]],0)</f>
        <v>4</v>
      </c>
      <c r="N387">
        <f>COUNTIF(calls[Customer ID], calls[[#This Row],[Customer ID]])</f>
        <v>59</v>
      </c>
      <c r="O387">
        <f>SUMIF(calls[Customer ID], calls[[#This Row],[Customer ID]], calls[Purchase Amount])</f>
        <v>5009</v>
      </c>
      <c r="P387">
        <f>calls[[#This Row],[call count]]/calls[[#This Row],[Purchase Amount]]</f>
        <v>1.6857142857142857</v>
      </c>
      <c r="Q387">
        <f>COUNTIF(calls[Customer ID],calls[[#This Row],[Customer ID]])</f>
        <v>59</v>
      </c>
      <c r="R387">
        <f>calls[[#This Row],[call count]]/calls[[#This Row],[Purchase Amount]]</f>
        <v>1.6857142857142857</v>
      </c>
    </row>
    <row r="388" spans="1:18" x14ac:dyDescent="0.4">
      <c r="A388" t="s">
        <v>418</v>
      </c>
      <c r="B388" t="s">
        <v>26</v>
      </c>
      <c r="C388">
        <v>88</v>
      </c>
      <c r="D388" s="4" t="s">
        <v>14</v>
      </c>
      <c r="E388" s="5">
        <v>45036</v>
      </c>
      <c r="F388">
        <v>35</v>
      </c>
      <c r="G388">
        <f>AVERAGEIF(calls[Representative], calls[[#This Row],[Representative]], calls[Satisfaction Rating])</f>
        <v>3.9227513227513247</v>
      </c>
      <c r="H388" t="str">
        <f>IF(AVERAGEIF(calls[Representative],calls[[#This Row],[Representative]],calls[Satisfaction Rating])&lt;3.5,"Needs Training","OK")</f>
        <v>OK</v>
      </c>
      <c r="I388">
        <v>3.8</v>
      </c>
      <c r="J388">
        <f>IF(MONTH(calls[[#This Row],[Date of Call]])&lt;=6, YEAR(calls[[#This Row],[Date of Call]]), YEAR(calls[[#This Row],[Date of Call]])+1)</f>
        <v>2023</v>
      </c>
      <c r="K388" t="str">
        <f>TEXT(calls[[#This Row],[Date of Call]],"DDDD")</f>
        <v>Thursday</v>
      </c>
      <c r="L388" t="str" cm="1">
        <f t="array" ref="L388">_xlfn.IFS(calls[[#This Row],[Duration]]&lt;=10,"under 10 mins",calls[[#This Row],[Duration]]&lt;=30,"10 to 30mins",calls[[#This Row],[Duration]]&lt;=60,"60 to 30mins",calls[[#This Row],[Duration]]&lt;=120,"1 to 2hrs",TRUE,"More than 2 hrs")</f>
        <v>1 to 2hrs</v>
      </c>
      <c r="M388">
        <f>ROUND(calls[[#This Row],[Satisfaction Rating]],0)</f>
        <v>4</v>
      </c>
      <c r="N388">
        <f>COUNTIF(calls[Customer ID], calls[[#This Row],[Customer ID]])</f>
        <v>72</v>
      </c>
      <c r="O388">
        <f>SUMIF(calls[Customer ID], calls[[#This Row],[Customer ID]], calls[Purchase Amount])</f>
        <v>6242</v>
      </c>
      <c r="P388">
        <f>calls[[#This Row],[call count]]/calls[[#This Row],[Purchase Amount]]</f>
        <v>2.0571428571428569</v>
      </c>
      <c r="Q388">
        <f>COUNTIF(calls[Customer ID],calls[[#This Row],[Customer ID]])</f>
        <v>72</v>
      </c>
      <c r="R388">
        <f>calls[[#This Row],[call count]]/calls[[#This Row],[Purchase Amount]]</f>
        <v>2.0571428571428569</v>
      </c>
    </row>
    <row r="389" spans="1:18" x14ac:dyDescent="0.4">
      <c r="A389" t="s">
        <v>419</v>
      </c>
      <c r="B389" t="s">
        <v>51</v>
      </c>
      <c r="C389">
        <v>116</v>
      </c>
      <c r="D389" s="4" t="s">
        <v>14</v>
      </c>
      <c r="E389" s="5">
        <v>45036</v>
      </c>
      <c r="F389">
        <v>132</v>
      </c>
      <c r="G389">
        <f>AVERAGEIF(calls[Representative], calls[[#This Row],[Representative]], calls[Satisfaction Rating])</f>
        <v>3.9227513227513247</v>
      </c>
      <c r="H389" t="str">
        <f>IF(AVERAGEIF(calls[Representative],calls[[#This Row],[Representative]],calls[Satisfaction Rating])&lt;3.5,"Needs Training","OK")</f>
        <v>OK</v>
      </c>
      <c r="I389">
        <v>5</v>
      </c>
      <c r="J389">
        <f>IF(MONTH(calls[[#This Row],[Date of Call]])&lt;=6, YEAR(calls[[#This Row],[Date of Call]]), YEAR(calls[[#This Row],[Date of Call]])+1)</f>
        <v>2023</v>
      </c>
      <c r="K389" t="str">
        <f>TEXT(calls[[#This Row],[Date of Call]],"DDDD")</f>
        <v>Thursday</v>
      </c>
      <c r="L389" t="str" cm="1">
        <f t="array" ref="L389">_xlfn.IFS(calls[[#This Row],[Duration]]&lt;=10,"under 10 mins",calls[[#This Row],[Duration]]&lt;=30,"10 to 30mins",calls[[#This Row],[Duration]]&lt;=60,"60 to 30mins",calls[[#This Row],[Duration]]&lt;=120,"1 to 2hrs",TRUE,"More than 2 hrs")</f>
        <v>1 to 2hrs</v>
      </c>
      <c r="M389">
        <f>ROUND(calls[[#This Row],[Satisfaction Rating]],0)</f>
        <v>5</v>
      </c>
      <c r="N389">
        <f>COUNTIF(calls[Customer ID], calls[[#This Row],[Customer ID]])</f>
        <v>59</v>
      </c>
      <c r="O389">
        <f>SUMIF(calls[Customer ID], calls[[#This Row],[Customer ID]], calls[Purchase Amount])</f>
        <v>6518</v>
      </c>
      <c r="P389">
        <f>calls[[#This Row],[call count]]/calls[[#This Row],[Purchase Amount]]</f>
        <v>0.44696969696969696</v>
      </c>
      <c r="Q389">
        <f>COUNTIF(calls[Customer ID],calls[[#This Row],[Customer ID]])</f>
        <v>59</v>
      </c>
      <c r="R389">
        <f>calls[[#This Row],[call count]]/calls[[#This Row],[Purchase Amount]]</f>
        <v>0.44696969696969696</v>
      </c>
    </row>
    <row r="390" spans="1:18" x14ac:dyDescent="0.4">
      <c r="A390" t="s">
        <v>420</v>
      </c>
      <c r="B390" t="s">
        <v>6</v>
      </c>
      <c r="C390">
        <v>82</v>
      </c>
      <c r="D390" s="4" t="s">
        <v>2</v>
      </c>
      <c r="E390" s="5">
        <v>45037</v>
      </c>
      <c r="F390">
        <v>144</v>
      </c>
      <c r="G390">
        <f>AVERAGEIF(calls[Representative], calls[[#This Row],[Representative]], calls[Satisfaction Rating])</f>
        <v>3.8824999999999998</v>
      </c>
      <c r="H390" t="str">
        <f>IF(AVERAGEIF(calls[Representative],calls[[#This Row],[Representative]],calls[Satisfaction Rating])&lt;3.5,"Needs Training","OK")</f>
        <v>OK</v>
      </c>
      <c r="I390">
        <v>3.3</v>
      </c>
      <c r="J390">
        <f>IF(MONTH(calls[[#This Row],[Date of Call]])&lt;=6, YEAR(calls[[#This Row],[Date of Call]]), YEAR(calls[[#This Row],[Date of Call]])+1)</f>
        <v>2023</v>
      </c>
      <c r="K390" t="str">
        <f>TEXT(calls[[#This Row],[Date of Call]],"DDDD")</f>
        <v>Friday</v>
      </c>
      <c r="L390" t="str" cm="1">
        <f t="array" ref="L390">_xlfn.IFS(calls[[#This Row],[Duration]]&lt;=10,"under 10 mins",calls[[#This Row],[Duration]]&lt;=30,"10 to 30mins",calls[[#This Row],[Duration]]&lt;=60,"60 to 30mins",calls[[#This Row],[Duration]]&lt;=120,"1 to 2hrs",TRUE,"More than 2 hrs")</f>
        <v>1 to 2hrs</v>
      </c>
      <c r="M390">
        <f>ROUND(calls[[#This Row],[Satisfaction Rating]],0)</f>
        <v>3</v>
      </c>
      <c r="N390">
        <f>COUNTIF(calls[Customer ID], calls[[#This Row],[Customer ID]])</f>
        <v>82</v>
      </c>
      <c r="O390">
        <f>SUMIF(calls[Customer ID], calls[[#This Row],[Customer ID]], calls[Purchase Amount])</f>
        <v>7689</v>
      </c>
      <c r="P390">
        <f>calls[[#This Row],[call count]]/calls[[#This Row],[Purchase Amount]]</f>
        <v>0.56944444444444442</v>
      </c>
      <c r="Q390">
        <f>COUNTIF(calls[Customer ID],calls[[#This Row],[Customer ID]])</f>
        <v>82</v>
      </c>
      <c r="R390">
        <f>calls[[#This Row],[call count]]/calls[[#This Row],[Purchase Amount]]</f>
        <v>0.56944444444444442</v>
      </c>
    </row>
    <row r="391" spans="1:18" x14ac:dyDescent="0.4">
      <c r="A391" t="s">
        <v>421</v>
      </c>
      <c r="B391" t="s">
        <v>84</v>
      </c>
      <c r="C391">
        <v>99</v>
      </c>
      <c r="D391" s="4" t="s">
        <v>9</v>
      </c>
      <c r="E391" s="5">
        <v>45037</v>
      </c>
      <c r="F391">
        <v>48</v>
      </c>
      <c r="G391">
        <f>AVERAGEIF(calls[Representative], calls[[#This Row],[Representative]], calls[Satisfaction Rating])</f>
        <v>3.8706422018348627</v>
      </c>
      <c r="H391" t="str">
        <f>IF(AVERAGEIF(calls[Representative],calls[[#This Row],[Representative]],calls[Satisfaction Rating])&lt;3.5,"Needs Training","OK")</f>
        <v>OK</v>
      </c>
      <c r="I391">
        <v>5</v>
      </c>
      <c r="J391">
        <f>IF(MONTH(calls[[#This Row],[Date of Call]])&lt;=6, YEAR(calls[[#This Row],[Date of Call]]), YEAR(calls[[#This Row],[Date of Call]])+1)</f>
        <v>2023</v>
      </c>
      <c r="K391" t="str">
        <f>TEXT(calls[[#This Row],[Date of Call]],"DDDD")</f>
        <v>Friday</v>
      </c>
      <c r="L391" t="str" cm="1">
        <f t="array" ref="L391">_xlfn.IFS(calls[[#This Row],[Duration]]&lt;=10,"under 10 mins",calls[[#This Row],[Duration]]&lt;=30,"10 to 30mins",calls[[#This Row],[Duration]]&lt;=60,"60 to 30mins",calls[[#This Row],[Duration]]&lt;=120,"1 to 2hrs",TRUE,"More than 2 hrs")</f>
        <v>1 to 2hrs</v>
      </c>
      <c r="M391">
        <f>ROUND(calls[[#This Row],[Satisfaction Rating]],0)</f>
        <v>5</v>
      </c>
      <c r="N391">
        <f>COUNTIF(calls[Customer ID], calls[[#This Row],[Customer ID]])</f>
        <v>59</v>
      </c>
      <c r="O391">
        <f>SUMIF(calls[Customer ID], calls[[#This Row],[Customer ID]], calls[Purchase Amount])</f>
        <v>5009</v>
      </c>
      <c r="P391">
        <f>calls[[#This Row],[call count]]/calls[[#This Row],[Purchase Amount]]</f>
        <v>1.2291666666666667</v>
      </c>
      <c r="Q391">
        <f>COUNTIF(calls[Customer ID],calls[[#This Row],[Customer ID]])</f>
        <v>59</v>
      </c>
      <c r="R391">
        <f>calls[[#This Row],[call count]]/calls[[#This Row],[Purchase Amount]]</f>
        <v>1.2291666666666667</v>
      </c>
    </row>
    <row r="392" spans="1:18" x14ac:dyDescent="0.4">
      <c r="A392" t="s">
        <v>422</v>
      </c>
      <c r="B392" t="s">
        <v>84</v>
      </c>
      <c r="C392">
        <v>55</v>
      </c>
      <c r="D392" s="4" t="s">
        <v>2</v>
      </c>
      <c r="E392" s="5">
        <v>45037</v>
      </c>
      <c r="F392">
        <v>200</v>
      </c>
      <c r="G392">
        <f>AVERAGEIF(calls[Representative], calls[[#This Row],[Representative]], calls[Satisfaction Rating])</f>
        <v>3.8824999999999998</v>
      </c>
      <c r="H392" t="str">
        <f>IF(AVERAGEIF(calls[Representative],calls[[#This Row],[Representative]],calls[Satisfaction Rating])&lt;3.5,"Needs Training","OK")</f>
        <v>OK</v>
      </c>
      <c r="I392">
        <v>2.2999999999999998</v>
      </c>
      <c r="J392">
        <f>IF(MONTH(calls[[#This Row],[Date of Call]])&lt;=6, YEAR(calls[[#This Row],[Date of Call]]), YEAR(calls[[#This Row],[Date of Call]])+1)</f>
        <v>2023</v>
      </c>
      <c r="K392" t="str">
        <f>TEXT(calls[[#This Row],[Date of Call]],"DDDD")</f>
        <v>Friday</v>
      </c>
      <c r="L392" t="str" cm="1">
        <f t="array" ref="L392">_xlfn.IFS(calls[[#This Row],[Duration]]&lt;=10,"under 10 mins",calls[[#This Row],[Duration]]&lt;=30,"10 to 30mins",calls[[#This Row],[Duration]]&lt;=60,"60 to 30mins",calls[[#This Row],[Duration]]&lt;=120,"1 to 2hrs",TRUE,"More than 2 hrs")</f>
        <v>60 to 30mins</v>
      </c>
      <c r="M392">
        <f>ROUND(calls[[#This Row],[Satisfaction Rating]],0)</f>
        <v>2</v>
      </c>
      <c r="N392">
        <f>COUNTIF(calls[Customer ID], calls[[#This Row],[Customer ID]])</f>
        <v>59</v>
      </c>
      <c r="O392">
        <f>SUMIF(calls[Customer ID], calls[[#This Row],[Customer ID]], calls[Purchase Amount])</f>
        <v>5009</v>
      </c>
      <c r="P392">
        <f>calls[[#This Row],[call count]]/calls[[#This Row],[Purchase Amount]]</f>
        <v>0.29499999999999998</v>
      </c>
      <c r="Q392">
        <f>COUNTIF(calls[Customer ID],calls[[#This Row],[Customer ID]])</f>
        <v>59</v>
      </c>
      <c r="R392">
        <f>calls[[#This Row],[call count]]/calls[[#This Row],[Purchase Amount]]</f>
        <v>0.29499999999999998</v>
      </c>
    </row>
    <row r="393" spans="1:18" x14ac:dyDescent="0.4">
      <c r="A393" t="s">
        <v>423</v>
      </c>
      <c r="B393" t="s">
        <v>44</v>
      </c>
      <c r="C393">
        <v>61</v>
      </c>
      <c r="D393" s="4" t="s">
        <v>27</v>
      </c>
      <c r="E393" s="5">
        <v>45037</v>
      </c>
      <c r="F393">
        <v>38</v>
      </c>
      <c r="G393">
        <f>AVERAGEIF(calls[Representative], calls[[#This Row],[Representative]], calls[Satisfaction Rating])</f>
        <v>3.8589371980676304</v>
      </c>
      <c r="H393" t="str">
        <f>IF(AVERAGEIF(calls[Representative],calls[[#This Row],[Representative]],calls[Satisfaction Rating])&lt;3.5,"Needs Training","OK")</f>
        <v>OK</v>
      </c>
      <c r="I393">
        <v>4.8</v>
      </c>
      <c r="J393">
        <f>IF(MONTH(calls[[#This Row],[Date of Call]])&lt;=6, YEAR(calls[[#This Row],[Date of Call]]), YEAR(calls[[#This Row],[Date of Call]])+1)</f>
        <v>2023</v>
      </c>
      <c r="K393" t="str">
        <f>TEXT(calls[[#This Row],[Date of Call]],"DDDD")</f>
        <v>Friday</v>
      </c>
      <c r="L393" t="str" cm="1">
        <f t="array" ref="L393">_xlfn.IFS(calls[[#This Row],[Duration]]&lt;=10,"under 10 mins",calls[[#This Row],[Duration]]&lt;=30,"10 to 30mins",calls[[#This Row],[Duration]]&lt;=60,"60 to 30mins",calls[[#This Row],[Duration]]&lt;=120,"1 to 2hrs",TRUE,"More than 2 hrs")</f>
        <v>1 to 2hrs</v>
      </c>
      <c r="M393">
        <f>ROUND(calls[[#This Row],[Satisfaction Rating]],0)</f>
        <v>5</v>
      </c>
      <c r="N393">
        <f>COUNTIF(calls[Customer ID], calls[[#This Row],[Customer ID]])</f>
        <v>62</v>
      </c>
      <c r="O393">
        <f>SUMIF(calls[Customer ID], calls[[#This Row],[Customer ID]], calls[Purchase Amount])</f>
        <v>6176</v>
      </c>
      <c r="P393">
        <f>calls[[#This Row],[call count]]/calls[[#This Row],[Purchase Amount]]</f>
        <v>1.631578947368421</v>
      </c>
      <c r="Q393">
        <f>COUNTIF(calls[Customer ID],calls[[#This Row],[Customer ID]])</f>
        <v>62</v>
      </c>
      <c r="R393">
        <f>calls[[#This Row],[call count]]/calls[[#This Row],[Purchase Amount]]</f>
        <v>1.631578947368421</v>
      </c>
    </row>
    <row r="394" spans="1:18" x14ac:dyDescent="0.4">
      <c r="A394" t="s">
        <v>424</v>
      </c>
      <c r="B394" t="s">
        <v>51</v>
      </c>
      <c r="C394">
        <v>36</v>
      </c>
      <c r="D394" s="4" t="s">
        <v>23</v>
      </c>
      <c r="E394" s="5">
        <v>45037</v>
      </c>
      <c r="F394">
        <v>81</v>
      </c>
      <c r="G394">
        <f>AVERAGEIF(calls[Representative], calls[[#This Row],[Representative]], calls[Satisfaction Rating])</f>
        <v>3.8973118279569863</v>
      </c>
      <c r="H394" t="str">
        <f>IF(AVERAGEIF(calls[Representative],calls[[#This Row],[Representative]],calls[Satisfaction Rating])&lt;3.5,"Needs Training","OK")</f>
        <v>OK</v>
      </c>
      <c r="I394">
        <v>3.7</v>
      </c>
      <c r="J394">
        <f>IF(MONTH(calls[[#This Row],[Date of Call]])&lt;=6, YEAR(calls[[#This Row],[Date of Call]]), YEAR(calls[[#This Row],[Date of Call]])+1)</f>
        <v>2023</v>
      </c>
      <c r="K394" t="str">
        <f>TEXT(calls[[#This Row],[Date of Call]],"DDDD")</f>
        <v>Friday</v>
      </c>
      <c r="L394" t="str" cm="1">
        <f t="array" ref="L394">_xlfn.IFS(calls[[#This Row],[Duration]]&lt;=10,"under 10 mins",calls[[#This Row],[Duration]]&lt;=30,"10 to 30mins",calls[[#This Row],[Duration]]&lt;=60,"60 to 30mins",calls[[#This Row],[Duration]]&lt;=120,"1 to 2hrs",TRUE,"More than 2 hrs")</f>
        <v>60 to 30mins</v>
      </c>
      <c r="M394">
        <f>ROUND(calls[[#This Row],[Satisfaction Rating]],0)</f>
        <v>4</v>
      </c>
      <c r="N394">
        <f>COUNTIF(calls[Customer ID], calls[[#This Row],[Customer ID]])</f>
        <v>59</v>
      </c>
      <c r="O394">
        <f>SUMIF(calls[Customer ID], calls[[#This Row],[Customer ID]], calls[Purchase Amount])</f>
        <v>6518</v>
      </c>
      <c r="P394">
        <f>calls[[#This Row],[call count]]/calls[[#This Row],[Purchase Amount]]</f>
        <v>0.72839506172839508</v>
      </c>
      <c r="Q394">
        <f>COUNTIF(calls[Customer ID],calls[[#This Row],[Customer ID]])</f>
        <v>59</v>
      </c>
      <c r="R394">
        <f>calls[[#This Row],[call count]]/calls[[#This Row],[Purchase Amount]]</f>
        <v>0.72839506172839508</v>
      </c>
    </row>
    <row r="395" spans="1:18" x14ac:dyDescent="0.4">
      <c r="A395" t="s">
        <v>425</v>
      </c>
      <c r="B395" t="s">
        <v>6</v>
      </c>
      <c r="C395">
        <v>123</v>
      </c>
      <c r="D395" s="4" t="s">
        <v>14</v>
      </c>
      <c r="E395" s="5">
        <v>45037</v>
      </c>
      <c r="F395">
        <v>120</v>
      </c>
      <c r="G395">
        <f>AVERAGEIF(calls[Representative], calls[[#This Row],[Representative]], calls[Satisfaction Rating])</f>
        <v>3.9227513227513247</v>
      </c>
      <c r="H395" t="str">
        <f>IF(AVERAGEIF(calls[Representative],calls[[#This Row],[Representative]],calls[Satisfaction Rating])&lt;3.5,"Needs Training","OK")</f>
        <v>OK</v>
      </c>
      <c r="I395">
        <v>4.2</v>
      </c>
      <c r="J395">
        <f>IF(MONTH(calls[[#This Row],[Date of Call]])&lt;=6, YEAR(calls[[#This Row],[Date of Call]]), YEAR(calls[[#This Row],[Date of Call]])+1)</f>
        <v>2023</v>
      </c>
      <c r="K395" t="str">
        <f>TEXT(calls[[#This Row],[Date of Call]],"DDDD")</f>
        <v>Friday</v>
      </c>
      <c r="L395" t="str" cm="1">
        <f t="array" ref="L395">_xlfn.IFS(calls[[#This Row],[Duration]]&lt;=10,"under 10 mins",calls[[#This Row],[Duration]]&lt;=30,"10 to 30mins",calls[[#This Row],[Duration]]&lt;=60,"60 to 30mins",calls[[#This Row],[Duration]]&lt;=120,"1 to 2hrs",TRUE,"More than 2 hrs")</f>
        <v>More than 2 hrs</v>
      </c>
      <c r="M395">
        <f>ROUND(calls[[#This Row],[Satisfaction Rating]],0)</f>
        <v>4</v>
      </c>
      <c r="N395">
        <f>COUNTIF(calls[Customer ID], calls[[#This Row],[Customer ID]])</f>
        <v>82</v>
      </c>
      <c r="O395">
        <f>SUMIF(calls[Customer ID], calls[[#This Row],[Customer ID]], calls[Purchase Amount])</f>
        <v>7689</v>
      </c>
      <c r="P395">
        <f>calls[[#This Row],[call count]]/calls[[#This Row],[Purchase Amount]]</f>
        <v>0.68333333333333335</v>
      </c>
      <c r="Q395">
        <f>COUNTIF(calls[Customer ID],calls[[#This Row],[Customer ID]])</f>
        <v>82</v>
      </c>
      <c r="R395">
        <f>calls[[#This Row],[call count]]/calls[[#This Row],[Purchase Amount]]</f>
        <v>0.68333333333333335</v>
      </c>
    </row>
    <row r="396" spans="1:18" x14ac:dyDescent="0.4">
      <c r="A396" t="s">
        <v>426</v>
      </c>
      <c r="B396" t="s">
        <v>32</v>
      </c>
      <c r="C396">
        <v>24</v>
      </c>
      <c r="D396" s="4" t="s">
        <v>27</v>
      </c>
      <c r="E396" s="5">
        <v>45037</v>
      </c>
      <c r="F396">
        <v>74</v>
      </c>
      <c r="G396">
        <f>AVERAGEIF(calls[Representative], calls[[#This Row],[Representative]], calls[Satisfaction Rating])</f>
        <v>3.8589371980676304</v>
      </c>
      <c r="H396" t="str">
        <f>IF(AVERAGEIF(calls[Representative],calls[[#This Row],[Representative]],calls[Satisfaction Rating])&lt;3.5,"Needs Training","OK")</f>
        <v>OK</v>
      </c>
      <c r="I396">
        <v>4.8</v>
      </c>
      <c r="J396">
        <f>IF(MONTH(calls[[#This Row],[Date of Call]])&lt;=6, YEAR(calls[[#This Row],[Date of Call]]), YEAR(calls[[#This Row],[Date of Call]])+1)</f>
        <v>2023</v>
      </c>
      <c r="K396" t="str">
        <f>TEXT(calls[[#This Row],[Date of Call]],"DDDD")</f>
        <v>Friday</v>
      </c>
      <c r="L396" t="str" cm="1">
        <f t="array" ref="L396">_xlfn.IFS(calls[[#This Row],[Duration]]&lt;=10,"under 10 mins",calls[[#This Row],[Duration]]&lt;=30,"10 to 30mins",calls[[#This Row],[Duration]]&lt;=60,"60 to 30mins",calls[[#This Row],[Duration]]&lt;=120,"1 to 2hrs",TRUE,"More than 2 hrs")</f>
        <v>10 to 30mins</v>
      </c>
      <c r="M396">
        <f>ROUND(calls[[#This Row],[Satisfaction Rating]],0)</f>
        <v>5</v>
      </c>
      <c r="N396">
        <f>COUNTIF(calls[Customer ID], calls[[#This Row],[Customer ID]])</f>
        <v>63</v>
      </c>
      <c r="O396">
        <f>SUMIF(calls[Customer ID], calls[[#This Row],[Customer ID]], calls[Purchase Amount])</f>
        <v>5634</v>
      </c>
      <c r="P396">
        <f>calls[[#This Row],[call count]]/calls[[#This Row],[Purchase Amount]]</f>
        <v>0.85135135135135132</v>
      </c>
      <c r="Q396">
        <f>COUNTIF(calls[Customer ID],calls[[#This Row],[Customer ID]])</f>
        <v>63</v>
      </c>
      <c r="R396">
        <f>calls[[#This Row],[call count]]/calls[[#This Row],[Purchase Amount]]</f>
        <v>0.85135135135135132</v>
      </c>
    </row>
    <row r="397" spans="1:18" x14ac:dyDescent="0.4">
      <c r="A397" t="s">
        <v>427</v>
      </c>
      <c r="B397" t="s">
        <v>6</v>
      </c>
      <c r="C397">
        <v>43</v>
      </c>
      <c r="D397" s="4" t="s">
        <v>14</v>
      </c>
      <c r="E397" s="5">
        <v>45038</v>
      </c>
      <c r="F397">
        <v>128</v>
      </c>
      <c r="G397">
        <f>AVERAGEIF(calls[Representative], calls[[#This Row],[Representative]], calls[Satisfaction Rating])</f>
        <v>3.9227513227513247</v>
      </c>
      <c r="H397" t="str">
        <f>IF(AVERAGEIF(calls[Representative],calls[[#This Row],[Representative]],calls[Satisfaction Rating])&lt;3.5,"Needs Training","OK")</f>
        <v>OK</v>
      </c>
      <c r="I397">
        <v>4.7</v>
      </c>
      <c r="J397">
        <f>IF(MONTH(calls[[#This Row],[Date of Call]])&lt;=6, YEAR(calls[[#This Row],[Date of Call]]), YEAR(calls[[#This Row],[Date of Call]])+1)</f>
        <v>2023</v>
      </c>
      <c r="K397" t="str">
        <f>TEXT(calls[[#This Row],[Date of Call]],"DDDD")</f>
        <v>Saturday</v>
      </c>
      <c r="L397" t="str" cm="1">
        <f t="array" ref="L397">_xlfn.IFS(calls[[#This Row],[Duration]]&lt;=10,"under 10 mins",calls[[#This Row],[Duration]]&lt;=30,"10 to 30mins",calls[[#This Row],[Duration]]&lt;=60,"60 to 30mins",calls[[#This Row],[Duration]]&lt;=120,"1 to 2hrs",TRUE,"More than 2 hrs")</f>
        <v>60 to 30mins</v>
      </c>
      <c r="M397">
        <f>ROUND(calls[[#This Row],[Satisfaction Rating]],0)</f>
        <v>5</v>
      </c>
      <c r="N397">
        <f>COUNTIF(calls[Customer ID], calls[[#This Row],[Customer ID]])</f>
        <v>82</v>
      </c>
      <c r="O397">
        <f>SUMIF(calls[Customer ID], calls[[#This Row],[Customer ID]], calls[Purchase Amount])</f>
        <v>7689</v>
      </c>
      <c r="P397">
        <f>calls[[#This Row],[call count]]/calls[[#This Row],[Purchase Amount]]</f>
        <v>0.640625</v>
      </c>
      <c r="Q397">
        <f>COUNTIF(calls[Customer ID],calls[[#This Row],[Customer ID]])</f>
        <v>82</v>
      </c>
      <c r="R397">
        <f>calls[[#This Row],[call count]]/calls[[#This Row],[Purchase Amount]]</f>
        <v>0.640625</v>
      </c>
    </row>
    <row r="398" spans="1:18" x14ac:dyDescent="0.4">
      <c r="A398" t="s">
        <v>428</v>
      </c>
      <c r="B398" t="s">
        <v>11</v>
      </c>
      <c r="C398">
        <v>95</v>
      </c>
      <c r="D398" s="4" t="s">
        <v>9</v>
      </c>
      <c r="E398" s="5">
        <v>45038</v>
      </c>
      <c r="F398">
        <v>21</v>
      </c>
      <c r="G398">
        <f>AVERAGEIF(calls[Representative], calls[[#This Row],[Representative]], calls[Satisfaction Rating])</f>
        <v>3.8706422018348627</v>
      </c>
      <c r="H398" t="str">
        <f>IF(AVERAGEIF(calls[Representative],calls[[#This Row],[Representative]],calls[Satisfaction Rating])&lt;3.5,"Needs Training","OK")</f>
        <v>OK</v>
      </c>
      <c r="I398">
        <v>3.9</v>
      </c>
      <c r="J398">
        <f>IF(MONTH(calls[[#This Row],[Date of Call]])&lt;=6, YEAR(calls[[#This Row],[Date of Call]]), YEAR(calls[[#This Row],[Date of Call]])+1)</f>
        <v>2023</v>
      </c>
      <c r="K398" t="str">
        <f>TEXT(calls[[#This Row],[Date of Call]],"DDDD")</f>
        <v>Saturday</v>
      </c>
      <c r="L398" t="str" cm="1">
        <f t="array" ref="L398">_xlfn.IFS(calls[[#This Row],[Duration]]&lt;=10,"under 10 mins",calls[[#This Row],[Duration]]&lt;=30,"10 to 30mins",calls[[#This Row],[Duration]]&lt;=60,"60 to 30mins",calls[[#This Row],[Duration]]&lt;=120,"1 to 2hrs",TRUE,"More than 2 hrs")</f>
        <v>1 to 2hrs</v>
      </c>
      <c r="M398">
        <f>ROUND(calls[[#This Row],[Satisfaction Rating]],0)</f>
        <v>4</v>
      </c>
      <c r="N398">
        <f>COUNTIF(calls[Customer ID], calls[[#This Row],[Customer ID]])</f>
        <v>60</v>
      </c>
      <c r="O398">
        <f>SUMIF(calls[Customer ID], calls[[#This Row],[Customer ID]], calls[Purchase Amount])</f>
        <v>5404</v>
      </c>
      <c r="P398">
        <f>calls[[#This Row],[call count]]/calls[[#This Row],[Purchase Amount]]</f>
        <v>2.8571428571428572</v>
      </c>
      <c r="Q398">
        <f>COUNTIF(calls[Customer ID],calls[[#This Row],[Customer ID]])</f>
        <v>60</v>
      </c>
      <c r="R398">
        <f>calls[[#This Row],[call count]]/calls[[#This Row],[Purchase Amount]]</f>
        <v>2.8571428571428572</v>
      </c>
    </row>
    <row r="399" spans="1:18" x14ac:dyDescent="0.4">
      <c r="A399" t="s">
        <v>429</v>
      </c>
      <c r="B399" t="s">
        <v>84</v>
      </c>
      <c r="C399">
        <v>53</v>
      </c>
      <c r="D399" s="4" t="s">
        <v>14</v>
      </c>
      <c r="E399" s="5">
        <v>45038</v>
      </c>
      <c r="F399">
        <v>110</v>
      </c>
      <c r="G399">
        <f>AVERAGEIF(calls[Representative], calls[[#This Row],[Representative]], calls[Satisfaction Rating])</f>
        <v>3.9227513227513247</v>
      </c>
      <c r="H399" t="str">
        <f>IF(AVERAGEIF(calls[Representative],calls[[#This Row],[Representative]],calls[Satisfaction Rating])&lt;3.5,"Needs Training","OK")</f>
        <v>OK</v>
      </c>
      <c r="I399">
        <v>4.3</v>
      </c>
      <c r="J399">
        <f>IF(MONTH(calls[[#This Row],[Date of Call]])&lt;=6, YEAR(calls[[#This Row],[Date of Call]]), YEAR(calls[[#This Row],[Date of Call]])+1)</f>
        <v>2023</v>
      </c>
      <c r="K399" t="str">
        <f>TEXT(calls[[#This Row],[Date of Call]],"DDDD")</f>
        <v>Saturday</v>
      </c>
      <c r="L399" t="str" cm="1">
        <f t="array" ref="L399">_xlfn.IFS(calls[[#This Row],[Duration]]&lt;=10,"under 10 mins",calls[[#This Row],[Duration]]&lt;=30,"10 to 30mins",calls[[#This Row],[Duration]]&lt;=60,"60 to 30mins",calls[[#This Row],[Duration]]&lt;=120,"1 to 2hrs",TRUE,"More than 2 hrs")</f>
        <v>60 to 30mins</v>
      </c>
      <c r="M399">
        <f>ROUND(calls[[#This Row],[Satisfaction Rating]],0)</f>
        <v>4</v>
      </c>
      <c r="N399">
        <f>COUNTIF(calls[Customer ID], calls[[#This Row],[Customer ID]])</f>
        <v>59</v>
      </c>
      <c r="O399">
        <f>SUMIF(calls[Customer ID], calls[[#This Row],[Customer ID]], calls[Purchase Amount])</f>
        <v>5009</v>
      </c>
      <c r="P399">
        <f>calls[[#This Row],[call count]]/calls[[#This Row],[Purchase Amount]]</f>
        <v>0.53636363636363638</v>
      </c>
      <c r="Q399">
        <f>COUNTIF(calls[Customer ID],calls[[#This Row],[Customer ID]])</f>
        <v>59</v>
      </c>
      <c r="R399">
        <f>calls[[#This Row],[call count]]/calls[[#This Row],[Purchase Amount]]</f>
        <v>0.53636363636363638</v>
      </c>
    </row>
    <row r="400" spans="1:18" x14ac:dyDescent="0.4">
      <c r="A400" t="s">
        <v>430</v>
      </c>
      <c r="B400" t="s">
        <v>6</v>
      </c>
      <c r="C400">
        <v>113</v>
      </c>
      <c r="D400" s="4" t="s">
        <v>14</v>
      </c>
      <c r="E400" s="5">
        <v>45038</v>
      </c>
      <c r="F400">
        <v>145</v>
      </c>
      <c r="G400">
        <f>AVERAGEIF(calls[Representative], calls[[#This Row],[Representative]], calls[Satisfaction Rating])</f>
        <v>3.9227513227513247</v>
      </c>
      <c r="H400" t="str">
        <f>IF(AVERAGEIF(calls[Representative],calls[[#This Row],[Representative]],calls[Satisfaction Rating])&lt;3.5,"Needs Training","OK")</f>
        <v>OK</v>
      </c>
      <c r="I400">
        <v>4</v>
      </c>
      <c r="J400">
        <f>IF(MONTH(calls[[#This Row],[Date of Call]])&lt;=6, YEAR(calls[[#This Row],[Date of Call]]), YEAR(calls[[#This Row],[Date of Call]])+1)</f>
        <v>2023</v>
      </c>
      <c r="K400" t="str">
        <f>TEXT(calls[[#This Row],[Date of Call]],"DDDD")</f>
        <v>Saturday</v>
      </c>
      <c r="L400" t="str" cm="1">
        <f t="array" ref="L400">_xlfn.IFS(calls[[#This Row],[Duration]]&lt;=10,"under 10 mins",calls[[#This Row],[Duration]]&lt;=30,"10 to 30mins",calls[[#This Row],[Duration]]&lt;=60,"60 to 30mins",calls[[#This Row],[Duration]]&lt;=120,"1 to 2hrs",TRUE,"More than 2 hrs")</f>
        <v>1 to 2hrs</v>
      </c>
      <c r="M400">
        <f>ROUND(calls[[#This Row],[Satisfaction Rating]],0)</f>
        <v>4</v>
      </c>
      <c r="N400">
        <f>COUNTIF(calls[Customer ID], calls[[#This Row],[Customer ID]])</f>
        <v>82</v>
      </c>
      <c r="O400">
        <f>SUMIF(calls[Customer ID], calls[[#This Row],[Customer ID]], calls[Purchase Amount])</f>
        <v>7689</v>
      </c>
      <c r="P400">
        <f>calls[[#This Row],[call count]]/calls[[#This Row],[Purchase Amount]]</f>
        <v>0.56551724137931036</v>
      </c>
      <c r="Q400">
        <f>COUNTIF(calls[Customer ID],calls[[#This Row],[Customer ID]])</f>
        <v>82</v>
      </c>
      <c r="R400">
        <f>calls[[#This Row],[call count]]/calls[[#This Row],[Purchase Amount]]</f>
        <v>0.56551724137931036</v>
      </c>
    </row>
    <row r="401" spans="1:18" x14ac:dyDescent="0.4">
      <c r="A401" t="s">
        <v>431</v>
      </c>
      <c r="B401" t="s">
        <v>84</v>
      </c>
      <c r="C401">
        <v>89</v>
      </c>
      <c r="D401" s="4" t="s">
        <v>23</v>
      </c>
      <c r="E401" s="5">
        <v>45038</v>
      </c>
      <c r="F401">
        <v>129</v>
      </c>
      <c r="G401">
        <f>AVERAGEIF(calls[Representative], calls[[#This Row],[Representative]], calls[Satisfaction Rating])</f>
        <v>3.8973118279569863</v>
      </c>
      <c r="H401" t="str">
        <f>IF(AVERAGEIF(calls[Representative],calls[[#This Row],[Representative]],calls[Satisfaction Rating])&lt;3.5,"Needs Training","OK")</f>
        <v>OK</v>
      </c>
      <c r="I401">
        <v>4</v>
      </c>
      <c r="J401">
        <f>IF(MONTH(calls[[#This Row],[Date of Call]])&lt;=6, YEAR(calls[[#This Row],[Date of Call]]), YEAR(calls[[#This Row],[Date of Call]])+1)</f>
        <v>2023</v>
      </c>
      <c r="K401" t="str">
        <f>TEXT(calls[[#This Row],[Date of Call]],"DDDD")</f>
        <v>Saturday</v>
      </c>
      <c r="L401" t="str" cm="1">
        <f t="array" ref="L401">_xlfn.IFS(calls[[#This Row],[Duration]]&lt;=10,"under 10 mins",calls[[#This Row],[Duration]]&lt;=30,"10 to 30mins",calls[[#This Row],[Duration]]&lt;=60,"60 to 30mins",calls[[#This Row],[Duration]]&lt;=120,"1 to 2hrs",TRUE,"More than 2 hrs")</f>
        <v>1 to 2hrs</v>
      </c>
      <c r="M401">
        <f>ROUND(calls[[#This Row],[Satisfaction Rating]],0)</f>
        <v>4</v>
      </c>
      <c r="N401">
        <f>COUNTIF(calls[Customer ID], calls[[#This Row],[Customer ID]])</f>
        <v>59</v>
      </c>
      <c r="O401">
        <f>SUMIF(calls[Customer ID], calls[[#This Row],[Customer ID]], calls[Purchase Amount])</f>
        <v>5009</v>
      </c>
      <c r="P401">
        <f>calls[[#This Row],[call count]]/calls[[#This Row],[Purchase Amount]]</f>
        <v>0.4573643410852713</v>
      </c>
      <c r="Q401">
        <f>COUNTIF(calls[Customer ID],calls[[#This Row],[Customer ID]])</f>
        <v>59</v>
      </c>
      <c r="R401">
        <f>calls[[#This Row],[call count]]/calls[[#This Row],[Purchase Amount]]</f>
        <v>0.4573643410852713</v>
      </c>
    </row>
    <row r="402" spans="1:18" x14ac:dyDescent="0.4">
      <c r="A402" t="s">
        <v>432</v>
      </c>
      <c r="B402" t="s">
        <v>26</v>
      </c>
      <c r="C402">
        <v>84</v>
      </c>
      <c r="D402" s="4" t="s">
        <v>2</v>
      </c>
      <c r="E402" s="5">
        <v>45038</v>
      </c>
      <c r="F402">
        <v>156</v>
      </c>
      <c r="G402">
        <f>AVERAGEIF(calls[Representative], calls[[#This Row],[Representative]], calls[Satisfaction Rating])</f>
        <v>3.8824999999999998</v>
      </c>
      <c r="H402" t="str">
        <f>IF(AVERAGEIF(calls[Representative],calls[[#This Row],[Representative]],calls[Satisfaction Rating])&lt;3.5,"Needs Training","OK")</f>
        <v>OK</v>
      </c>
      <c r="I402">
        <v>3.2</v>
      </c>
      <c r="J402">
        <f>IF(MONTH(calls[[#This Row],[Date of Call]])&lt;=6, YEAR(calls[[#This Row],[Date of Call]]), YEAR(calls[[#This Row],[Date of Call]])+1)</f>
        <v>2023</v>
      </c>
      <c r="K402" t="str">
        <f>TEXT(calls[[#This Row],[Date of Call]],"DDDD")</f>
        <v>Saturday</v>
      </c>
      <c r="L402" t="str" cm="1">
        <f t="array" ref="L402">_xlfn.IFS(calls[[#This Row],[Duration]]&lt;=10,"under 10 mins",calls[[#This Row],[Duration]]&lt;=30,"10 to 30mins",calls[[#This Row],[Duration]]&lt;=60,"60 to 30mins",calls[[#This Row],[Duration]]&lt;=120,"1 to 2hrs",TRUE,"More than 2 hrs")</f>
        <v>1 to 2hrs</v>
      </c>
      <c r="M402">
        <f>ROUND(calls[[#This Row],[Satisfaction Rating]],0)</f>
        <v>3</v>
      </c>
      <c r="N402">
        <f>COUNTIF(calls[Customer ID], calls[[#This Row],[Customer ID]])</f>
        <v>72</v>
      </c>
      <c r="O402">
        <f>SUMIF(calls[Customer ID], calls[[#This Row],[Customer ID]], calls[Purchase Amount])</f>
        <v>6242</v>
      </c>
      <c r="P402">
        <f>calls[[#This Row],[call count]]/calls[[#This Row],[Purchase Amount]]</f>
        <v>0.46153846153846156</v>
      </c>
      <c r="Q402">
        <f>COUNTIF(calls[Customer ID],calls[[#This Row],[Customer ID]])</f>
        <v>72</v>
      </c>
      <c r="R402">
        <f>calls[[#This Row],[call count]]/calls[[#This Row],[Purchase Amount]]</f>
        <v>0.46153846153846156</v>
      </c>
    </row>
    <row r="403" spans="1:18" x14ac:dyDescent="0.4">
      <c r="A403" t="s">
        <v>433</v>
      </c>
      <c r="B403" t="s">
        <v>32</v>
      </c>
      <c r="C403">
        <v>130</v>
      </c>
      <c r="D403" s="4" t="s">
        <v>14</v>
      </c>
      <c r="E403" s="5">
        <v>45039</v>
      </c>
      <c r="F403">
        <v>120</v>
      </c>
      <c r="G403">
        <f>AVERAGEIF(calls[Representative], calls[[#This Row],[Representative]], calls[Satisfaction Rating])</f>
        <v>3.9227513227513247</v>
      </c>
      <c r="H403" t="str">
        <f>IF(AVERAGEIF(calls[Representative],calls[[#This Row],[Representative]],calls[Satisfaction Rating])&lt;3.5,"Needs Training","OK")</f>
        <v>OK</v>
      </c>
      <c r="I403">
        <v>3.8</v>
      </c>
      <c r="J403">
        <f>IF(MONTH(calls[[#This Row],[Date of Call]])&lt;=6, YEAR(calls[[#This Row],[Date of Call]]), YEAR(calls[[#This Row],[Date of Call]])+1)</f>
        <v>2023</v>
      </c>
      <c r="K403" t="str">
        <f>TEXT(calls[[#This Row],[Date of Call]],"DDDD")</f>
        <v>Sunday</v>
      </c>
      <c r="L403" t="str" cm="1">
        <f t="array" ref="L403">_xlfn.IFS(calls[[#This Row],[Duration]]&lt;=10,"under 10 mins",calls[[#This Row],[Duration]]&lt;=30,"10 to 30mins",calls[[#This Row],[Duration]]&lt;=60,"60 to 30mins",calls[[#This Row],[Duration]]&lt;=120,"1 to 2hrs",TRUE,"More than 2 hrs")</f>
        <v>More than 2 hrs</v>
      </c>
      <c r="M403">
        <f>ROUND(calls[[#This Row],[Satisfaction Rating]],0)</f>
        <v>4</v>
      </c>
      <c r="N403">
        <f>COUNTIF(calls[Customer ID], calls[[#This Row],[Customer ID]])</f>
        <v>63</v>
      </c>
      <c r="O403">
        <f>SUMIF(calls[Customer ID], calls[[#This Row],[Customer ID]], calls[Purchase Amount])</f>
        <v>5634</v>
      </c>
      <c r="P403">
        <f>calls[[#This Row],[call count]]/calls[[#This Row],[Purchase Amount]]</f>
        <v>0.52500000000000002</v>
      </c>
      <c r="Q403">
        <f>COUNTIF(calls[Customer ID],calls[[#This Row],[Customer ID]])</f>
        <v>63</v>
      </c>
      <c r="R403">
        <f>calls[[#This Row],[call count]]/calls[[#This Row],[Purchase Amount]]</f>
        <v>0.52500000000000002</v>
      </c>
    </row>
    <row r="404" spans="1:18" x14ac:dyDescent="0.4">
      <c r="A404" t="s">
        <v>434</v>
      </c>
      <c r="B404" t="s">
        <v>11</v>
      </c>
      <c r="C404">
        <v>163</v>
      </c>
      <c r="D404" s="4" t="s">
        <v>23</v>
      </c>
      <c r="E404" s="5">
        <v>45039</v>
      </c>
      <c r="F404">
        <v>62</v>
      </c>
      <c r="G404">
        <f>AVERAGEIF(calls[Representative], calls[[#This Row],[Representative]], calls[Satisfaction Rating])</f>
        <v>3.8973118279569863</v>
      </c>
      <c r="H404" t="str">
        <f>IF(AVERAGEIF(calls[Representative],calls[[#This Row],[Representative]],calls[Satisfaction Rating])&lt;3.5,"Needs Training","OK")</f>
        <v>OK</v>
      </c>
      <c r="I404">
        <v>3.4</v>
      </c>
      <c r="J404">
        <f>IF(MONTH(calls[[#This Row],[Date of Call]])&lt;=6, YEAR(calls[[#This Row],[Date of Call]]), YEAR(calls[[#This Row],[Date of Call]])+1)</f>
        <v>2023</v>
      </c>
      <c r="K404" t="str">
        <f>TEXT(calls[[#This Row],[Date of Call]],"DDDD")</f>
        <v>Sunday</v>
      </c>
      <c r="L404" t="str" cm="1">
        <f t="array" ref="L404">_xlfn.IFS(calls[[#This Row],[Duration]]&lt;=10,"under 10 mins",calls[[#This Row],[Duration]]&lt;=30,"10 to 30mins",calls[[#This Row],[Duration]]&lt;=60,"60 to 30mins",calls[[#This Row],[Duration]]&lt;=120,"1 to 2hrs",TRUE,"More than 2 hrs")</f>
        <v>More than 2 hrs</v>
      </c>
      <c r="M404">
        <f>ROUND(calls[[#This Row],[Satisfaction Rating]],0)</f>
        <v>3</v>
      </c>
      <c r="N404">
        <f>COUNTIF(calls[Customer ID], calls[[#This Row],[Customer ID]])</f>
        <v>60</v>
      </c>
      <c r="O404">
        <f>SUMIF(calls[Customer ID], calls[[#This Row],[Customer ID]], calls[Purchase Amount])</f>
        <v>5404</v>
      </c>
      <c r="P404">
        <f>calls[[#This Row],[call count]]/calls[[#This Row],[Purchase Amount]]</f>
        <v>0.967741935483871</v>
      </c>
      <c r="Q404">
        <f>COUNTIF(calls[Customer ID],calls[[#This Row],[Customer ID]])</f>
        <v>60</v>
      </c>
      <c r="R404">
        <f>calls[[#This Row],[call count]]/calls[[#This Row],[Purchase Amount]]</f>
        <v>0.967741935483871</v>
      </c>
    </row>
    <row r="405" spans="1:18" x14ac:dyDescent="0.4">
      <c r="A405" t="s">
        <v>435</v>
      </c>
      <c r="B405" t="s">
        <v>40</v>
      </c>
      <c r="C405">
        <v>127</v>
      </c>
      <c r="D405" s="4" t="s">
        <v>14</v>
      </c>
      <c r="E405" s="5">
        <v>45039</v>
      </c>
      <c r="F405">
        <v>160</v>
      </c>
      <c r="G405">
        <f>AVERAGEIF(calls[Representative], calls[[#This Row],[Representative]], calls[Satisfaction Rating])</f>
        <v>3.9227513227513247</v>
      </c>
      <c r="H405" t="str">
        <f>IF(AVERAGEIF(calls[Representative],calls[[#This Row],[Representative]],calls[Satisfaction Rating])&lt;3.5,"Needs Training","OK")</f>
        <v>OK</v>
      </c>
      <c r="I405">
        <v>3.2</v>
      </c>
      <c r="J405">
        <f>IF(MONTH(calls[[#This Row],[Date of Call]])&lt;=6, YEAR(calls[[#This Row],[Date of Call]]), YEAR(calls[[#This Row],[Date of Call]])+1)</f>
        <v>2023</v>
      </c>
      <c r="K405" t="str">
        <f>TEXT(calls[[#This Row],[Date of Call]],"DDDD")</f>
        <v>Sunday</v>
      </c>
      <c r="L405" t="str" cm="1">
        <f t="array" ref="L405">_xlfn.IFS(calls[[#This Row],[Duration]]&lt;=10,"under 10 mins",calls[[#This Row],[Duration]]&lt;=30,"10 to 30mins",calls[[#This Row],[Duration]]&lt;=60,"60 to 30mins",calls[[#This Row],[Duration]]&lt;=120,"1 to 2hrs",TRUE,"More than 2 hrs")</f>
        <v>More than 2 hrs</v>
      </c>
      <c r="M405">
        <f>ROUND(calls[[#This Row],[Satisfaction Rating]],0)</f>
        <v>3</v>
      </c>
      <c r="N405">
        <f>COUNTIF(calls[Customer ID], calls[[#This Row],[Customer ID]])</f>
        <v>69</v>
      </c>
      <c r="O405">
        <f>SUMIF(calls[Customer ID], calls[[#This Row],[Customer ID]], calls[Purchase Amount])</f>
        <v>6601</v>
      </c>
      <c r="P405">
        <f>calls[[#This Row],[call count]]/calls[[#This Row],[Purchase Amount]]</f>
        <v>0.43125000000000002</v>
      </c>
      <c r="Q405">
        <f>COUNTIF(calls[Customer ID],calls[[#This Row],[Customer ID]])</f>
        <v>69</v>
      </c>
      <c r="R405">
        <f>calls[[#This Row],[call count]]/calls[[#This Row],[Purchase Amount]]</f>
        <v>0.43125000000000002</v>
      </c>
    </row>
    <row r="406" spans="1:18" x14ac:dyDescent="0.4">
      <c r="A406" t="s">
        <v>436</v>
      </c>
      <c r="B406" t="s">
        <v>6</v>
      </c>
      <c r="C406">
        <v>50</v>
      </c>
      <c r="D406" s="4" t="s">
        <v>14</v>
      </c>
      <c r="E406" s="5">
        <v>45039</v>
      </c>
      <c r="F406">
        <v>56</v>
      </c>
      <c r="G406">
        <f>AVERAGEIF(calls[Representative], calls[[#This Row],[Representative]], calls[Satisfaction Rating])</f>
        <v>3.9227513227513247</v>
      </c>
      <c r="H406" t="str">
        <f>IF(AVERAGEIF(calls[Representative],calls[[#This Row],[Representative]],calls[Satisfaction Rating])&lt;3.5,"Needs Training","OK")</f>
        <v>OK</v>
      </c>
      <c r="I406">
        <v>4.7</v>
      </c>
      <c r="J406">
        <f>IF(MONTH(calls[[#This Row],[Date of Call]])&lt;=6, YEAR(calls[[#This Row],[Date of Call]]), YEAR(calls[[#This Row],[Date of Call]])+1)</f>
        <v>2023</v>
      </c>
      <c r="K406" t="str">
        <f>TEXT(calls[[#This Row],[Date of Call]],"DDDD")</f>
        <v>Sunday</v>
      </c>
      <c r="L406" t="str" cm="1">
        <f t="array" ref="L406">_xlfn.IFS(calls[[#This Row],[Duration]]&lt;=10,"under 10 mins",calls[[#This Row],[Duration]]&lt;=30,"10 to 30mins",calls[[#This Row],[Duration]]&lt;=60,"60 to 30mins",calls[[#This Row],[Duration]]&lt;=120,"1 to 2hrs",TRUE,"More than 2 hrs")</f>
        <v>60 to 30mins</v>
      </c>
      <c r="M406">
        <f>ROUND(calls[[#This Row],[Satisfaction Rating]],0)</f>
        <v>5</v>
      </c>
      <c r="N406">
        <f>COUNTIF(calls[Customer ID], calls[[#This Row],[Customer ID]])</f>
        <v>82</v>
      </c>
      <c r="O406">
        <f>SUMIF(calls[Customer ID], calls[[#This Row],[Customer ID]], calls[Purchase Amount])</f>
        <v>7689</v>
      </c>
      <c r="P406">
        <f>calls[[#This Row],[call count]]/calls[[#This Row],[Purchase Amount]]</f>
        <v>1.4642857142857142</v>
      </c>
      <c r="Q406">
        <f>COUNTIF(calls[Customer ID],calls[[#This Row],[Customer ID]])</f>
        <v>82</v>
      </c>
      <c r="R406">
        <f>calls[[#This Row],[call count]]/calls[[#This Row],[Purchase Amount]]</f>
        <v>1.4642857142857142</v>
      </c>
    </row>
    <row r="407" spans="1:18" x14ac:dyDescent="0.4">
      <c r="A407" t="s">
        <v>437</v>
      </c>
      <c r="B407" t="s">
        <v>21</v>
      </c>
      <c r="C407">
        <v>88</v>
      </c>
      <c r="D407" s="4" t="s">
        <v>27</v>
      </c>
      <c r="E407" s="5">
        <v>45039</v>
      </c>
      <c r="F407">
        <v>72</v>
      </c>
      <c r="G407">
        <f>AVERAGEIF(calls[Representative], calls[[#This Row],[Representative]], calls[Satisfaction Rating])</f>
        <v>3.8589371980676304</v>
      </c>
      <c r="H407" t="str">
        <f>IF(AVERAGEIF(calls[Representative],calls[[#This Row],[Representative]],calls[Satisfaction Rating])&lt;3.5,"Needs Training","OK")</f>
        <v>OK</v>
      </c>
      <c r="I407">
        <v>4</v>
      </c>
      <c r="J407">
        <f>IF(MONTH(calls[[#This Row],[Date of Call]])&lt;=6, YEAR(calls[[#This Row],[Date of Call]]), YEAR(calls[[#This Row],[Date of Call]])+1)</f>
        <v>2023</v>
      </c>
      <c r="K407" t="str">
        <f>TEXT(calls[[#This Row],[Date of Call]],"DDDD")</f>
        <v>Sunday</v>
      </c>
      <c r="L407" t="str" cm="1">
        <f t="array" ref="L407">_xlfn.IFS(calls[[#This Row],[Duration]]&lt;=10,"under 10 mins",calls[[#This Row],[Duration]]&lt;=30,"10 to 30mins",calls[[#This Row],[Duration]]&lt;=60,"60 to 30mins",calls[[#This Row],[Duration]]&lt;=120,"1 to 2hrs",TRUE,"More than 2 hrs")</f>
        <v>1 to 2hrs</v>
      </c>
      <c r="M407">
        <f>ROUND(calls[[#This Row],[Satisfaction Rating]],0)</f>
        <v>4</v>
      </c>
      <c r="N407">
        <f>COUNTIF(calls[Customer ID], calls[[#This Row],[Customer ID]])</f>
        <v>67</v>
      </c>
      <c r="O407">
        <f>SUMIF(calls[Customer ID], calls[[#This Row],[Customer ID]], calls[Purchase Amount])</f>
        <v>7216</v>
      </c>
      <c r="P407">
        <f>calls[[#This Row],[call count]]/calls[[#This Row],[Purchase Amount]]</f>
        <v>0.93055555555555558</v>
      </c>
      <c r="Q407">
        <f>COUNTIF(calls[Customer ID],calls[[#This Row],[Customer ID]])</f>
        <v>67</v>
      </c>
      <c r="R407">
        <f>calls[[#This Row],[call count]]/calls[[#This Row],[Purchase Amount]]</f>
        <v>0.93055555555555558</v>
      </c>
    </row>
    <row r="408" spans="1:18" x14ac:dyDescent="0.4">
      <c r="A408" t="s">
        <v>438</v>
      </c>
      <c r="B408" t="s">
        <v>6</v>
      </c>
      <c r="C408">
        <v>139</v>
      </c>
      <c r="D408" s="4" t="s">
        <v>9</v>
      </c>
      <c r="E408" s="5">
        <v>45040</v>
      </c>
      <c r="F408">
        <v>81</v>
      </c>
      <c r="G408">
        <f>AVERAGEIF(calls[Representative], calls[[#This Row],[Representative]], calls[Satisfaction Rating])</f>
        <v>3.8706422018348627</v>
      </c>
      <c r="H408" t="str">
        <f>IF(AVERAGEIF(calls[Representative],calls[[#This Row],[Representative]],calls[Satisfaction Rating])&lt;3.5,"Needs Training","OK")</f>
        <v>OK</v>
      </c>
      <c r="I408">
        <v>4.8</v>
      </c>
      <c r="J408">
        <f>IF(MONTH(calls[[#This Row],[Date of Call]])&lt;=6, YEAR(calls[[#This Row],[Date of Call]]), YEAR(calls[[#This Row],[Date of Call]])+1)</f>
        <v>2023</v>
      </c>
      <c r="K408" t="str">
        <f>TEXT(calls[[#This Row],[Date of Call]],"DDDD")</f>
        <v>Monday</v>
      </c>
      <c r="L408" t="str" cm="1">
        <f t="array" ref="L408">_xlfn.IFS(calls[[#This Row],[Duration]]&lt;=10,"under 10 mins",calls[[#This Row],[Duration]]&lt;=30,"10 to 30mins",calls[[#This Row],[Duration]]&lt;=60,"60 to 30mins",calls[[#This Row],[Duration]]&lt;=120,"1 to 2hrs",TRUE,"More than 2 hrs")</f>
        <v>More than 2 hrs</v>
      </c>
      <c r="M408">
        <f>ROUND(calls[[#This Row],[Satisfaction Rating]],0)</f>
        <v>5</v>
      </c>
      <c r="N408">
        <f>COUNTIF(calls[Customer ID], calls[[#This Row],[Customer ID]])</f>
        <v>82</v>
      </c>
      <c r="O408">
        <f>SUMIF(calls[Customer ID], calls[[#This Row],[Customer ID]], calls[Purchase Amount])</f>
        <v>7689</v>
      </c>
      <c r="P408">
        <f>calls[[#This Row],[call count]]/calls[[#This Row],[Purchase Amount]]</f>
        <v>1.0123456790123457</v>
      </c>
      <c r="Q408">
        <f>COUNTIF(calls[Customer ID],calls[[#This Row],[Customer ID]])</f>
        <v>82</v>
      </c>
      <c r="R408">
        <f>calls[[#This Row],[call count]]/calls[[#This Row],[Purchase Amount]]</f>
        <v>1.0123456790123457</v>
      </c>
    </row>
    <row r="409" spans="1:18" x14ac:dyDescent="0.4">
      <c r="A409" t="s">
        <v>439</v>
      </c>
      <c r="B409" t="s">
        <v>11</v>
      </c>
      <c r="C409">
        <v>111</v>
      </c>
      <c r="D409" s="4" t="s">
        <v>14</v>
      </c>
      <c r="E409" s="5">
        <v>45040</v>
      </c>
      <c r="F409">
        <v>144</v>
      </c>
      <c r="G409">
        <f>AVERAGEIF(calls[Representative], calls[[#This Row],[Representative]], calls[Satisfaction Rating])</f>
        <v>3.9227513227513247</v>
      </c>
      <c r="H409" t="str">
        <f>IF(AVERAGEIF(calls[Representative],calls[[#This Row],[Representative]],calls[Satisfaction Rating])&lt;3.5,"Needs Training","OK")</f>
        <v>OK</v>
      </c>
      <c r="I409">
        <v>3.9</v>
      </c>
      <c r="J409">
        <f>IF(MONTH(calls[[#This Row],[Date of Call]])&lt;=6, YEAR(calls[[#This Row],[Date of Call]]), YEAR(calls[[#This Row],[Date of Call]])+1)</f>
        <v>2023</v>
      </c>
      <c r="K409" t="str">
        <f>TEXT(calls[[#This Row],[Date of Call]],"DDDD")</f>
        <v>Monday</v>
      </c>
      <c r="L409" t="str" cm="1">
        <f t="array" ref="L409">_xlfn.IFS(calls[[#This Row],[Duration]]&lt;=10,"under 10 mins",calls[[#This Row],[Duration]]&lt;=30,"10 to 30mins",calls[[#This Row],[Duration]]&lt;=60,"60 to 30mins",calls[[#This Row],[Duration]]&lt;=120,"1 to 2hrs",TRUE,"More than 2 hrs")</f>
        <v>1 to 2hrs</v>
      </c>
      <c r="M409">
        <f>ROUND(calls[[#This Row],[Satisfaction Rating]],0)</f>
        <v>4</v>
      </c>
      <c r="N409">
        <f>COUNTIF(calls[Customer ID], calls[[#This Row],[Customer ID]])</f>
        <v>60</v>
      </c>
      <c r="O409">
        <f>SUMIF(calls[Customer ID], calls[[#This Row],[Customer ID]], calls[Purchase Amount])</f>
        <v>5404</v>
      </c>
      <c r="P409">
        <f>calls[[#This Row],[call count]]/calls[[#This Row],[Purchase Amount]]</f>
        <v>0.41666666666666669</v>
      </c>
      <c r="Q409">
        <f>COUNTIF(calls[Customer ID],calls[[#This Row],[Customer ID]])</f>
        <v>60</v>
      </c>
      <c r="R409">
        <f>calls[[#This Row],[call count]]/calls[[#This Row],[Purchase Amount]]</f>
        <v>0.41666666666666669</v>
      </c>
    </row>
    <row r="410" spans="1:18" x14ac:dyDescent="0.4">
      <c r="A410" t="s">
        <v>440</v>
      </c>
      <c r="B410" t="s">
        <v>8</v>
      </c>
      <c r="C410">
        <v>115</v>
      </c>
      <c r="D410" s="4" t="s">
        <v>9</v>
      </c>
      <c r="E410" s="5">
        <v>45040</v>
      </c>
      <c r="F410">
        <v>111</v>
      </c>
      <c r="G410">
        <f>AVERAGEIF(calls[Representative], calls[[#This Row],[Representative]], calls[Satisfaction Rating])</f>
        <v>3.8706422018348627</v>
      </c>
      <c r="H410" t="str">
        <f>IF(AVERAGEIF(calls[Representative],calls[[#This Row],[Representative]],calls[Satisfaction Rating])&lt;3.5,"Needs Training","OK")</f>
        <v>OK</v>
      </c>
      <c r="I410">
        <v>4.3</v>
      </c>
      <c r="J410">
        <f>IF(MONTH(calls[[#This Row],[Date of Call]])&lt;=6, YEAR(calls[[#This Row],[Date of Call]]), YEAR(calls[[#This Row],[Date of Call]])+1)</f>
        <v>2023</v>
      </c>
      <c r="K410" t="str">
        <f>TEXT(calls[[#This Row],[Date of Call]],"DDDD")</f>
        <v>Monday</v>
      </c>
      <c r="L410" t="str" cm="1">
        <f t="array" ref="L410">_xlfn.IFS(calls[[#This Row],[Duration]]&lt;=10,"under 10 mins",calls[[#This Row],[Duration]]&lt;=30,"10 to 30mins",calls[[#This Row],[Duration]]&lt;=60,"60 to 30mins",calls[[#This Row],[Duration]]&lt;=120,"1 to 2hrs",TRUE,"More than 2 hrs")</f>
        <v>1 to 2hrs</v>
      </c>
      <c r="M410">
        <f>ROUND(calls[[#This Row],[Satisfaction Rating]],0)</f>
        <v>4</v>
      </c>
      <c r="N410">
        <f>COUNTIF(calls[Customer ID], calls[[#This Row],[Customer ID]])</f>
        <v>79</v>
      </c>
      <c r="O410">
        <f>SUMIF(calls[Customer ID], calls[[#This Row],[Customer ID]], calls[Purchase Amount])</f>
        <v>7747</v>
      </c>
      <c r="P410">
        <f>calls[[#This Row],[call count]]/calls[[#This Row],[Purchase Amount]]</f>
        <v>0.71171171171171166</v>
      </c>
      <c r="Q410">
        <f>COUNTIF(calls[Customer ID],calls[[#This Row],[Customer ID]])</f>
        <v>79</v>
      </c>
      <c r="R410">
        <f>calls[[#This Row],[call count]]/calls[[#This Row],[Purchase Amount]]</f>
        <v>0.71171171171171166</v>
      </c>
    </row>
    <row r="411" spans="1:18" x14ac:dyDescent="0.4">
      <c r="A411" t="s">
        <v>441</v>
      </c>
      <c r="B411" t="s">
        <v>84</v>
      </c>
      <c r="C411">
        <v>26</v>
      </c>
      <c r="D411" s="4" t="s">
        <v>23</v>
      </c>
      <c r="E411" s="5">
        <v>45040</v>
      </c>
      <c r="F411">
        <v>43</v>
      </c>
      <c r="G411">
        <f>AVERAGEIF(calls[Representative], calls[[#This Row],[Representative]], calls[Satisfaction Rating])</f>
        <v>3.8973118279569863</v>
      </c>
      <c r="H411" t="str">
        <f>IF(AVERAGEIF(calls[Representative],calls[[#This Row],[Representative]],calls[Satisfaction Rating])&lt;3.5,"Needs Training","OK")</f>
        <v>OK</v>
      </c>
      <c r="I411">
        <v>4.2</v>
      </c>
      <c r="J411">
        <f>IF(MONTH(calls[[#This Row],[Date of Call]])&lt;=6, YEAR(calls[[#This Row],[Date of Call]]), YEAR(calls[[#This Row],[Date of Call]])+1)</f>
        <v>2023</v>
      </c>
      <c r="K411" t="str">
        <f>TEXT(calls[[#This Row],[Date of Call]],"DDDD")</f>
        <v>Monday</v>
      </c>
      <c r="L411" t="str" cm="1">
        <f t="array" ref="L411">_xlfn.IFS(calls[[#This Row],[Duration]]&lt;=10,"under 10 mins",calls[[#This Row],[Duration]]&lt;=30,"10 to 30mins",calls[[#This Row],[Duration]]&lt;=60,"60 to 30mins",calls[[#This Row],[Duration]]&lt;=120,"1 to 2hrs",TRUE,"More than 2 hrs")</f>
        <v>10 to 30mins</v>
      </c>
      <c r="M411">
        <f>ROUND(calls[[#This Row],[Satisfaction Rating]],0)</f>
        <v>4</v>
      </c>
      <c r="N411">
        <f>COUNTIF(calls[Customer ID], calls[[#This Row],[Customer ID]])</f>
        <v>59</v>
      </c>
      <c r="O411">
        <f>SUMIF(calls[Customer ID], calls[[#This Row],[Customer ID]], calls[Purchase Amount])</f>
        <v>5009</v>
      </c>
      <c r="P411">
        <f>calls[[#This Row],[call count]]/calls[[#This Row],[Purchase Amount]]</f>
        <v>1.3720930232558139</v>
      </c>
      <c r="Q411">
        <f>COUNTIF(calls[Customer ID],calls[[#This Row],[Customer ID]])</f>
        <v>59</v>
      </c>
      <c r="R411">
        <f>calls[[#This Row],[call count]]/calls[[#This Row],[Purchase Amount]]</f>
        <v>1.3720930232558139</v>
      </c>
    </row>
    <row r="412" spans="1:18" x14ac:dyDescent="0.4">
      <c r="A412" t="s">
        <v>442</v>
      </c>
      <c r="B412" t="s">
        <v>26</v>
      </c>
      <c r="C412">
        <v>131</v>
      </c>
      <c r="D412" s="4" t="s">
        <v>27</v>
      </c>
      <c r="E412" s="5">
        <v>45040</v>
      </c>
      <c r="F412">
        <v>41</v>
      </c>
      <c r="G412">
        <f>AVERAGEIF(calls[Representative], calls[[#This Row],[Representative]], calls[Satisfaction Rating])</f>
        <v>3.8589371980676304</v>
      </c>
      <c r="H412" t="str">
        <f>IF(AVERAGEIF(calls[Representative],calls[[#This Row],[Representative]],calls[Satisfaction Rating])&lt;3.5,"Needs Training","OK")</f>
        <v>OK</v>
      </c>
      <c r="I412">
        <v>4.9000000000000004</v>
      </c>
      <c r="J412">
        <f>IF(MONTH(calls[[#This Row],[Date of Call]])&lt;=6, YEAR(calls[[#This Row],[Date of Call]]), YEAR(calls[[#This Row],[Date of Call]])+1)</f>
        <v>2023</v>
      </c>
      <c r="K412" t="str">
        <f>TEXT(calls[[#This Row],[Date of Call]],"DDDD")</f>
        <v>Monday</v>
      </c>
      <c r="L412" t="str" cm="1">
        <f t="array" ref="L412">_xlfn.IFS(calls[[#This Row],[Duration]]&lt;=10,"under 10 mins",calls[[#This Row],[Duration]]&lt;=30,"10 to 30mins",calls[[#This Row],[Duration]]&lt;=60,"60 to 30mins",calls[[#This Row],[Duration]]&lt;=120,"1 to 2hrs",TRUE,"More than 2 hrs")</f>
        <v>More than 2 hrs</v>
      </c>
      <c r="M412">
        <f>ROUND(calls[[#This Row],[Satisfaction Rating]],0)</f>
        <v>5</v>
      </c>
      <c r="N412">
        <f>COUNTIF(calls[Customer ID], calls[[#This Row],[Customer ID]])</f>
        <v>72</v>
      </c>
      <c r="O412">
        <f>SUMIF(calls[Customer ID], calls[[#This Row],[Customer ID]], calls[Purchase Amount])</f>
        <v>6242</v>
      </c>
      <c r="P412">
        <f>calls[[#This Row],[call count]]/calls[[#This Row],[Purchase Amount]]</f>
        <v>1.7560975609756098</v>
      </c>
      <c r="Q412">
        <f>COUNTIF(calls[Customer ID],calls[[#This Row],[Customer ID]])</f>
        <v>72</v>
      </c>
      <c r="R412">
        <f>calls[[#This Row],[call count]]/calls[[#This Row],[Purchase Amount]]</f>
        <v>1.7560975609756098</v>
      </c>
    </row>
    <row r="413" spans="1:18" x14ac:dyDescent="0.4">
      <c r="A413" t="s">
        <v>443</v>
      </c>
      <c r="B413" t="s">
        <v>8</v>
      </c>
      <c r="C413">
        <v>27</v>
      </c>
      <c r="D413" s="4" t="s">
        <v>27</v>
      </c>
      <c r="E413" s="5">
        <v>45040</v>
      </c>
      <c r="F413">
        <v>74</v>
      </c>
      <c r="G413">
        <f>AVERAGEIF(calls[Representative], calls[[#This Row],[Representative]], calls[Satisfaction Rating])</f>
        <v>3.8589371980676304</v>
      </c>
      <c r="H413" t="str">
        <f>IF(AVERAGEIF(calls[Representative],calls[[#This Row],[Representative]],calls[Satisfaction Rating])&lt;3.5,"Needs Training","OK")</f>
        <v>OK</v>
      </c>
      <c r="I413">
        <v>4</v>
      </c>
      <c r="J413">
        <f>IF(MONTH(calls[[#This Row],[Date of Call]])&lt;=6, YEAR(calls[[#This Row],[Date of Call]]), YEAR(calls[[#This Row],[Date of Call]])+1)</f>
        <v>2023</v>
      </c>
      <c r="K413" t="str">
        <f>TEXT(calls[[#This Row],[Date of Call]],"DDDD")</f>
        <v>Monday</v>
      </c>
      <c r="L413" t="str" cm="1">
        <f t="array" ref="L413">_xlfn.IFS(calls[[#This Row],[Duration]]&lt;=10,"under 10 mins",calls[[#This Row],[Duration]]&lt;=30,"10 to 30mins",calls[[#This Row],[Duration]]&lt;=60,"60 to 30mins",calls[[#This Row],[Duration]]&lt;=120,"1 to 2hrs",TRUE,"More than 2 hrs")</f>
        <v>10 to 30mins</v>
      </c>
      <c r="M413">
        <f>ROUND(calls[[#This Row],[Satisfaction Rating]],0)</f>
        <v>4</v>
      </c>
      <c r="N413">
        <f>COUNTIF(calls[Customer ID], calls[[#This Row],[Customer ID]])</f>
        <v>79</v>
      </c>
      <c r="O413">
        <f>SUMIF(calls[Customer ID], calls[[#This Row],[Customer ID]], calls[Purchase Amount])</f>
        <v>7747</v>
      </c>
      <c r="P413">
        <f>calls[[#This Row],[call count]]/calls[[#This Row],[Purchase Amount]]</f>
        <v>1.0675675675675675</v>
      </c>
      <c r="Q413">
        <f>COUNTIF(calls[Customer ID],calls[[#This Row],[Customer ID]])</f>
        <v>79</v>
      </c>
      <c r="R413">
        <f>calls[[#This Row],[call count]]/calls[[#This Row],[Purchase Amount]]</f>
        <v>1.0675675675675675</v>
      </c>
    </row>
    <row r="414" spans="1:18" x14ac:dyDescent="0.4">
      <c r="A414" t="s">
        <v>444</v>
      </c>
      <c r="B414" t="s">
        <v>54</v>
      </c>
      <c r="C414">
        <v>75</v>
      </c>
      <c r="D414" s="4" t="s">
        <v>14</v>
      </c>
      <c r="E414" s="5">
        <v>45040</v>
      </c>
      <c r="F414">
        <v>43</v>
      </c>
      <c r="G414">
        <f>AVERAGEIF(calls[Representative], calls[[#This Row],[Representative]], calls[Satisfaction Rating])</f>
        <v>3.9227513227513247</v>
      </c>
      <c r="H414" t="str">
        <f>IF(AVERAGEIF(calls[Representative],calls[[#This Row],[Representative]],calls[Satisfaction Rating])&lt;3.5,"Needs Training","OK")</f>
        <v>OK</v>
      </c>
      <c r="I414">
        <v>4.9000000000000004</v>
      </c>
      <c r="J414">
        <f>IF(MONTH(calls[[#This Row],[Date of Call]])&lt;=6, YEAR(calls[[#This Row],[Date of Call]]), YEAR(calls[[#This Row],[Date of Call]])+1)</f>
        <v>2023</v>
      </c>
      <c r="K414" t="str">
        <f>TEXT(calls[[#This Row],[Date of Call]],"DDDD")</f>
        <v>Monday</v>
      </c>
      <c r="L414" t="str" cm="1">
        <f t="array" ref="L414">_xlfn.IFS(calls[[#This Row],[Duration]]&lt;=10,"under 10 mins",calls[[#This Row],[Duration]]&lt;=30,"10 to 30mins",calls[[#This Row],[Duration]]&lt;=60,"60 to 30mins",calls[[#This Row],[Duration]]&lt;=120,"1 to 2hrs",TRUE,"More than 2 hrs")</f>
        <v>1 to 2hrs</v>
      </c>
      <c r="M414">
        <f>ROUND(calls[[#This Row],[Satisfaction Rating]],0)</f>
        <v>5</v>
      </c>
      <c r="N414">
        <f>COUNTIF(calls[Customer ID], calls[[#This Row],[Customer ID]])</f>
        <v>70</v>
      </c>
      <c r="O414">
        <f>SUMIF(calls[Customer ID], calls[[#This Row],[Customer ID]], calls[Purchase Amount])</f>
        <v>6819</v>
      </c>
      <c r="P414">
        <f>calls[[#This Row],[call count]]/calls[[#This Row],[Purchase Amount]]</f>
        <v>1.6279069767441861</v>
      </c>
      <c r="Q414">
        <f>COUNTIF(calls[Customer ID],calls[[#This Row],[Customer ID]])</f>
        <v>70</v>
      </c>
      <c r="R414">
        <f>calls[[#This Row],[call count]]/calls[[#This Row],[Purchase Amount]]</f>
        <v>1.6279069767441861</v>
      </c>
    </row>
    <row r="415" spans="1:18" x14ac:dyDescent="0.4">
      <c r="A415" t="s">
        <v>445</v>
      </c>
      <c r="B415" t="s">
        <v>44</v>
      </c>
      <c r="C415">
        <v>123</v>
      </c>
      <c r="D415" s="4" t="s">
        <v>27</v>
      </c>
      <c r="E415" s="5">
        <v>45040</v>
      </c>
      <c r="F415">
        <v>128</v>
      </c>
      <c r="G415">
        <f>AVERAGEIF(calls[Representative], calls[[#This Row],[Representative]], calls[Satisfaction Rating])</f>
        <v>3.8589371980676304</v>
      </c>
      <c r="H415" t="str">
        <f>IF(AVERAGEIF(calls[Representative],calls[[#This Row],[Representative]],calls[Satisfaction Rating])&lt;3.5,"Needs Training","OK")</f>
        <v>OK</v>
      </c>
      <c r="I415">
        <v>3.6</v>
      </c>
      <c r="J415">
        <f>IF(MONTH(calls[[#This Row],[Date of Call]])&lt;=6, YEAR(calls[[#This Row],[Date of Call]]), YEAR(calls[[#This Row],[Date of Call]])+1)</f>
        <v>2023</v>
      </c>
      <c r="K415" t="str">
        <f>TEXT(calls[[#This Row],[Date of Call]],"DDDD")</f>
        <v>Monday</v>
      </c>
      <c r="L415" t="str" cm="1">
        <f t="array" ref="L415">_xlfn.IFS(calls[[#This Row],[Duration]]&lt;=10,"under 10 mins",calls[[#This Row],[Duration]]&lt;=30,"10 to 30mins",calls[[#This Row],[Duration]]&lt;=60,"60 to 30mins",calls[[#This Row],[Duration]]&lt;=120,"1 to 2hrs",TRUE,"More than 2 hrs")</f>
        <v>More than 2 hrs</v>
      </c>
      <c r="M415">
        <f>ROUND(calls[[#This Row],[Satisfaction Rating]],0)</f>
        <v>4</v>
      </c>
      <c r="N415">
        <f>COUNTIF(calls[Customer ID], calls[[#This Row],[Customer ID]])</f>
        <v>62</v>
      </c>
      <c r="O415">
        <f>SUMIF(calls[Customer ID], calls[[#This Row],[Customer ID]], calls[Purchase Amount])</f>
        <v>6176</v>
      </c>
      <c r="P415">
        <f>calls[[#This Row],[call count]]/calls[[#This Row],[Purchase Amount]]</f>
        <v>0.484375</v>
      </c>
      <c r="Q415">
        <f>COUNTIF(calls[Customer ID],calls[[#This Row],[Customer ID]])</f>
        <v>62</v>
      </c>
      <c r="R415">
        <f>calls[[#This Row],[call count]]/calls[[#This Row],[Purchase Amount]]</f>
        <v>0.484375</v>
      </c>
    </row>
    <row r="416" spans="1:18" x14ac:dyDescent="0.4">
      <c r="A416" t="s">
        <v>446</v>
      </c>
      <c r="B416" t="s">
        <v>1</v>
      </c>
      <c r="C416">
        <v>129</v>
      </c>
      <c r="D416" s="4" t="s">
        <v>27</v>
      </c>
      <c r="E416" s="5">
        <v>45041</v>
      </c>
      <c r="F416">
        <v>144</v>
      </c>
      <c r="G416">
        <f>AVERAGEIF(calls[Representative], calls[[#This Row],[Representative]], calls[Satisfaction Rating])</f>
        <v>3.8589371980676304</v>
      </c>
      <c r="H416" t="str">
        <f>IF(AVERAGEIF(calls[Representative],calls[[#This Row],[Representative]],calls[Satisfaction Rating])&lt;3.5,"Needs Training","OK")</f>
        <v>OK</v>
      </c>
      <c r="I416">
        <v>4.0999999999999996</v>
      </c>
      <c r="J416">
        <f>IF(MONTH(calls[[#This Row],[Date of Call]])&lt;=6, YEAR(calls[[#This Row],[Date of Call]]), YEAR(calls[[#This Row],[Date of Call]])+1)</f>
        <v>2023</v>
      </c>
      <c r="K416" t="str">
        <f>TEXT(calls[[#This Row],[Date of Call]],"DDDD")</f>
        <v>Tuesday</v>
      </c>
      <c r="L416" t="str" cm="1">
        <f t="array" ref="L416">_xlfn.IFS(calls[[#This Row],[Duration]]&lt;=10,"under 10 mins",calls[[#This Row],[Duration]]&lt;=30,"10 to 30mins",calls[[#This Row],[Duration]]&lt;=60,"60 to 30mins",calls[[#This Row],[Duration]]&lt;=120,"1 to 2hrs",TRUE,"More than 2 hrs")</f>
        <v>More than 2 hrs</v>
      </c>
      <c r="M416">
        <f>ROUND(calls[[#This Row],[Satisfaction Rating]],0)</f>
        <v>4</v>
      </c>
      <c r="N416">
        <f>COUNTIF(calls[Customer ID], calls[[#This Row],[Customer ID]])</f>
        <v>50</v>
      </c>
      <c r="O416">
        <f>SUMIF(calls[Customer ID], calls[[#This Row],[Customer ID]], calls[Purchase Amount])</f>
        <v>4804</v>
      </c>
      <c r="P416">
        <f>calls[[#This Row],[call count]]/calls[[#This Row],[Purchase Amount]]</f>
        <v>0.34722222222222221</v>
      </c>
      <c r="Q416">
        <f>COUNTIF(calls[Customer ID],calls[[#This Row],[Customer ID]])</f>
        <v>50</v>
      </c>
      <c r="R416">
        <f>calls[[#This Row],[call count]]/calls[[#This Row],[Purchase Amount]]</f>
        <v>0.34722222222222221</v>
      </c>
    </row>
    <row r="417" spans="1:18" x14ac:dyDescent="0.4">
      <c r="A417" t="s">
        <v>447</v>
      </c>
      <c r="B417" t="s">
        <v>54</v>
      </c>
      <c r="C417">
        <v>124</v>
      </c>
      <c r="D417" s="4" t="s">
        <v>9</v>
      </c>
      <c r="E417" s="5">
        <v>45041</v>
      </c>
      <c r="F417">
        <v>132</v>
      </c>
      <c r="G417">
        <f>AVERAGEIF(calls[Representative], calls[[#This Row],[Representative]], calls[Satisfaction Rating])</f>
        <v>3.8706422018348627</v>
      </c>
      <c r="H417" t="str">
        <f>IF(AVERAGEIF(calls[Representative],calls[[#This Row],[Representative]],calls[Satisfaction Rating])&lt;3.5,"Needs Training","OK")</f>
        <v>OK</v>
      </c>
      <c r="I417">
        <v>4.9000000000000004</v>
      </c>
      <c r="J417">
        <f>IF(MONTH(calls[[#This Row],[Date of Call]])&lt;=6, YEAR(calls[[#This Row],[Date of Call]]), YEAR(calls[[#This Row],[Date of Call]])+1)</f>
        <v>2023</v>
      </c>
      <c r="K417" t="str">
        <f>TEXT(calls[[#This Row],[Date of Call]],"DDDD")</f>
        <v>Tuesday</v>
      </c>
      <c r="L417" t="str" cm="1">
        <f t="array" ref="L417">_xlfn.IFS(calls[[#This Row],[Duration]]&lt;=10,"under 10 mins",calls[[#This Row],[Duration]]&lt;=30,"10 to 30mins",calls[[#This Row],[Duration]]&lt;=60,"60 to 30mins",calls[[#This Row],[Duration]]&lt;=120,"1 to 2hrs",TRUE,"More than 2 hrs")</f>
        <v>More than 2 hrs</v>
      </c>
      <c r="M417">
        <f>ROUND(calls[[#This Row],[Satisfaction Rating]],0)</f>
        <v>5</v>
      </c>
      <c r="N417">
        <f>COUNTIF(calls[Customer ID], calls[[#This Row],[Customer ID]])</f>
        <v>70</v>
      </c>
      <c r="O417">
        <f>SUMIF(calls[Customer ID], calls[[#This Row],[Customer ID]], calls[Purchase Amount])</f>
        <v>6819</v>
      </c>
      <c r="P417">
        <f>calls[[#This Row],[call count]]/calls[[#This Row],[Purchase Amount]]</f>
        <v>0.53030303030303028</v>
      </c>
      <c r="Q417">
        <f>COUNTIF(calls[Customer ID],calls[[#This Row],[Customer ID]])</f>
        <v>70</v>
      </c>
      <c r="R417">
        <f>calls[[#This Row],[call count]]/calls[[#This Row],[Purchase Amount]]</f>
        <v>0.53030303030303028</v>
      </c>
    </row>
    <row r="418" spans="1:18" x14ac:dyDescent="0.4">
      <c r="A418" t="s">
        <v>448</v>
      </c>
      <c r="B418" t="s">
        <v>8</v>
      </c>
      <c r="C418">
        <v>108</v>
      </c>
      <c r="D418" s="4" t="s">
        <v>9</v>
      </c>
      <c r="E418" s="5">
        <v>45041</v>
      </c>
      <c r="F418">
        <v>180</v>
      </c>
      <c r="G418">
        <f>AVERAGEIF(calls[Representative], calls[[#This Row],[Representative]], calls[Satisfaction Rating])</f>
        <v>3.8706422018348627</v>
      </c>
      <c r="H418" t="str">
        <f>IF(AVERAGEIF(calls[Representative],calls[[#This Row],[Representative]],calls[Satisfaction Rating])&lt;3.5,"Needs Training","OK")</f>
        <v>OK</v>
      </c>
      <c r="I418">
        <v>3.9</v>
      </c>
      <c r="J418">
        <f>IF(MONTH(calls[[#This Row],[Date of Call]])&lt;=6, YEAR(calls[[#This Row],[Date of Call]]), YEAR(calls[[#This Row],[Date of Call]])+1)</f>
        <v>2023</v>
      </c>
      <c r="K418" t="str">
        <f>TEXT(calls[[#This Row],[Date of Call]],"DDDD")</f>
        <v>Tuesday</v>
      </c>
      <c r="L418" t="str" cm="1">
        <f t="array" ref="L418">_xlfn.IFS(calls[[#This Row],[Duration]]&lt;=10,"under 10 mins",calls[[#This Row],[Duration]]&lt;=30,"10 to 30mins",calls[[#This Row],[Duration]]&lt;=60,"60 to 30mins",calls[[#This Row],[Duration]]&lt;=120,"1 to 2hrs",TRUE,"More than 2 hrs")</f>
        <v>1 to 2hrs</v>
      </c>
      <c r="M418">
        <f>ROUND(calls[[#This Row],[Satisfaction Rating]],0)</f>
        <v>4</v>
      </c>
      <c r="N418">
        <f>COUNTIF(calls[Customer ID], calls[[#This Row],[Customer ID]])</f>
        <v>79</v>
      </c>
      <c r="O418">
        <f>SUMIF(calls[Customer ID], calls[[#This Row],[Customer ID]], calls[Purchase Amount])</f>
        <v>7747</v>
      </c>
      <c r="P418">
        <f>calls[[#This Row],[call count]]/calls[[#This Row],[Purchase Amount]]</f>
        <v>0.43888888888888888</v>
      </c>
      <c r="Q418">
        <f>COUNTIF(calls[Customer ID],calls[[#This Row],[Customer ID]])</f>
        <v>79</v>
      </c>
      <c r="R418">
        <f>calls[[#This Row],[call count]]/calls[[#This Row],[Purchase Amount]]</f>
        <v>0.43888888888888888</v>
      </c>
    </row>
    <row r="419" spans="1:18" x14ac:dyDescent="0.4">
      <c r="A419" t="s">
        <v>449</v>
      </c>
      <c r="B419" t="s">
        <v>13</v>
      </c>
      <c r="C419">
        <v>15</v>
      </c>
      <c r="D419" s="4" t="s">
        <v>9</v>
      </c>
      <c r="E419" s="5">
        <v>45041</v>
      </c>
      <c r="F419">
        <v>31</v>
      </c>
      <c r="G419">
        <f>AVERAGEIF(calls[Representative], calls[[#This Row],[Representative]], calls[Satisfaction Rating])</f>
        <v>3.8706422018348627</v>
      </c>
      <c r="H419" t="str">
        <f>IF(AVERAGEIF(calls[Representative],calls[[#This Row],[Representative]],calls[Satisfaction Rating])&lt;3.5,"Needs Training","OK")</f>
        <v>OK</v>
      </c>
      <c r="I419">
        <v>4.0999999999999996</v>
      </c>
      <c r="J419">
        <f>IF(MONTH(calls[[#This Row],[Date of Call]])&lt;=6, YEAR(calls[[#This Row],[Date of Call]]), YEAR(calls[[#This Row],[Date of Call]])+1)</f>
        <v>2023</v>
      </c>
      <c r="K419" t="str">
        <f>TEXT(calls[[#This Row],[Date of Call]],"DDDD")</f>
        <v>Tuesday</v>
      </c>
      <c r="L419" t="str" cm="1">
        <f t="array" ref="L419">_xlfn.IFS(calls[[#This Row],[Duration]]&lt;=10,"under 10 mins",calls[[#This Row],[Duration]]&lt;=30,"10 to 30mins",calls[[#This Row],[Duration]]&lt;=60,"60 to 30mins",calls[[#This Row],[Duration]]&lt;=120,"1 to 2hrs",TRUE,"More than 2 hrs")</f>
        <v>10 to 30mins</v>
      </c>
      <c r="M419">
        <f>ROUND(calls[[#This Row],[Satisfaction Rating]],0)</f>
        <v>4</v>
      </c>
      <c r="N419">
        <f>COUNTIF(calls[Customer ID], calls[[#This Row],[Customer ID]])</f>
        <v>74</v>
      </c>
      <c r="O419">
        <f>SUMIF(calls[Customer ID], calls[[#This Row],[Customer ID]], calls[Purchase Amount])</f>
        <v>6749</v>
      </c>
      <c r="P419">
        <f>calls[[#This Row],[call count]]/calls[[#This Row],[Purchase Amount]]</f>
        <v>2.3870967741935485</v>
      </c>
      <c r="Q419">
        <f>COUNTIF(calls[Customer ID],calls[[#This Row],[Customer ID]])</f>
        <v>74</v>
      </c>
      <c r="R419">
        <f>calls[[#This Row],[call count]]/calls[[#This Row],[Purchase Amount]]</f>
        <v>2.3870967741935485</v>
      </c>
    </row>
    <row r="420" spans="1:18" x14ac:dyDescent="0.4">
      <c r="A420" t="s">
        <v>450</v>
      </c>
      <c r="B420" t="s">
        <v>8</v>
      </c>
      <c r="C420">
        <v>66</v>
      </c>
      <c r="D420" s="4" t="s">
        <v>9</v>
      </c>
      <c r="E420" s="5">
        <v>45041</v>
      </c>
      <c r="F420">
        <v>102</v>
      </c>
      <c r="G420">
        <f>AVERAGEIF(calls[Representative], calls[[#This Row],[Representative]], calls[Satisfaction Rating])</f>
        <v>3.8706422018348627</v>
      </c>
      <c r="H420" t="str">
        <f>IF(AVERAGEIF(calls[Representative],calls[[#This Row],[Representative]],calls[Satisfaction Rating])&lt;3.5,"Needs Training","OK")</f>
        <v>OK</v>
      </c>
      <c r="I420">
        <v>3.8</v>
      </c>
      <c r="J420">
        <f>IF(MONTH(calls[[#This Row],[Date of Call]])&lt;=6, YEAR(calls[[#This Row],[Date of Call]]), YEAR(calls[[#This Row],[Date of Call]])+1)</f>
        <v>2023</v>
      </c>
      <c r="K420" t="str">
        <f>TEXT(calls[[#This Row],[Date of Call]],"DDDD")</f>
        <v>Tuesday</v>
      </c>
      <c r="L420" t="str" cm="1">
        <f t="array" ref="L420">_xlfn.IFS(calls[[#This Row],[Duration]]&lt;=10,"under 10 mins",calls[[#This Row],[Duration]]&lt;=30,"10 to 30mins",calls[[#This Row],[Duration]]&lt;=60,"60 to 30mins",calls[[#This Row],[Duration]]&lt;=120,"1 to 2hrs",TRUE,"More than 2 hrs")</f>
        <v>1 to 2hrs</v>
      </c>
      <c r="M420">
        <f>ROUND(calls[[#This Row],[Satisfaction Rating]],0)</f>
        <v>4</v>
      </c>
      <c r="N420">
        <f>COUNTIF(calls[Customer ID], calls[[#This Row],[Customer ID]])</f>
        <v>79</v>
      </c>
      <c r="O420">
        <f>SUMIF(calls[Customer ID], calls[[#This Row],[Customer ID]], calls[Purchase Amount])</f>
        <v>7747</v>
      </c>
      <c r="P420">
        <f>calls[[#This Row],[call count]]/calls[[#This Row],[Purchase Amount]]</f>
        <v>0.77450980392156865</v>
      </c>
      <c r="Q420">
        <f>COUNTIF(calls[Customer ID],calls[[#This Row],[Customer ID]])</f>
        <v>79</v>
      </c>
      <c r="R420">
        <f>calls[[#This Row],[call count]]/calls[[#This Row],[Purchase Amount]]</f>
        <v>0.77450980392156865</v>
      </c>
    </row>
    <row r="421" spans="1:18" x14ac:dyDescent="0.4">
      <c r="A421" t="s">
        <v>451</v>
      </c>
      <c r="B421" t="s">
        <v>21</v>
      </c>
      <c r="C421">
        <v>126</v>
      </c>
      <c r="D421" s="4" t="s">
        <v>14</v>
      </c>
      <c r="E421" s="5">
        <v>45042</v>
      </c>
      <c r="F421">
        <v>175</v>
      </c>
      <c r="G421">
        <f>AVERAGEIF(calls[Representative], calls[[#This Row],[Representative]], calls[Satisfaction Rating])</f>
        <v>3.9227513227513247</v>
      </c>
      <c r="H421" t="str">
        <f>IF(AVERAGEIF(calls[Representative],calls[[#This Row],[Representative]],calls[Satisfaction Rating])&lt;3.5,"Needs Training","OK")</f>
        <v>OK</v>
      </c>
      <c r="I421">
        <v>4.8</v>
      </c>
      <c r="J421">
        <f>IF(MONTH(calls[[#This Row],[Date of Call]])&lt;=6, YEAR(calls[[#This Row],[Date of Call]]), YEAR(calls[[#This Row],[Date of Call]])+1)</f>
        <v>2023</v>
      </c>
      <c r="K421" t="str">
        <f>TEXT(calls[[#This Row],[Date of Call]],"DDDD")</f>
        <v>Wednesday</v>
      </c>
      <c r="L421" t="str" cm="1">
        <f t="array" ref="L421">_xlfn.IFS(calls[[#This Row],[Duration]]&lt;=10,"under 10 mins",calls[[#This Row],[Duration]]&lt;=30,"10 to 30mins",calls[[#This Row],[Duration]]&lt;=60,"60 to 30mins",calls[[#This Row],[Duration]]&lt;=120,"1 to 2hrs",TRUE,"More than 2 hrs")</f>
        <v>More than 2 hrs</v>
      </c>
      <c r="M421">
        <f>ROUND(calls[[#This Row],[Satisfaction Rating]],0)</f>
        <v>5</v>
      </c>
      <c r="N421">
        <f>COUNTIF(calls[Customer ID], calls[[#This Row],[Customer ID]])</f>
        <v>67</v>
      </c>
      <c r="O421">
        <f>SUMIF(calls[Customer ID], calls[[#This Row],[Customer ID]], calls[Purchase Amount])</f>
        <v>7216</v>
      </c>
      <c r="P421">
        <f>calls[[#This Row],[call count]]/calls[[#This Row],[Purchase Amount]]</f>
        <v>0.38285714285714284</v>
      </c>
      <c r="Q421">
        <f>COUNTIF(calls[Customer ID],calls[[#This Row],[Customer ID]])</f>
        <v>67</v>
      </c>
      <c r="R421">
        <f>calls[[#This Row],[call count]]/calls[[#This Row],[Purchase Amount]]</f>
        <v>0.38285714285714284</v>
      </c>
    </row>
    <row r="422" spans="1:18" x14ac:dyDescent="0.4">
      <c r="A422" t="s">
        <v>452</v>
      </c>
      <c r="B422" t="s">
        <v>54</v>
      </c>
      <c r="C422">
        <v>26</v>
      </c>
      <c r="D422" s="4" t="s">
        <v>2</v>
      </c>
      <c r="E422" s="5">
        <v>45042</v>
      </c>
      <c r="F422">
        <v>87</v>
      </c>
      <c r="G422">
        <f>AVERAGEIF(calls[Representative], calls[[#This Row],[Representative]], calls[Satisfaction Rating])</f>
        <v>3.8824999999999998</v>
      </c>
      <c r="H422" t="str">
        <f>IF(AVERAGEIF(calls[Representative],calls[[#This Row],[Representative]],calls[Satisfaction Rating])&lt;3.5,"Needs Training","OK")</f>
        <v>OK</v>
      </c>
      <c r="I422">
        <v>4.7</v>
      </c>
      <c r="J422">
        <f>IF(MONTH(calls[[#This Row],[Date of Call]])&lt;=6, YEAR(calls[[#This Row],[Date of Call]]), YEAR(calls[[#This Row],[Date of Call]])+1)</f>
        <v>2023</v>
      </c>
      <c r="K422" t="str">
        <f>TEXT(calls[[#This Row],[Date of Call]],"DDDD")</f>
        <v>Wednesday</v>
      </c>
      <c r="L422" t="str" cm="1">
        <f t="array" ref="L422">_xlfn.IFS(calls[[#This Row],[Duration]]&lt;=10,"under 10 mins",calls[[#This Row],[Duration]]&lt;=30,"10 to 30mins",calls[[#This Row],[Duration]]&lt;=60,"60 to 30mins",calls[[#This Row],[Duration]]&lt;=120,"1 to 2hrs",TRUE,"More than 2 hrs")</f>
        <v>10 to 30mins</v>
      </c>
      <c r="M422">
        <f>ROUND(calls[[#This Row],[Satisfaction Rating]],0)</f>
        <v>5</v>
      </c>
      <c r="N422">
        <f>COUNTIF(calls[Customer ID], calls[[#This Row],[Customer ID]])</f>
        <v>70</v>
      </c>
      <c r="O422">
        <f>SUMIF(calls[Customer ID], calls[[#This Row],[Customer ID]], calls[Purchase Amount])</f>
        <v>6819</v>
      </c>
      <c r="P422">
        <f>calls[[#This Row],[call count]]/calls[[#This Row],[Purchase Amount]]</f>
        <v>0.8045977011494253</v>
      </c>
      <c r="Q422">
        <f>COUNTIF(calls[Customer ID],calls[[#This Row],[Customer ID]])</f>
        <v>70</v>
      </c>
      <c r="R422">
        <f>calls[[#This Row],[call count]]/calls[[#This Row],[Purchase Amount]]</f>
        <v>0.8045977011494253</v>
      </c>
    </row>
    <row r="423" spans="1:18" x14ac:dyDescent="0.4">
      <c r="A423" t="s">
        <v>453</v>
      </c>
      <c r="B423" t="s">
        <v>32</v>
      </c>
      <c r="C423">
        <v>105</v>
      </c>
      <c r="D423" s="4" t="s">
        <v>14</v>
      </c>
      <c r="E423" s="5">
        <v>45042</v>
      </c>
      <c r="F423">
        <v>66</v>
      </c>
      <c r="G423">
        <f>AVERAGEIF(calls[Representative], calls[[#This Row],[Representative]], calls[Satisfaction Rating])</f>
        <v>3.9227513227513247</v>
      </c>
      <c r="H423" t="str">
        <f>IF(AVERAGEIF(calls[Representative],calls[[#This Row],[Representative]],calls[Satisfaction Rating])&lt;3.5,"Needs Training","OK")</f>
        <v>OK</v>
      </c>
      <c r="I423">
        <v>4.2</v>
      </c>
      <c r="J423">
        <f>IF(MONTH(calls[[#This Row],[Date of Call]])&lt;=6, YEAR(calls[[#This Row],[Date of Call]]), YEAR(calls[[#This Row],[Date of Call]])+1)</f>
        <v>2023</v>
      </c>
      <c r="K423" t="str">
        <f>TEXT(calls[[#This Row],[Date of Call]],"DDDD")</f>
        <v>Wednesday</v>
      </c>
      <c r="L423" t="str" cm="1">
        <f t="array" ref="L423">_xlfn.IFS(calls[[#This Row],[Duration]]&lt;=10,"under 10 mins",calls[[#This Row],[Duration]]&lt;=30,"10 to 30mins",calls[[#This Row],[Duration]]&lt;=60,"60 to 30mins",calls[[#This Row],[Duration]]&lt;=120,"1 to 2hrs",TRUE,"More than 2 hrs")</f>
        <v>1 to 2hrs</v>
      </c>
      <c r="M423">
        <f>ROUND(calls[[#This Row],[Satisfaction Rating]],0)</f>
        <v>4</v>
      </c>
      <c r="N423">
        <f>COUNTIF(calls[Customer ID], calls[[#This Row],[Customer ID]])</f>
        <v>63</v>
      </c>
      <c r="O423">
        <f>SUMIF(calls[Customer ID], calls[[#This Row],[Customer ID]], calls[Purchase Amount])</f>
        <v>5634</v>
      </c>
      <c r="P423">
        <f>calls[[#This Row],[call count]]/calls[[#This Row],[Purchase Amount]]</f>
        <v>0.95454545454545459</v>
      </c>
      <c r="Q423">
        <f>COUNTIF(calls[Customer ID],calls[[#This Row],[Customer ID]])</f>
        <v>63</v>
      </c>
      <c r="R423">
        <f>calls[[#This Row],[call count]]/calls[[#This Row],[Purchase Amount]]</f>
        <v>0.95454545454545459</v>
      </c>
    </row>
    <row r="424" spans="1:18" x14ac:dyDescent="0.4">
      <c r="A424" t="s">
        <v>454</v>
      </c>
      <c r="B424" t="s">
        <v>32</v>
      </c>
      <c r="C424">
        <v>31</v>
      </c>
      <c r="D424" s="4" t="s">
        <v>14</v>
      </c>
      <c r="E424" s="5">
        <v>45042</v>
      </c>
      <c r="F424">
        <v>25</v>
      </c>
      <c r="G424">
        <f>AVERAGEIF(calls[Representative], calls[[#This Row],[Representative]], calls[Satisfaction Rating])</f>
        <v>3.9227513227513247</v>
      </c>
      <c r="H424" t="str">
        <f>IF(AVERAGEIF(calls[Representative],calls[[#This Row],[Representative]],calls[Satisfaction Rating])&lt;3.5,"Needs Training","OK")</f>
        <v>OK</v>
      </c>
      <c r="I424">
        <v>3.2</v>
      </c>
      <c r="J424">
        <f>IF(MONTH(calls[[#This Row],[Date of Call]])&lt;=6, YEAR(calls[[#This Row],[Date of Call]]), YEAR(calls[[#This Row],[Date of Call]])+1)</f>
        <v>2023</v>
      </c>
      <c r="K424" t="str">
        <f>TEXT(calls[[#This Row],[Date of Call]],"DDDD")</f>
        <v>Wednesday</v>
      </c>
      <c r="L424" t="str" cm="1">
        <f t="array" ref="L424">_xlfn.IFS(calls[[#This Row],[Duration]]&lt;=10,"under 10 mins",calls[[#This Row],[Duration]]&lt;=30,"10 to 30mins",calls[[#This Row],[Duration]]&lt;=60,"60 to 30mins",calls[[#This Row],[Duration]]&lt;=120,"1 to 2hrs",TRUE,"More than 2 hrs")</f>
        <v>60 to 30mins</v>
      </c>
      <c r="M424">
        <f>ROUND(calls[[#This Row],[Satisfaction Rating]],0)</f>
        <v>3</v>
      </c>
      <c r="N424">
        <f>COUNTIF(calls[Customer ID], calls[[#This Row],[Customer ID]])</f>
        <v>63</v>
      </c>
      <c r="O424">
        <f>SUMIF(calls[Customer ID], calls[[#This Row],[Customer ID]], calls[Purchase Amount])</f>
        <v>5634</v>
      </c>
      <c r="P424">
        <f>calls[[#This Row],[call count]]/calls[[#This Row],[Purchase Amount]]</f>
        <v>2.52</v>
      </c>
      <c r="Q424">
        <f>COUNTIF(calls[Customer ID],calls[[#This Row],[Customer ID]])</f>
        <v>63</v>
      </c>
      <c r="R424">
        <f>calls[[#This Row],[call count]]/calls[[#This Row],[Purchase Amount]]</f>
        <v>2.52</v>
      </c>
    </row>
    <row r="425" spans="1:18" x14ac:dyDescent="0.4">
      <c r="A425" t="s">
        <v>455</v>
      </c>
      <c r="B425" t="s">
        <v>8</v>
      </c>
      <c r="C425">
        <v>109</v>
      </c>
      <c r="D425" s="4" t="s">
        <v>9</v>
      </c>
      <c r="E425" s="5">
        <v>45042</v>
      </c>
      <c r="F425">
        <v>126</v>
      </c>
      <c r="G425">
        <f>AVERAGEIF(calls[Representative], calls[[#This Row],[Representative]], calls[Satisfaction Rating])</f>
        <v>3.8706422018348627</v>
      </c>
      <c r="H425" t="str">
        <f>IF(AVERAGEIF(calls[Representative],calls[[#This Row],[Representative]],calls[Satisfaction Rating])&lt;3.5,"Needs Training","OK")</f>
        <v>OK</v>
      </c>
      <c r="I425">
        <v>3.4</v>
      </c>
      <c r="J425">
        <f>IF(MONTH(calls[[#This Row],[Date of Call]])&lt;=6, YEAR(calls[[#This Row],[Date of Call]]), YEAR(calls[[#This Row],[Date of Call]])+1)</f>
        <v>2023</v>
      </c>
      <c r="K425" t="str">
        <f>TEXT(calls[[#This Row],[Date of Call]],"DDDD")</f>
        <v>Wednesday</v>
      </c>
      <c r="L425" t="str" cm="1">
        <f t="array" ref="L425">_xlfn.IFS(calls[[#This Row],[Duration]]&lt;=10,"under 10 mins",calls[[#This Row],[Duration]]&lt;=30,"10 to 30mins",calls[[#This Row],[Duration]]&lt;=60,"60 to 30mins",calls[[#This Row],[Duration]]&lt;=120,"1 to 2hrs",TRUE,"More than 2 hrs")</f>
        <v>1 to 2hrs</v>
      </c>
      <c r="M425">
        <f>ROUND(calls[[#This Row],[Satisfaction Rating]],0)</f>
        <v>3</v>
      </c>
      <c r="N425">
        <f>COUNTIF(calls[Customer ID], calls[[#This Row],[Customer ID]])</f>
        <v>79</v>
      </c>
      <c r="O425">
        <f>SUMIF(calls[Customer ID], calls[[#This Row],[Customer ID]], calls[Purchase Amount])</f>
        <v>7747</v>
      </c>
      <c r="P425">
        <f>calls[[#This Row],[call count]]/calls[[#This Row],[Purchase Amount]]</f>
        <v>0.62698412698412698</v>
      </c>
      <c r="Q425">
        <f>COUNTIF(calls[Customer ID],calls[[#This Row],[Customer ID]])</f>
        <v>79</v>
      </c>
      <c r="R425">
        <f>calls[[#This Row],[call count]]/calls[[#This Row],[Purchase Amount]]</f>
        <v>0.62698412698412698</v>
      </c>
    </row>
    <row r="426" spans="1:18" x14ac:dyDescent="0.4">
      <c r="A426" t="s">
        <v>456</v>
      </c>
      <c r="B426" t="s">
        <v>1</v>
      </c>
      <c r="C426">
        <v>113</v>
      </c>
      <c r="D426" s="4" t="s">
        <v>23</v>
      </c>
      <c r="E426" s="5">
        <v>45043</v>
      </c>
      <c r="F426">
        <v>42</v>
      </c>
      <c r="G426">
        <f>AVERAGEIF(calls[Representative], calls[[#This Row],[Representative]], calls[Satisfaction Rating])</f>
        <v>3.8973118279569863</v>
      </c>
      <c r="H426" t="str">
        <f>IF(AVERAGEIF(calls[Representative],calls[[#This Row],[Representative]],calls[Satisfaction Rating])&lt;3.5,"Needs Training","OK")</f>
        <v>OK</v>
      </c>
      <c r="I426">
        <v>4.5999999999999996</v>
      </c>
      <c r="J426">
        <f>IF(MONTH(calls[[#This Row],[Date of Call]])&lt;=6, YEAR(calls[[#This Row],[Date of Call]]), YEAR(calls[[#This Row],[Date of Call]])+1)</f>
        <v>2023</v>
      </c>
      <c r="K426" t="str">
        <f>TEXT(calls[[#This Row],[Date of Call]],"DDDD")</f>
        <v>Thursday</v>
      </c>
      <c r="L426" t="str" cm="1">
        <f t="array" ref="L426">_xlfn.IFS(calls[[#This Row],[Duration]]&lt;=10,"under 10 mins",calls[[#This Row],[Duration]]&lt;=30,"10 to 30mins",calls[[#This Row],[Duration]]&lt;=60,"60 to 30mins",calls[[#This Row],[Duration]]&lt;=120,"1 to 2hrs",TRUE,"More than 2 hrs")</f>
        <v>1 to 2hrs</v>
      </c>
      <c r="M426">
        <f>ROUND(calls[[#This Row],[Satisfaction Rating]],0)</f>
        <v>5</v>
      </c>
      <c r="N426">
        <f>COUNTIF(calls[Customer ID], calls[[#This Row],[Customer ID]])</f>
        <v>50</v>
      </c>
      <c r="O426">
        <f>SUMIF(calls[Customer ID], calls[[#This Row],[Customer ID]], calls[Purchase Amount])</f>
        <v>4804</v>
      </c>
      <c r="P426">
        <f>calls[[#This Row],[call count]]/calls[[#This Row],[Purchase Amount]]</f>
        <v>1.1904761904761905</v>
      </c>
      <c r="Q426">
        <f>COUNTIF(calls[Customer ID],calls[[#This Row],[Customer ID]])</f>
        <v>50</v>
      </c>
      <c r="R426">
        <f>calls[[#This Row],[call count]]/calls[[#This Row],[Purchase Amount]]</f>
        <v>1.1904761904761905</v>
      </c>
    </row>
    <row r="427" spans="1:18" x14ac:dyDescent="0.4">
      <c r="A427" t="s">
        <v>457</v>
      </c>
      <c r="B427" t="s">
        <v>21</v>
      </c>
      <c r="C427">
        <v>101</v>
      </c>
      <c r="D427" s="4" t="s">
        <v>2</v>
      </c>
      <c r="E427" s="5">
        <v>45043</v>
      </c>
      <c r="F427">
        <v>225</v>
      </c>
      <c r="G427">
        <f>AVERAGEIF(calls[Representative], calls[[#This Row],[Representative]], calls[Satisfaction Rating])</f>
        <v>3.8824999999999998</v>
      </c>
      <c r="H427" t="str">
        <f>IF(AVERAGEIF(calls[Representative],calls[[#This Row],[Representative]],calls[Satisfaction Rating])&lt;3.5,"Needs Training","OK")</f>
        <v>OK</v>
      </c>
      <c r="I427">
        <v>1.9</v>
      </c>
      <c r="J427">
        <f>IF(MONTH(calls[[#This Row],[Date of Call]])&lt;=6, YEAR(calls[[#This Row],[Date of Call]]), YEAR(calls[[#This Row],[Date of Call]])+1)</f>
        <v>2023</v>
      </c>
      <c r="K427" t="str">
        <f>TEXT(calls[[#This Row],[Date of Call]],"DDDD")</f>
        <v>Thursday</v>
      </c>
      <c r="L427" t="str" cm="1">
        <f t="array" ref="L427">_xlfn.IFS(calls[[#This Row],[Duration]]&lt;=10,"under 10 mins",calls[[#This Row],[Duration]]&lt;=30,"10 to 30mins",calls[[#This Row],[Duration]]&lt;=60,"60 to 30mins",calls[[#This Row],[Duration]]&lt;=120,"1 to 2hrs",TRUE,"More than 2 hrs")</f>
        <v>1 to 2hrs</v>
      </c>
      <c r="M427">
        <f>ROUND(calls[[#This Row],[Satisfaction Rating]],0)</f>
        <v>2</v>
      </c>
      <c r="N427">
        <f>COUNTIF(calls[Customer ID], calls[[#This Row],[Customer ID]])</f>
        <v>67</v>
      </c>
      <c r="O427">
        <f>SUMIF(calls[Customer ID], calls[[#This Row],[Customer ID]], calls[Purchase Amount])</f>
        <v>7216</v>
      </c>
      <c r="P427">
        <f>calls[[#This Row],[call count]]/calls[[#This Row],[Purchase Amount]]</f>
        <v>0.29777777777777775</v>
      </c>
      <c r="Q427">
        <f>COUNTIF(calls[Customer ID],calls[[#This Row],[Customer ID]])</f>
        <v>67</v>
      </c>
      <c r="R427">
        <f>calls[[#This Row],[call count]]/calls[[#This Row],[Purchase Amount]]</f>
        <v>0.29777777777777775</v>
      </c>
    </row>
    <row r="428" spans="1:18" x14ac:dyDescent="0.4">
      <c r="A428" t="s">
        <v>458</v>
      </c>
      <c r="B428" t="s">
        <v>11</v>
      </c>
      <c r="C428">
        <v>156</v>
      </c>
      <c r="D428" s="4" t="s">
        <v>2</v>
      </c>
      <c r="E428" s="5">
        <v>45043</v>
      </c>
      <c r="F428">
        <v>42</v>
      </c>
      <c r="G428">
        <f>AVERAGEIF(calls[Representative], calls[[#This Row],[Representative]], calls[Satisfaction Rating])</f>
        <v>3.8824999999999998</v>
      </c>
      <c r="H428" t="str">
        <f>IF(AVERAGEIF(calls[Representative],calls[[#This Row],[Representative]],calls[Satisfaction Rating])&lt;3.5,"Needs Training","OK")</f>
        <v>OK</v>
      </c>
      <c r="I428">
        <v>3.3</v>
      </c>
      <c r="J428">
        <f>IF(MONTH(calls[[#This Row],[Date of Call]])&lt;=6, YEAR(calls[[#This Row],[Date of Call]]), YEAR(calls[[#This Row],[Date of Call]])+1)</f>
        <v>2023</v>
      </c>
      <c r="K428" t="str">
        <f>TEXT(calls[[#This Row],[Date of Call]],"DDDD")</f>
        <v>Thursday</v>
      </c>
      <c r="L428" t="str" cm="1">
        <f t="array" ref="L428">_xlfn.IFS(calls[[#This Row],[Duration]]&lt;=10,"under 10 mins",calls[[#This Row],[Duration]]&lt;=30,"10 to 30mins",calls[[#This Row],[Duration]]&lt;=60,"60 to 30mins",calls[[#This Row],[Duration]]&lt;=120,"1 to 2hrs",TRUE,"More than 2 hrs")</f>
        <v>More than 2 hrs</v>
      </c>
      <c r="M428">
        <f>ROUND(calls[[#This Row],[Satisfaction Rating]],0)</f>
        <v>3</v>
      </c>
      <c r="N428">
        <f>COUNTIF(calls[Customer ID], calls[[#This Row],[Customer ID]])</f>
        <v>60</v>
      </c>
      <c r="O428">
        <f>SUMIF(calls[Customer ID], calls[[#This Row],[Customer ID]], calls[Purchase Amount])</f>
        <v>5404</v>
      </c>
      <c r="P428">
        <f>calls[[#This Row],[call count]]/calls[[#This Row],[Purchase Amount]]</f>
        <v>1.4285714285714286</v>
      </c>
      <c r="Q428">
        <f>COUNTIF(calls[Customer ID],calls[[#This Row],[Customer ID]])</f>
        <v>60</v>
      </c>
      <c r="R428">
        <f>calls[[#This Row],[call count]]/calls[[#This Row],[Purchase Amount]]</f>
        <v>1.4285714285714286</v>
      </c>
    </row>
    <row r="429" spans="1:18" x14ac:dyDescent="0.4">
      <c r="A429" t="s">
        <v>459</v>
      </c>
      <c r="B429" t="s">
        <v>8</v>
      </c>
      <c r="C429">
        <v>145</v>
      </c>
      <c r="D429" s="4" t="s">
        <v>23</v>
      </c>
      <c r="E429" s="5">
        <v>45044</v>
      </c>
      <c r="F429">
        <v>110</v>
      </c>
      <c r="G429">
        <f>AVERAGEIF(calls[Representative], calls[[#This Row],[Representative]], calls[Satisfaction Rating])</f>
        <v>3.8973118279569863</v>
      </c>
      <c r="H429" t="str">
        <f>IF(AVERAGEIF(calls[Representative],calls[[#This Row],[Representative]],calls[Satisfaction Rating])&lt;3.5,"Needs Training","OK")</f>
        <v>OK</v>
      </c>
      <c r="I429">
        <v>3.1</v>
      </c>
      <c r="J429">
        <f>IF(MONTH(calls[[#This Row],[Date of Call]])&lt;=6, YEAR(calls[[#This Row],[Date of Call]]), YEAR(calls[[#This Row],[Date of Call]])+1)</f>
        <v>2023</v>
      </c>
      <c r="K429" t="str">
        <f>TEXT(calls[[#This Row],[Date of Call]],"DDDD")</f>
        <v>Friday</v>
      </c>
      <c r="L429" t="str" cm="1">
        <f t="array" ref="L429">_xlfn.IFS(calls[[#This Row],[Duration]]&lt;=10,"under 10 mins",calls[[#This Row],[Duration]]&lt;=30,"10 to 30mins",calls[[#This Row],[Duration]]&lt;=60,"60 to 30mins",calls[[#This Row],[Duration]]&lt;=120,"1 to 2hrs",TRUE,"More than 2 hrs")</f>
        <v>More than 2 hrs</v>
      </c>
      <c r="M429">
        <f>ROUND(calls[[#This Row],[Satisfaction Rating]],0)</f>
        <v>3</v>
      </c>
      <c r="N429">
        <f>COUNTIF(calls[Customer ID], calls[[#This Row],[Customer ID]])</f>
        <v>79</v>
      </c>
      <c r="O429">
        <f>SUMIF(calls[Customer ID], calls[[#This Row],[Customer ID]], calls[Purchase Amount])</f>
        <v>7747</v>
      </c>
      <c r="P429">
        <f>calls[[#This Row],[call count]]/calls[[#This Row],[Purchase Amount]]</f>
        <v>0.71818181818181814</v>
      </c>
      <c r="Q429">
        <f>COUNTIF(calls[Customer ID],calls[[#This Row],[Customer ID]])</f>
        <v>79</v>
      </c>
      <c r="R429">
        <f>calls[[#This Row],[call count]]/calls[[#This Row],[Purchase Amount]]</f>
        <v>0.71818181818181814</v>
      </c>
    </row>
    <row r="430" spans="1:18" x14ac:dyDescent="0.4">
      <c r="A430" t="s">
        <v>460</v>
      </c>
      <c r="B430" t="s">
        <v>44</v>
      </c>
      <c r="C430">
        <v>36</v>
      </c>
      <c r="D430" s="4" t="s">
        <v>9</v>
      </c>
      <c r="E430" s="5">
        <v>45044</v>
      </c>
      <c r="F430">
        <v>225</v>
      </c>
      <c r="G430">
        <f>AVERAGEIF(calls[Representative], calls[[#This Row],[Representative]], calls[Satisfaction Rating])</f>
        <v>3.8706422018348627</v>
      </c>
      <c r="H430" t="str">
        <f>IF(AVERAGEIF(calls[Representative],calls[[#This Row],[Representative]],calls[Satisfaction Rating])&lt;3.5,"Needs Training","OK")</f>
        <v>OK</v>
      </c>
      <c r="I430">
        <v>4.8</v>
      </c>
      <c r="J430">
        <f>IF(MONTH(calls[[#This Row],[Date of Call]])&lt;=6, YEAR(calls[[#This Row],[Date of Call]]), YEAR(calls[[#This Row],[Date of Call]])+1)</f>
        <v>2023</v>
      </c>
      <c r="K430" t="str">
        <f>TEXT(calls[[#This Row],[Date of Call]],"DDDD")</f>
        <v>Friday</v>
      </c>
      <c r="L430" t="str" cm="1">
        <f t="array" ref="L430">_xlfn.IFS(calls[[#This Row],[Duration]]&lt;=10,"under 10 mins",calls[[#This Row],[Duration]]&lt;=30,"10 to 30mins",calls[[#This Row],[Duration]]&lt;=60,"60 to 30mins",calls[[#This Row],[Duration]]&lt;=120,"1 to 2hrs",TRUE,"More than 2 hrs")</f>
        <v>60 to 30mins</v>
      </c>
      <c r="M430">
        <f>ROUND(calls[[#This Row],[Satisfaction Rating]],0)</f>
        <v>5</v>
      </c>
      <c r="N430">
        <f>COUNTIF(calls[Customer ID], calls[[#This Row],[Customer ID]])</f>
        <v>62</v>
      </c>
      <c r="O430">
        <f>SUMIF(calls[Customer ID], calls[[#This Row],[Customer ID]], calls[Purchase Amount])</f>
        <v>6176</v>
      </c>
      <c r="P430">
        <f>calls[[#This Row],[call count]]/calls[[#This Row],[Purchase Amount]]</f>
        <v>0.27555555555555555</v>
      </c>
      <c r="Q430">
        <f>COUNTIF(calls[Customer ID],calls[[#This Row],[Customer ID]])</f>
        <v>62</v>
      </c>
      <c r="R430">
        <f>calls[[#This Row],[call count]]/calls[[#This Row],[Purchase Amount]]</f>
        <v>0.27555555555555555</v>
      </c>
    </row>
    <row r="431" spans="1:18" x14ac:dyDescent="0.4">
      <c r="A431" t="s">
        <v>461</v>
      </c>
      <c r="B431" t="s">
        <v>32</v>
      </c>
      <c r="C431">
        <v>135</v>
      </c>
      <c r="D431" s="4" t="s">
        <v>27</v>
      </c>
      <c r="E431" s="5">
        <v>45045</v>
      </c>
      <c r="F431">
        <v>125</v>
      </c>
      <c r="G431">
        <f>AVERAGEIF(calls[Representative], calls[[#This Row],[Representative]], calls[Satisfaction Rating])</f>
        <v>3.8589371980676304</v>
      </c>
      <c r="H431" t="str">
        <f>IF(AVERAGEIF(calls[Representative],calls[[#This Row],[Representative]],calls[Satisfaction Rating])&lt;3.5,"Needs Training","OK")</f>
        <v>OK</v>
      </c>
      <c r="I431">
        <v>3.3</v>
      </c>
      <c r="J431">
        <f>IF(MONTH(calls[[#This Row],[Date of Call]])&lt;=6, YEAR(calls[[#This Row],[Date of Call]]), YEAR(calls[[#This Row],[Date of Call]])+1)</f>
        <v>2023</v>
      </c>
      <c r="K431" t="str">
        <f>TEXT(calls[[#This Row],[Date of Call]],"DDDD")</f>
        <v>Saturday</v>
      </c>
      <c r="L431" t="str" cm="1">
        <f t="array" ref="L431">_xlfn.IFS(calls[[#This Row],[Duration]]&lt;=10,"under 10 mins",calls[[#This Row],[Duration]]&lt;=30,"10 to 30mins",calls[[#This Row],[Duration]]&lt;=60,"60 to 30mins",calls[[#This Row],[Duration]]&lt;=120,"1 to 2hrs",TRUE,"More than 2 hrs")</f>
        <v>More than 2 hrs</v>
      </c>
      <c r="M431">
        <f>ROUND(calls[[#This Row],[Satisfaction Rating]],0)</f>
        <v>3</v>
      </c>
      <c r="N431">
        <f>COUNTIF(calls[Customer ID], calls[[#This Row],[Customer ID]])</f>
        <v>63</v>
      </c>
      <c r="O431">
        <f>SUMIF(calls[Customer ID], calls[[#This Row],[Customer ID]], calls[Purchase Amount])</f>
        <v>5634</v>
      </c>
      <c r="P431">
        <f>calls[[#This Row],[call count]]/calls[[#This Row],[Purchase Amount]]</f>
        <v>0.504</v>
      </c>
      <c r="Q431">
        <f>COUNTIF(calls[Customer ID],calls[[#This Row],[Customer ID]])</f>
        <v>63</v>
      </c>
      <c r="R431">
        <f>calls[[#This Row],[call count]]/calls[[#This Row],[Purchase Amount]]</f>
        <v>0.504</v>
      </c>
    </row>
    <row r="432" spans="1:18" x14ac:dyDescent="0.4">
      <c r="A432" t="s">
        <v>462</v>
      </c>
      <c r="B432" t="s">
        <v>21</v>
      </c>
      <c r="C432">
        <v>81</v>
      </c>
      <c r="D432" s="4" t="s">
        <v>9</v>
      </c>
      <c r="E432" s="5">
        <v>45045</v>
      </c>
      <c r="F432">
        <v>78</v>
      </c>
      <c r="G432">
        <f>AVERAGEIF(calls[Representative], calls[[#This Row],[Representative]], calls[Satisfaction Rating])</f>
        <v>3.8706422018348627</v>
      </c>
      <c r="H432" t="str">
        <f>IF(AVERAGEIF(calls[Representative],calls[[#This Row],[Representative]],calls[Satisfaction Rating])&lt;3.5,"Needs Training","OK")</f>
        <v>OK</v>
      </c>
      <c r="I432">
        <v>2.9</v>
      </c>
      <c r="J432">
        <f>IF(MONTH(calls[[#This Row],[Date of Call]])&lt;=6, YEAR(calls[[#This Row],[Date of Call]]), YEAR(calls[[#This Row],[Date of Call]])+1)</f>
        <v>2023</v>
      </c>
      <c r="K432" t="str">
        <f>TEXT(calls[[#This Row],[Date of Call]],"DDDD")</f>
        <v>Saturday</v>
      </c>
      <c r="L432" t="str" cm="1">
        <f t="array" ref="L432">_xlfn.IFS(calls[[#This Row],[Duration]]&lt;=10,"under 10 mins",calls[[#This Row],[Duration]]&lt;=30,"10 to 30mins",calls[[#This Row],[Duration]]&lt;=60,"60 to 30mins",calls[[#This Row],[Duration]]&lt;=120,"1 to 2hrs",TRUE,"More than 2 hrs")</f>
        <v>1 to 2hrs</v>
      </c>
      <c r="M432">
        <f>ROUND(calls[[#This Row],[Satisfaction Rating]],0)</f>
        <v>3</v>
      </c>
      <c r="N432">
        <f>COUNTIF(calls[Customer ID], calls[[#This Row],[Customer ID]])</f>
        <v>67</v>
      </c>
      <c r="O432">
        <f>SUMIF(calls[Customer ID], calls[[#This Row],[Customer ID]], calls[Purchase Amount])</f>
        <v>7216</v>
      </c>
      <c r="P432">
        <f>calls[[#This Row],[call count]]/calls[[#This Row],[Purchase Amount]]</f>
        <v>0.85897435897435892</v>
      </c>
      <c r="Q432">
        <f>COUNTIF(calls[Customer ID],calls[[#This Row],[Customer ID]])</f>
        <v>67</v>
      </c>
      <c r="R432">
        <f>calls[[#This Row],[call count]]/calls[[#This Row],[Purchase Amount]]</f>
        <v>0.85897435897435892</v>
      </c>
    </row>
    <row r="433" spans="1:18" x14ac:dyDescent="0.4">
      <c r="A433" t="s">
        <v>463</v>
      </c>
      <c r="B433" t="s">
        <v>21</v>
      </c>
      <c r="C433">
        <v>81</v>
      </c>
      <c r="D433" s="4" t="s">
        <v>23</v>
      </c>
      <c r="E433" s="5">
        <v>45045</v>
      </c>
      <c r="F433">
        <v>40</v>
      </c>
      <c r="G433">
        <f>AVERAGEIF(calls[Representative], calls[[#This Row],[Representative]], calls[Satisfaction Rating])</f>
        <v>3.8973118279569863</v>
      </c>
      <c r="H433" t="str">
        <f>IF(AVERAGEIF(calls[Representative],calls[[#This Row],[Representative]],calls[Satisfaction Rating])&lt;3.5,"Needs Training","OK")</f>
        <v>OK</v>
      </c>
      <c r="I433">
        <v>2.4</v>
      </c>
      <c r="J433">
        <f>IF(MONTH(calls[[#This Row],[Date of Call]])&lt;=6, YEAR(calls[[#This Row],[Date of Call]]), YEAR(calls[[#This Row],[Date of Call]])+1)</f>
        <v>2023</v>
      </c>
      <c r="K433" t="str">
        <f>TEXT(calls[[#This Row],[Date of Call]],"DDDD")</f>
        <v>Saturday</v>
      </c>
      <c r="L433" t="str" cm="1">
        <f t="array" ref="L433">_xlfn.IFS(calls[[#This Row],[Duration]]&lt;=10,"under 10 mins",calls[[#This Row],[Duration]]&lt;=30,"10 to 30mins",calls[[#This Row],[Duration]]&lt;=60,"60 to 30mins",calls[[#This Row],[Duration]]&lt;=120,"1 to 2hrs",TRUE,"More than 2 hrs")</f>
        <v>1 to 2hrs</v>
      </c>
      <c r="M433">
        <f>ROUND(calls[[#This Row],[Satisfaction Rating]],0)</f>
        <v>2</v>
      </c>
      <c r="N433">
        <f>COUNTIF(calls[Customer ID], calls[[#This Row],[Customer ID]])</f>
        <v>67</v>
      </c>
      <c r="O433">
        <f>SUMIF(calls[Customer ID], calls[[#This Row],[Customer ID]], calls[Purchase Amount])</f>
        <v>7216</v>
      </c>
      <c r="P433">
        <f>calls[[#This Row],[call count]]/calls[[#This Row],[Purchase Amount]]</f>
        <v>1.675</v>
      </c>
      <c r="Q433">
        <f>COUNTIF(calls[Customer ID],calls[[#This Row],[Customer ID]])</f>
        <v>67</v>
      </c>
      <c r="R433">
        <f>calls[[#This Row],[call count]]/calls[[#This Row],[Purchase Amount]]</f>
        <v>1.675</v>
      </c>
    </row>
    <row r="434" spans="1:18" x14ac:dyDescent="0.4">
      <c r="A434" t="s">
        <v>464</v>
      </c>
      <c r="B434" t="s">
        <v>40</v>
      </c>
      <c r="C434">
        <v>93</v>
      </c>
      <c r="D434" s="4" t="s">
        <v>14</v>
      </c>
      <c r="E434" s="5">
        <v>45045</v>
      </c>
      <c r="F434">
        <v>150</v>
      </c>
      <c r="G434">
        <f>AVERAGEIF(calls[Representative], calls[[#This Row],[Representative]], calls[Satisfaction Rating])</f>
        <v>3.9227513227513247</v>
      </c>
      <c r="H434" t="str">
        <f>IF(AVERAGEIF(calls[Representative],calls[[#This Row],[Representative]],calls[Satisfaction Rating])&lt;3.5,"Needs Training","OK")</f>
        <v>OK</v>
      </c>
      <c r="I434">
        <v>4.5999999999999996</v>
      </c>
      <c r="J434">
        <f>IF(MONTH(calls[[#This Row],[Date of Call]])&lt;=6, YEAR(calls[[#This Row],[Date of Call]]), YEAR(calls[[#This Row],[Date of Call]])+1)</f>
        <v>2023</v>
      </c>
      <c r="K434" t="str">
        <f>TEXT(calls[[#This Row],[Date of Call]],"DDDD")</f>
        <v>Saturday</v>
      </c>
      <c r="L434" t="str" cm="1">
        <f t="array" ref="L434">_xlfn.IFS(calls[[#This Row],[Duration]]&lt;=10,"under 10 mins",calls[[#This Row],[Duration]]&lt;=30,"10 to 30mins",calls[[#This Row],[Duration]]&lt;=60,"60 to 30mins",calls[[#This Row],[Duration]]&lt;=120,"1 to 2hrs",TRUE,"More than 2 hrs")</f>
        <v>1 to 2hrs</v>
      </c>
      <c r="M434">
        <f>ROUND(calls[[#This Row],[Satisfaction Rating]],0)</f>
        <v>5</v>
      </c>
      <c r="N434">
        <f>COUNTIF(calls[Customer ID], calls[[#This Row],[Customer ID]])</f>
        <v>69</v>
      </c>
      <c r="O434">
        <f>SUMIF(calls[Customer ID], calls[[#This Row],[Customer ID]], calls[Purchase Amount])</f>
        <v>6601</v>
      </c>
      <c r="P434">
        <f>calls[[#This Row],[call count]]/calls[[#This Row],[Purchase Amount]]</f>
        <v>0.46</v>
      </c>
      <c r="Q434">
        <f>COUNTIF(calls[Customer ID],calls[[#This Row],[Customer ID]])</f>
        <v>69</v>
      </c>
      <c r="R434">
        <f>calls[[#This Row],[call count]]/calls[[#This Row],[Purchase Amount]]</f>
        <v>0.46</v>
      </c>
    </row>
    <row r="435" spans="1:18" x14ac:dyDescent="0.4">
      <c r="A435" t="s">
        <v>465</v>
      </c>
      <c r="B435" t="s">
        <v>8</v>
      </c>
      <c r="C435">
        <v>14</v>
      </c>
      <c r="D435" s="4" t="s">
        <v>9</v>
      </c>
      <c r="E435" s="5">
        <v>45045</v>
      </c>
      <c r="F435">
        <v>96</v>
      </c>
      <c r="G435">
        <f>AVERAGEIF(calls[Representative], calls[[#This Row],[Representative]], calls[Satisfaction Rating])</f>
        <v>3.8706422018348627</v>
      </c>
      <c r="H435" t="str">
        <f>IF(AVERAGEIF(calls[Representative],calls[[#This Row],[Representative]],calls[Satisfaction Rating])&lt;3.5,"Needs Training","OK")</f>
        <v>OK</v>
      </c>
      <c r="I435">
        <v>4.8</v>
      </c>
      <c r="J435">
        <f>IF(MONTH(calls[[#This Row],[Date of Call]])&lt;=6, YEAR(calls[[#This Row],[Date of Call]]), YEAR(calls[[#This Row],[Date of Call]])+1)</f>
        <v>2023</v>
      </c>
      <c r="K435" t="str">
        <f>TEXT(calls[[#This Row],[Date of Call]],"DDDD")</f>
        <v>Saturday</v>
      </c>
      <c r="L435" t="str" cm="1">
        <f t="array" ref="L435">_xlfn.IFS(calls[[#This Row],[Duration]]&lt;=10,"under 10 mins",calls[[#This Row],[Duration]]&lt;=30,"10 to 30mins",calls[[#This Row],[Duration]]&lt;=60,"60 to 30mins",calls[[#This Row],[Duration]]&lt;=120,"1 to 2hrs",TRUE,"More than 2 hrs")</f>
        <v>10 to 30mins</v>
      </c>
      <c r="M435">
        <f>ROUND(calls[[#This Row],[Satisfaction Rating]],0)</f>
        <v>5</v>
      </c>
      <c r="N435">
        <f>COUNTIF(calls[Customer ID], calls[[#This Row],[Customer ID]])</f>
        <v>79</v>
      </c>
      <c r="O435">
        <f>SUMIF(calls[Customer ID], calls[[#This Row],[Customer ID]], calls[Purchase Amount])</f>
        <v>7747</v>
      </c>
      <c r="P435">
        <f>calls[[#This Row],[call count]]/calls[[#This Row],[Purchase Amount]]</f>
        <v>0.82291666666666663</v>
      </c>
      <c r="Q435">
        <f>COUNTIF(calls[Customer ID],calls[[#This Row],[Customer ID]])</f>
        <v>79</v>
      </c>
      <c r="R435">
        <f>calls[[#This Row],[call count]]/calls[[#This Row],[Purchase Amount]]</f>
        <v>0.82291666666666663</v>
      </c>
    </row>
    <row r="436" spans="1:18" x14ac:dyDescent="0.4">
      <c r="A436" t="s">
        <v>466</v>
      </c>
      <c r="B436" t="s">
        <v>32</v>
      </c>
      <c r="C436">
        <v>95</v>
      </c>
      <c r="D436" s="4" t="s">
        <v>23</v>
      </c>
      <c r="E436" s="5">
        <v>45046</v>
      </c>
      <c r="F436">
        <v>75</v>
      </c>
      <c r="G436">
        <f>AVERAGEIF(calls[Representative], calls[[#This Row],[Representative]], calls[Satisfaction Rating])</f>
        <v>3.8973118279569863</v>
      </c>
      <c r="H436" t="str">
        <f>IF(AVERAGEIF(calls[Representative],calls[[#This Row],[Representative]],calls[Satisfaction Rating])&lt;3.5,"Needs Training","OK")</f>
        <v>OK</v>
      </c>
      <c r="I436">
        <v>4.8</v>
      </c>
      <c r="J436">
        <f>IF(MONTH(calls[[#This Row],[Date of Call]])&lt;=6, YEAR(calls[[#This Row],[Date of Call]]), YEAR(calls[[#This Row],[Date of Call]])+1)</f>
        <v>2023</v>
      </c>
      <c r="K436" t="str">
        <f>TEXT(calls[[#This Row],[Date of Call]],"DDDD")</f>
        <v>Sunday</v>
      </c>
      <c r="L436" t="str" cm="1">
        <f t="array" ref="L436">_xlfn.IFS(calls[[#This Row],[Duration]]&lt;=10,"under 10 mins",calls[[#This Row],[Duration]]&lt;=30,"10 to 30mins",calls[[#This Row],[Duration]]&lt;=60,"60 to 30mins",calls[[#This Row],[Duration]]&lt;=120,"1 to 2hrs",TRUE,"More than 2 hrs")</f>
        <v>1 to 2hrs</v>
      </c>
      <c r="M436">
        <f>ROUND(calls[[#This Row],[Satisfaction Rating]],0)</f>
        <v>5</v>
      </c>
      <c r="N436">
        <f>COUNTIF(calls[Customer ID], calls[[#This Row],[Customer ID]])</f>
        <v>63</v>
      </c>
      <c r="O436">
        <f>SUMIF(calls[Customer ID], calls[[#This Row],[Customer ID]], calls[Purchase Amount])</f>
        <v>5634</v>
      </c>
      <c r="P436">
        <f>calls[[#This Row],[call count]]/calls[[#This Row],[Purchase Amount]]</f>
        <v>0.84</v>
      </c>
      <c r="Q436">
        <f>COUNTIF(calls[Customer ID],calls[[#This Row],[Customer ID]])</f>
        <v>63</v>
      </c>
      <c r="R436">
        <f>calls[[#This Row],[call count]]/calls[[#This Row],[Purchase Amount]]</f>
        <v>0.84</v>
      </c>
    </row>
    <row r="437" spans="1:18" x14ac:dyDescent="0.4">
      <c r="A437" t="s">
        <v>467</v>
      </c>
      <c r="B437" t="s">
        <v>40</v>
      </c>
      <c r="C437">
        <v>81</v>
      </c>
      <c r="D437" s="4" t="s">
        <v>23</v>
      </c>
      <c r="E437" s="5">
        <v>45046</v>
      </c>
      <c r="F437">
        <v>60</v>
      </c>
      <c r="G437">
        <f>AVERAGEIF(calls[Representative], calls[[#This Row],[Representative]], calls[Satisfaction Rating])</f>
        <v>3.8973118279569863</v>
      </c>
      <c r="H437" t="str">
        <f>IF(AVERAGEIF(calls[Representative],calls[[#This Row],[Representative]],calls[Satisfaction Rating])&lt;3.5,"Needs Training","OK")</f>
        <v>OK</v>
      </c>
      <c r="I437">
        <v>3.6</v>
      </c>
      <c r="J437">
        <f>IF(MONTH(calls[[#This Row],[Date of Call]])&lt;=6, YEAR(calls[[#This Row],[Date of Call]]), YEAR(calls[[#This Row],[Date of Call]])+1)</f>
        <v>2023</v>
      </c>
      <c r="K437" t="str">
        <f>TEXT(calls[[#This Row],[Date of Call]],"DDDD")</f>
        <v>Sunday</v>
      </c>
      <c r="L437" t="str" cm="1">
        <f t="array" ref="L437">_xlfn.IFS(calls[[#This Row],[Duration]]&lt;=10,"under 10 mins",calls[[#This Row],[Duration]]&lt;=30,"10 to 30mins",calls[[#This Row],[Duration]]&lt;=60,"60 to 30mins",calls[[#This Row],[Duration]]&lt;=120,"1 to 2hrs",TRUE,"More than 2 hrs")</f>
        <v>1 to 2hrs</v>
      </c>
      <c r="M437">
        <f>ROUND(calls[[#This Row],[Satisfaction Rating]],0)</f>
        <v>4</v>
      </c>
      <c r="N437">
        <f>COUNTIF(calls[Customer ID], calls[[#This Row],[Customer ID]])</f>
        <v>69</v>
      </c>
      <c r="O437">
        <f>SUMIF(calls[Customer ID], calls[[#This Row],[Customer ID]], calls[Purchase Amount])</f>
        <v>6601</v>
      </c>
      <c r="P437">
        <f>calls[[#This Row],[call count]]/calls[[#This Row],[Purchase Amount]]</f>
        <v>1.1499999999999999</v>
      </c>
      <c r="Q437">
        <f>COUNTIF(calls[Customer ID],calls[[#This Row],[Customer ID]])</f>
        <v>69</v>
      </c>
      <c r="R437">
        <f>calls[[#This Row],[call count]]/calls[[#This Row],[Purchase Amount]]</f>
        <v>1.1499999999999999</v>
      </c>
    </row>
    <row r="438" spans="1:18" x14ac:dyDescent="0.4">
      <c r="A438" t="s">
        <v>468</v>
      </c>
      <c r="B438" t="s">
        <v>84</v>
      </c>
      <c r="C438">
        <v>60</v>
      </c>
      <c r="D438" s="4" t="s">
        <v>9</v>
      </c>
      <c r="E438" s="5">
        <v>45047</v>
      </c>
      <c r="F438">
        <v>41</v>
      </c>
      <c r="G438">
        <f>AVERAGEIF(calls[Representative], calls[[#This Row],[Representative]], calls[Satisfaction Rating])</f>
        <v>3.8706422018348627</v>
      </c>
      <c r="H438" t="str">
        <f>IF(AVERAGEIF(calls[Representative],calls[[#This Row],[Representative]],calls[Satisfaction Rating])&lt;3.5,"Needs Training","OK")</f>
        <v>OK</v>
      </c>
      <c r="I438">
        <v>4.8</v>
      </c>
      <c r="J438">
        <f>IF(MONTH(calls[[#This Row],[Date of Call]])&lt;=6, YEAR(calls[[#This Row],[Date of Call]]), YEAR(calls[[#This Row],[Date of Call]])+1)</f>
        <v>2023</v>
      </c>
      <c r="K438" t="str">
        <f>TEXT(calls[[#This Row],[Date of Call]],"DDDD")</f>
        <v>Monday</v>
      </c>
      <c r="L438" t="str" cm="1">
        <f t="array" ref="L438">_xlfn.IFS(calls[[#This Row],[Duration]]&lt;=10,"under 10 mins",calls[[#This Row],[Duration]]&lt;=30,"10 to 30mins",calls[[#This Row],[Duration]]&lt;=60,"60 to 30mins",calls[[#This Row],[Duration]]&lt;=120,"1 to 2hrs",TRUE,"More than 2 hrs")</f>
        <v>60 to 30mins</v>
      </c>
      <c r="M438">
        <f>ROUND(calls[[#This Row],[Satisfaction Rating]],0)</f>
        <v>5</v>
      </c>
      <c r="N438">
        <f>COUNTIF(calls[Customer ID], calls[[#This Row],[Customer ID]])</f>
        <v>59</v>
      </c>
      <c r="O438">
        <f>SUMIF(calls[Customer ID], calls[[#This Row],[Customer ID]], calls[Purchase Amount])</f>
        <v>5009</v>
      </c>
      <c r="P438">
        <f>calls[[#This Row],[call count]]/calls[[#This Row],[Purchase Amount]]</f>
        <v>1.4390243902439024</v>
      </c>
      <c r="Q438">
        <f>COUNTIF(calls[Customer ID],calls[[#This Row],[Customer ID]])</f>
        <v>59</v>
      </c>
      <c r="R438">
        <f>calls[[#This Row],[call count]]/calls[[#This Row],[Purchase Amount]]</f>
        <v>1.4390243902439024</v>
      </c>
    </row>
    <row r="439" spans="1:18" x14ac:dyDescent="0.4">
      <c r="A439" t="s">
        <v>469</v>
      </c>
      <c r="B439" t="s">
        <v>30</v>
      </c>
      <c r="C439">
        <v>137</v>
      </c>
      <c r="D439" s="4" t="s">
        <v>14</v>
      </c>
      <c r="E439" s="5">
        <v>45047</v>
      </c>
      <c r="F439">
        <v>20</v>
      </c>
      <c r="G439">
        <f>AVERAGEIF(calls[Representative], calls[[#This Row],[Representative]], calls[Satisfaction Rating])</f>
        <v>3.9227513227513247</v>
      </c>
      <c r="H439" t="str">
        <f>IF(AVERAGEIF(calls[Representative],calls[[#This Row],[Representative]],calls[Satisfaction Rating])&lt;3.5,"Needs Training","OK")</f>
        <v>OK</v>
      </c>
      <c r="I439">
        <v>4.2</v>
      </c>
      <c r="J439">
        <f>IF(MONTH(calls[[#This Row],[Date of Call]])&lt;=6, YEAR(calls[[#This Row],[Date of Call]]), YEAR(calls[[#This Row],[Date of Call]])+1)</f>
        <v>2023</v>
      </c>
      <c r="K439" t="str">
        <f>TEXT(calls[[#This Row],[Date of Call]],"DDDD")</f>
        <v>Monday</v>
      </c>
      <c r="L439" t="str" cm="1">
        <f t="array" ref="L439">_xlfn.IFS(calls[[#This Row],[Duration]]&lt;=10,"under 10 mins",calls[[#This Row],[Duration]]&lt;=30,"10 to 30mins",calls[[#This Row],[Duration]]&lt;=60,"60 to 30mins",calls[[#This Row],[Duration]]&lt;=120,"1 to 2hrs",TRUE,"More than 2 hrs")</f>
        <v>More than 2 hrs</v>
      </c>
      <c r="M439">
        <f>ROUND(calls[[#This Row],[Satisfaction Rating]],0)</f>
        <v>4</v>
      </c>
      <c r="N439">
        <f>COUNTIF(calls[Customer ID], calls[[#This Row],[Customer ID]])</f>
        <v>69</v>
      </c>
      <c r="O439">
        <f>SUMIF(calls[Customer ID], calls[[#This Row],[Customer ID]], calls[Purchase Amount])</f>
        <v>7230</v>
      </c>
      <c r="P439">
        <f>calls[[#This Row],[call count]]/calls[[#This Row],[Purchase Amount]]</f>
        <v>3.45</v>
      </c>
      <c r="Q439">
        <f>COUNTIF(calls[Customer ID],calls[[#This Row],[Customer ID]])</f>
        <v>69</v>
      </c>
      <c r="R439">
        <f>calls[[#This Row],[call count]]/calls[[#This Row],[Purchase Amount]]</f>
        <v>3.45</v>
      </c>
    </row>
    <row r="440" spans="1:18" x14ac:dyDescent="0.4">
      <c r="A440" t="s">
        <v>470</v>
      </c>
      <c r="B440" t="s">
        <v>6</v>
      </c>
      <c r="C440">
        <v>112</v>
      </c>
      <c r="D440" s="4" t="s">
        <v>27</v>
      </c>
      <c r="E440" s="5">
        <v>45047</v>
      </c>
      <c r="F440">
        <v>84</v>
      </c>
      <c r="G440">
        <f>AVERAGEIF(calls[Representative], calls[[#This Row],[Representative]], calls[Satisfaction Rating])</f>
        <v>3.8589371980676304</v>
      </c>
      <c r="H440" t="str">
        <f>IF(AVERAGEIF(calls[Representative],calls[[#This Row],[Representative]],calls[Satisfaction Rating])&lt;3.5,"Needs Training","OK")</f>
        <v>OK</v>
      </c>
      <c r="I440">
        <v>2.6</v>
      </c>
      <c r="J440">
        <f>IF(MONTH(calls[[#This Row],[Date of Call]])&lt;=6, YEAR(calls[[#This Row],[Date of Call]]), YEAR(calls[[#This Row],[Date of Call]])+1)</f>
        <v>2023</v>
      </c>
      <c r="K440" t="str">
        <f>TEXT(calls[[#This Row],[Date of Call]],"DDDD")</f>
        <v>Monday</v>
      </c>
      <c r="L440" t="str" cm="1">
        <f t="array" ref="L440">_xlfn.IFS(calls[[#This Row],[Duration]]&lt;=10,"under 10 mins",calls[[#This Row],[Duration]]&lt;=30,"10 to 30mins",calls[[#This Row],[Duration]]&lt;=60,"60 to 30mins",calls[[#This Row],[Duration]]&lt;=120,"1 to 2hrs",TRUE,"More than 2 hrs")</f>
        <v>1 to 2hrs</v>
      </c>
      <c r="M440">
        <f>ROUND(calls[[#This Row],[Satisfaction Rating]],0)</f>
        <v>3</v>
      </c>
      <c r="N440">
        <f>COUNTIF(calls[Customer ID], calls[[#This Row],[Customer ID]])</f>
        <v>82</v>
      </c>
      <c r="O440">
        <f>SUMIF(calls[Customer ID], calls[[#This Row],[Customer ID]], calls[Purchase Amount])</f>
        <v>7689</v>
      </c>
      <c r="P440">
        <f>calls[[#This Row],[call count]]/calls[[#This Row],[Purchase Amount]]</f>
        <v>0.97619047619047616</v>
      </c>
      <c r="Q440">
        <f>COUNTIF(calls[Customer ID],calls[[#This Row],[Customer ID]])</f>
        <v>82</v>
      </c>
      <c r="R440">
        <f>calls[[#This Row],[call count]]/calls[[#This Row],[Purchase Amount]]</f>
        <v>0.97619047619047616</v>
      </c>
    </row>
    <row r="441" spans="1:18" x14ac:dyDescent="0.4">
      <c r="A441" t="s">
        <v>471</v>
      </c>
      <c r="B441" t="s">
        <v>32</v>
      </c>
      <c r="C441">
        <v>76</v>
      </c>
      <c r="D441" s="4" t="s">
        <v>2</v>
      </c>
      <c r="E441" s="5">
        <v>45047</v>
      </c>
      <c r="F441">
        <v>140</v>
      </c>
      <c r="G441">
        <f>AVERAGEIF(calls[Representative], calls[[#This Row],[Representative]], calls[Satisfaction Rating])</f>
        <v>3.8824999999999998</v>
      </c>
      <c r="H441" t="str">
        <f>IF(AVERAGEIF(calls[Representative],calls[[#This Row],[Representative]],calls[Satisfaction Rating])&lt;3.5,"Needs Training","OK")</f>
        <v>OK</v>
      </c>
      <c r="I441">
        <v>3.7</v>
      </c>
      <c r="J441">
        <f>IF(MONTH(calls[[#This Row],[Date of Call]])&lt;=6, YEAR(calls[[#This Row],[Date of Call]]), YEAR(calls[[#This Row],[Date of Call]])+1)</f>
        <v>2023</v>
      </c>
      <c r="K441" t="str">
        <f>TEXT(calls[[#This Row],[Date of Call]],"DDDD")</f>
        <v>Monday</v>
      </c>
      <c r="L441" t="str" cm="1">
        <f t="array" ref="L441">_xlfn.IFS(calls[[#This Row],[Duration]]&lt;=10,"under 10 mins",calls[[#This Row],[Duration]]&lt;=30,"10 to 30mins",calls[[#This Row],[Duration]]&lt;=60,"60 to 30mins",calls[[#This Row],[Duration]]&lt;=120,"1 to 2hrs",TRUE,"More than 2 hrs")</f>
        <v>1 to 2hrs</v>
      </c>
      <c r="M441">
        <f>ROUND(calls[[#This Row],[Satisfaction Rating]],0)</f>
        <v>4</v>
      </c>
      <c r="N441">
        <f>COUNTIF(calls[Customer ID], calls[[#This Row],[Customer ID]])</f>
        <v>63</v>
      </c>
      <c r="O441">
        <f>SUMIF(calls[Customer ID], calls[[#This Row],[Customer ID]], calls[Purchase Amount])</f>
        <v>5634</v>
      </c>
      <c r="P441">
        <f>calls[[#This Row],[call count]]/calls[[#This Row],[Purchase Amount]]</f>
        <v>0.45</v>
      </c>
      <c r="Q441">
        <f>COUNTIF(calls[Customer ID],calls[[#This Row],[Customer ID]])</f>
        <v>63</v>
      </c>
      <c r="R441">
        <f>calls[[#This Row],[call count]]/calls[[#This Row],[Purchase Amount]]</f>
        <v>0.45</v>
      </c>
    </row>
    <row r="442" spans="1:18" x14ac:dyDescent="0.4">
      <c r="A442" t="s">
        <v>472</v>
      </c>
      <c r="B442" t="s">
        <v>51</v>
      </c>
      <c r="C442">
        <v>73</v>
      </c>
      <c r="D442" s="4" t="s">
        <v>9</v>
      </c>
      <c r="E442" s="5">
        <v>45047</v>
      </c>
      <c r="F442">
        <v>66</v>
      </c>
      <c r="G442">
        <f>AVERAGEIF(calls[Representative], calls[[#This Row],[Representative]], calls[Satisfaction Rating])</f>
        <v>3.8706422018348627</v>
      </c>
      <c r="H442" t="str">
        <f>IF(AVERAGEIF(calls[Representative],calls[[#This Row],[Representative]],calls[Satisfaction Rating])&lt;3.5,"Needs Training","OK")</f>
        <v>OK</v>
      </c>
      <c r="I442">
        <v>4.8</v>
      </c>
      <c r="J442">
        <f>IF(MONTH(calls[[#This Row],[Date of Call]])&lt;=6, YEAR(calls[[#This Row],[Date of Call]]), YEAR(calls[[#This Row],[Date of Call]])+1)</f>
        <v>2023</v>
      </c>
      <c r="K442" t="str">
        <f>TEXT(calls[[#This Row],[Date of Call]],"DDDD")</f>
        <v>Monday</v>
      </c>
      <c r="L442" t="str" cm="1">
        <f t="array" ref="L442">_xlfn.IFS(calls[[#This Row],[Duration]]&lt;=10,"under 10 mins",calls[[#This Row],[Duration]]&lt;=30,"10 to 30mins",calls[[#This Row],[Duration]]&lt;=60,"60 to 30mins",calls[[#This Row],[Duration]]&lt;=120,"1 to 2hrs",TRUE,"More than 2 hrs")</f>
        <v>1 to 2hrs</v>
      </c>
      <c r="M442">
        <f>ROUND(calls[[#This Row],[Satisfaction Rating]],0)</f>
        <v>5</v>
      </c>
      <c r="N442">
        <f>COUNTIF(calls[Customer ID], calls[[#This Row],[Customer ID]])</f>
        <v>59</v>
      </c>
      <c r="O442">
        <f>SUMIF(calls[Customer ID], calls[[#This Row],[Customer ID]], calls[Purchase Amount])</f>
        <v>6518</v>
      </c>
      <c r="P442">
        <f>calls[[#This Row],[call count]]/calls[[#This Row],[Purchase Amount]]</f>
        <v>0.89393939393939392</v>
      </c>
      <c r="Q442">
        <f>COUNTIF(calls[Customer ID],calls[[#This Row],[Customer ID]])</f>
        <v>59</v>
      </c>
      <c r="R442">
        <f>calls[[#This Row],[call count]]/calls[[#This Row],[Purchase Amount]]</f>
        <v>0.89393939393939392</v>
      </c>
    </row>
    <row r="443" spans="1:18" x14ac:dyDescent="0.4">
      <c r="A443" t="s">
        <v>473</v>
      </c>
      <c r="B443" t="s">
        <v>26</v>
      </c>
      <c r="C443">
        <v>119</v>
      </c>
      <c r="D443" s="4" t="s">
        <v>14</v>
      </c>
      <c r="E443" s="5">
        <v>45047</v>
      </c>
      <c r="F443">
        <v>105</v>
      </c>
      <c r="G443">
        <f>AVERAGEIF(calls[Representative], calls[[#This Row],[Representative]], calls[Satisfaction Rating])</f>
        <v>3.9227513227513247</v>
      </c>
      <c r="H443" t="str">
        <f>IF(AVERAGEIF(calls[Representative],calls[[#This Row],[Representative]],calls[Satisfaction Rating])&lt;3.5,"Needs Training","OK")</f>
        <v>OK</v>
      </c>
      <c r="I443">
        <v>4.7</v>
      </c>
      <c r="J443">
        <f>IF(MONTH(calls[[#This Row],[Date of Call]])&lt;=6, YEAR(calls[[#This Row],[Date of Call]]), YEAR(calls[[#This Row],[Date of Call]])+1)</f>
        <v>2023</v>
      </c>
      <c r="K443" t="str">
        <f>TEXT(calls[[#This Row],[Date of Call]],"DDDD")</f>
        <v>Monday</v>
      </c>
      <c r="L443" t="str" cm="1">
        <f t="array" ref="L443">_xlfn.IFS(calls[[#This Row],[Duration]]&lt;=10,"under 10 mins",calls[[#This Row],[Duration]]&lt;=30,"10 to 30mins",calls[[#This Row],[Duration]]&lt;=60,"60 to 30mins",calls[[#This Row],[Duration]]&lt;=120,"1 to 2hrs",TRUE,"More than 2 hrs")</f>
        <v>1 to 2hrs</v>
      </c>
      <c r="M443">
        <f>ROUND(calls[[#This Row],[Satisfaction Rating]],0)</f>
        <v>5</v>
      </c>
      <c r="N443">
        <f>COUNTIF(calls[Customer ID], calls[[#This Row],[Customer ID]])</f>
        <v>72</v>
      </c>
      <c r="O443">
        <f>SUMIF(calls[Customer ID], calls[[#This Row],[Customer ID]], calls[Purchase Amount])</f>
        <v>6242</v>
      </c>
      <c r="P443">
        <f>calls[[#This Row],[call count]]/calls[[#This Row],[Purchase Amount]]</f>
        <v>0.68571428571428572</v>
      </c>
      <c r="Q443">
        <f>COUNTIF(calls[Customer ID],calls[[#This Row],[Customer ID]])</f>
        <v>72</v>
      </c>
      <c r="R443">
        <f>calls[[#This Row],[call count]]/calls[[#This Row],[Purchase Amount]]</f>
        <v>0.68571428571428572</v>
      </c>
    </row>
    <row r="444" spans="1:18" x14ac:dyDescent="0.4">
      <c r="A444" t="s">
        <v>474</v>
      </c>
      <c r="B444" t="s">
        <v>1</v>
      </c>
      <c r="C444">
        <v>135</v>
      </c>
      <c r="D444" s="4" t="s">
        <v>23</v>
      </c>
      <c r="E444" s="5">
        <v>45048</v>
      </c>
      <c r="F444">
        <v>104</v>
      </c>
      <c r="G444">
        <f>AVERAGEIF(calls[Representative], calls[[#This Row],[Representative]], calls[Satisfaction Rating])</f>
        <v>3.8973118279569863</v>
      </c>
      <c r="H444" t="str">
        <f>IF(AVERAGEIF(calls[Representative],calls[[#This Row],[Representative]],calls[Satisfaction Rating])&lt;3.5,"Needs Training","OK")</f>
        <v>OK</v>
      </c>
      <c r="I444">
        <v>4.0999999999999996</v>
      </c>
      <c r="J444">
        <f>IF(MONTH(calls[[#This Row],[Date of Call]])&lt;=6, YEAR(calls[[#This Row],[Date of Call]]), YEAR(calls[[#This Row],[Date of Call]])+1)</f>
        <v>2023</v>
      </c>
      <c r="K444" t="str">
        <f>TEXT(calls[[#This Row],[Date of Call]],"DDDD")</f>
        <v>Tuesday</v>
      </c>
      <c r="L444" t="str" cm="1">
        <f t="array" ref="L444">_xlfn.IFS(calls[[#This Row],[Duration]]&lt;=10,"under 10 mins",calls[[#This Row],[Duration]]&lt;=30,"10 to 30mins",calls[[#This Row],[Duration]]&lt;=60,"60 to 30mins",calls[[#This Row],[Duration]]&lt;=120,"1 to 2hrs",TRUE,"More than 2 hrs")</f>
        <v>More than 2 hrs</v>
      </c>
      <c r="M444">
        <f>ROUND(calls[[#This Row],[Satisfaction Rating]],0)</f>
        <v>4</v>
      </c>
      <c r="N444">
        <f>COUNTIF(calls[Customer ID], calls[[#This Row],[Customer ID]])</f>
        <v>50</v>
      </c>
      <c r="O444">
        <f>SUMIF(calls[Customer ID], calls[[#This Row],[Customer ID]], calls[Purchase Amount])</f>
        <v>4804</v>
      </c>
      <c r="P444">
        <f>calls[[#This Row],[call count]]/calls[[#This Row],[Purchase Amount]]</f>
        <v>0.48076923076923078</v>
      </c>
      <c r="Q444">
        <f>COUNTIF(calls[Customer ID],calls[[#This Row],[Customer ID]])</f>
        <v>50</v>
      </c>
      <c r="R444">
        <f>calls[[#This Row],[call count]]/calls[[#This Row],[Purchase Amount]]</f>
        <v>0.48076923076923078</v>
      </c>
    </row>
    <row r="445" spans="1:18" x14ac:dyDescent="0.4">
      <c r="A445" t="s">
        <v>475</v>
      </c>
      <c r="B445" t="s">
        <v>30</v>
      </c>
      <c r="C445">
        <v>41</v>
      </c>
      <c r="D445" s="4" t="s">
        <v>27</v>
      </c>
      <c r="E445" s="5">
        <v>45048</v>
      </c>
      <c r="F445">
        <v>123</v>
      </c>
      <c r="G445">
        <f>AVERAGEIF(calls[Representative], calls[[#This Row],[Representative]], calls[Satisfaction Rating])</f>
        <v>3.8589371980676304</v>
      </c>
      <c r="H445" t="str">
        <f>IF(AVERAGEIF(calls[Representative],calls[[#This Row],[Representative]],calls[Satisfaction Rating])&lt;3.5,"Needs Training","OK")</f>
        <v>OK</v>
      </c>
      <c r="I445">
        <v>3.2</v>
      </c>
      <c r="J445">
        <f>IF(MONTH(calls[[#This Row],[Date of Call]])&lt;=6, YEAR(calls[[#This Row],[Date of Call]]), YEAR(calls[[#This Row],[Date of Call]])+1)</f>
        <v>2023</v>
      </c>
      <c r="K445" t="str">
        <f>TEXT(calls[[#This Row],[Date of Call]],"DDDD")</f>
        <v>Tuesday</v>
      </c>
      <c r="L445" t="str" cm="1">
        <f t="array" ref="L445">_xlfn.IFS(calls[[#This Row],[Duration]]&lt;=10,"under 10 mins",calls[[#This Row],[Duration]]&lt;=30,"10 to 30mins",calls[[#This Row],[Duration]]&lt;=60,"60 to 30mins",calls[[#This Row],[Duration]]&lt;=120,"1 to 2hrs",TRUE,"More than 2 hrs")</f>
        <v>60 to 30mins</v>
      </c>
      <c r="M445">
        <f>ROUND(calls[[#This Row],[Satisfaction Rating]],0)</f>
        <v>3</v>
      </c>
      <c r="N445">
        <f>COUNTIF(calls[Customer ID], calls[[#This Row],[Customer ID]])</f>
        <v>69</v>
      </c>
      <c r="O445">
        <f>SUMIF(calls[Customer ID], calls[[#This Row],[Customer ID]], calls[Purchase Amount])</f>
        <v>7230</v>
      </c>
      <c r="P445">
        <f>calls[[#This Row],[call count]]/calls[[#This Row],[Purchase Amount]]</f>
        <v>0.56097560975609762</v>
      </c>
      <c r="Q445">
        <f>COUNTIF(calls[Customer ID],calls[[#This Row],[Customer ID]])</f>
        <v>69</v>
      </c>
      <c r="R445">
        <f>calls[[#This Row],[call count]]/calls[[#This Row],[Purchase Amount]]</f>
        <v>0.56097560975609762</v>
      </c>
    </row>
    <row r="446" spans="1:18" x14ac:dyDescent="0.4">
      <c r="A446" t="s">
        <v>476</v>
      </c>
      <c r="B446" t="s">
        <v>8</v>
      </c>
      <c r="C446">
        <v>35</v>
      </c>
      <c r="D446" s="4" t="s">
        <v>23</v>
      </c>
      <c r="E446" s="5">
        <v>45049</v>
      </c>
      <c r="F446">
        <v>215</v>
      </c>
      <c r="G446">
        <f>AVERAGEIF(calls[Representative], calls[[#This Row],[Representative]], calls[Satisfaction Rating])</f>
        <v>3.8973118279569863</v>
      </c>
      <c r="H446" t="str">
        <f>IF(AVERAGEIF(calls[Representative],calls[[#This Row],[Representative]],calls[Satisfaction Rating])&lt;3.5,"Needs Training","OK")</f>
        <v>OK</v>
      </c>
      <c r="I446">
        <v>4.3</v>
      </c>
      <c r="J446">
        <f>IF(MONTH(calls[[#This Row],[Date of Call]])&lt;=6, YEAR(calls[[#This Row],[Date of Call]]), YEAR(calls[[#This Row],[Date of Call]])+1)</f>
        <v>2023</v>
      </c>
      <c r="K446" t="str">
        <f>TEXT(calls[[#This Row],[Date of Call]],"DDDD")</f>
        <v>Wednesday</v>
      </c>
      <c r="L446" t="str" cm="1">
        <f t="array" ref="L446">_xlfn.IFS(calls[[#This Row],[Duration]]&lt;=10,"under 10 mins",calls[[#This Row],[Duration]]&lt;=30,"10 to 30mins",calls[[#This Row],[Duration]]&lt;=60,"60 to 30mins",calls[[#This Row],[Duration]]&lt;=120,"1 to 2hrs",TRUE,"More than 2 hrs")</f>
        <v>60 to 30mins</v>
      </c>
      <c r="M446">
        <f>ROUND(calls[[#This Row],[Satisfaction Rating]],0)</f>
        <v>4</v>
      </c>
      <c r="N446">
        <f>COUNTIF(calls[Customer ID], calls[[#This Row],[Customer ID]])</f>
        <v>79</v>
      </c>
      <c r="O446">
        <f>SUMIF(calls[Customer ID], calls[[#This Row],[Customer ID]], calls[Purchase Amount])</f>
        <v>7747</v>
      </c>
      <c r="P446">
        <f>calls[[#This Row],[call count]]/calls[[#This Row],[Purchase Amount]]</f>
        <v>0.36744186046511629</v>
      </c>
      <c r="Q446">
        <f>COUNTIF(calls[Customer ID],calls[[#This Row],[Customer ID]])</f>
        <v>79</v>
      </c>
      <c r="R446">
        <f>calls[[#This Row],[call count]]/calls[[#This Row],[Purchase Amount]]</f>
        <v>0.36744186046511629</v>
      </c>
    </row>
    <row r="447" spans="1:18" x14ac:dyDescent="0.4">
      <c r="A447" t="s">
        <v>477</v>
      </c>
      <c r="B447" t="s">
        <v>1</v>
      </c>
      <c r="C447">
        <v>96</v>
      </c>
      <c r="D447" s="4" t="s">
        <v>9</v>
      </c>
      <c r="E447" s="5">
        <v>45049</v>
      </c>
      <c r="F447">
        <v>46</v>
      </c>
      <c r="G447">
        <f>AVERAGEIF(calls[Representative], calls[[#This Row],[Representative]], calls[Satisfaction Rating])</f>
        <v>3.8706422018348627</v>
      </c>
      <c r="H447" t="str">
        <f>IF(AVERAGEIF(calls[Representative],calls[[#This Row],[Representative]],calls[Satisfaction Rating])&lt;3.5,"Needs Training","OK")</f>
        <v>OK</v>
      </c>
      <c r="I447">
        <v>0.7</v>
      </c>
      <c r="J447">
        <f>IF(MONTH(calls[[#This Row],[Date of Call]])&lt;=6, YEAR(calls[[#This Row],[Date of Call]]), YEAR(calls[[#This Row],[Date of Call]])+1)</f>
        <v>2023</v>
      </c>
      <c r="K447" t="str">
        <f>TEXT(calls[[#This Row],[Date of Call]],"DDDD")</f>
        <v>Wednesday</v>
      </c>
      <c r="L447" t="str" cm="1">
        <f t="array" ref="L447">_xlfn.IFS(calls[[#This Row],[Duration]]&lt;=10,"under 10 mins",calls[[#This Row],[Duration]]&lt;=30,"10 to 30mins",calls[[#This Row],[Duration]]&lt;=60,"60 to 30mins",calls[[#This Row],[Duration]]&lt;=120,"1 to 2hrs",TRUE,"More than 2 hrs")</f>
        <v>1 to 2hrs</v>
      </c>
      <c r="M447">
        <f>ROUND(calls[[#This Row],[Satisfaction Rating]],0)</f>
        <v>1</v>
      </c>
      <c r="N447">
        <f>COUNTIF(calls[Customer ID], calls[[#This Row],[Customer ID]])</f>
        <v>50</v>
      </c>
      <c r="O447">
        <f>SUMIF(calls[Customer ID], calls[[#This Row],[Customer ID]], calls[Purchase Amount])</f>
        <v>4804</v>
      </c>
      <c r="P447">
        <f>calls[[#This Row],[call count]]/calls[[#This Row],[Purchase Amount]]</f>
        <v>1.0869565217391304</v>
      </c>
      <c r="Q447">
        <f>COUNTIF(calls[Customer ID],calls[[#This Row],[Customer ID]])</f>
        <v>50</v>
      </c>
      <c r="R447">
        <f>calls[[#This Row],[call count]]/calls[[#This Row],[Purchase Amount]]</f>
        <v>1.0869565217391304</v>
      </c>
    </row>
    <row r="448" spans="1:18" x14ac:dyDescent="0.4">
      <c r="A448" t="s">
        <v>478</v>
      </c>
      <c r="B448" t="s">
        <v>40</v>
      </c>
      <c r="C448">
        <v>61</v>
      </c>
      <c r="D448" s="4" t="s">
        <v>27</v>
      </c>
      <c r="E448" s="5">
        <v>45049</v>
      </c>
      <c r="F448">
        <v>115</v>
      </c>
      <c r="G448">
        <f>AVERAGEIF(calls[Representative], calls[[#This Row],[Representative]], calls[Satisfaction Rating])</f>
        <v>3.8589371980676304</v>
      </c>
      <c r="H448" t="str">
        <f>IF(AVERAGEIF(calls[Representative],calls[[#This Row],[Representative]],calls[Satisfaction Rating])&lt;3.5,"Needs Training","OK")</f>
        <v>OK</v>
      </c>
      <c r="I448">
        <v>3.7</v>
      </c>
      <c r="J448">
        <f>IF(MONTH(calls[[#This Row],[Date of Call]])&lt;=6, YEAR(calls[[#This Row],[Date of Call]]), YEAR(calls[[#This Row],[Date of Call]])+1)</f>
        <v>2023</v>
      </c>
      <c r="K448" t="str">
        <f>TEXT(calls[[#This Row],[Date of Call]],"DDDD")</f>
        <v>Wednesday</v>
      </c>
      <c r="L448" t="str" cm="1">
        <f t="array" ref="L448">_xlfn.IFS(calls[[#This Row],[Duration]]&lt;=10,"under 10 mins",calls[[#This Row],[Duration]]&lt;=30,"10 to 30mins",calls[[#This Row],[Duration]]&lt;=60,"60 to 30mins",calls[[#This Row],[Duration]]&lt;=120,"1 to 2hrs",TRUE,"More than 2 hrs")</f>
        <v>1 to 2hrs</v>
      </c>
      <c r="M448">
        <f>ROUND(calls[[#This Row],[Satisfaction Rating]],0)</f>
        <v>4</v>
      </c>
      <c r="N448">
        <f>COUNTIF(calls[Customer ID], calls[[#This Row],[Customer ID]])</f>
        <v>69</v>
      </c>
      <c r="O448">
        <f>SUMIF(calls[Customer ID], calls[[#This Row],[Customer ID]], calls[Purchase Amount])</f>
        <v>6601</v>
      </c>
      <c r="P448">
        <f>calls[[#This Row],[call count]]/calls[[#This Row],[Purchase Amount]]</f>
        <v>0.6</v>
      </c>
      <c r="Q448">
        <f>COUNTIF(calls[Customer ID],calls[[#This Row],[Customer ID]])</f>
        <v>69</v>
      </c>
      <c r="R448">
        <f>calls[[#This Row],[call count]]/calls[[#This Row],[Purchase Amount]]</f>
        <v>0.6</v>
      </c>
    </row>
    <row r="449" spans="1:18" x14ac:dyDescent="0.4">
      <c r="A449" t="s">
        <v>479</v>
      </c>
      <c r="B449" t="s">
        <v>1</v>
      </c>
      <c r="C449">
        <v>91</v>
      </c>
      <c r="D449" s="4" t="s">
        <v>27</v>
      </c>
      <c r="E449" s="5">
        <v>45049</v>
      </c>
      <c r="F449">
        <v>124</v>
      </c>
      <c r="G449">
        <f>AVERAGEIF(calls[Representative], calls[[#This Row],[Representative]], calls[Satisfaction Rating])</f>
        <v>3.8589371980676304</v>
      </c>
      <c r="H449" t="str">
        <f>IF(AVERAGEIF(calls[Representative],calls[[#This Row],[Representative]],calls[Satisfaction Rating])&lt;3.5,"Needs Training","OK")</f>
        <v>OK</v>
      </c>
      <c r="I449">
        <v>3.9</v>
      </c>
      <c r="J449">
        <f>IF(MONTH(calls[[#This Row],[Date of Call]])&lt;=6, YEAR(calls[[#This Row],[Date of Call]]), YEAR(calls[[#This Row],[Date of Call]])+1)</f>
        <v>2023</v>
      </c>
      <c r="K449" t="str">
        <f>TEXT(calls[[#This Row],[Date of Call]],"DDDD")</f>
        <v>Wednesday</v>
      </c>
      <c r="L449" t="str" cm="1">
        <f t="array" ref="L449">_xlfn.IFS(calls[[#This Row],[Duration]]&lt;=10,"under 10 mins",calls[[#This Row],[Duration]]&lt;=30,"10 to 30mins",calls[[#This Row],[Duration]]&lt;=60,"60 to 30mins",calls[[#This Row],[Duration]]&lt;=120,"1 to 2hrs",TRUE,"More than 2 hrs")</f>
        <v>1 to 2hrs</v>
      </c>
      <c r="M449">
        <f>ROUND(calls[[#This Row],[Satisfaction Rating]],0)</f>
        <v>4</v>
      </c>
      <c r="N449">
        <f>COUNTIF(calls[Customer ID], calls[[#This Row],[Customer ID]])</f>
        <v>50</v>
      </c>
      <c r="O449">
        <f>SUMIF(calls[Customer ID], calls[[#This Row],[Customer ID]], calls[Purchase Amount])</f>
        <v>4804</v>
      </c>
      <c r="P449">
        <f>calls[[#This Row],[call count]]/calls[[#This Row],[Purchase Amount]]</f>
        <v>0.40322580645161288</v>
      </c>
      <c r="Q449">
        <f>COUNTIF(calls[Customer ID],calls[[#This Row],[Customer ID]])</f>
        <v>50</v>
      </c>
      <c r="R449">
        <f>calls[[#This Row],[call count]]/calls[[#This Row],[Purchase Amount]]</f>
        <v>0.40322580645161288</v>
      </c>
    </row>
    <row r="450" spans="1:18" x14ac:dyDescent="0.4">
      <c r="A450" t="s">
        <v>480</v>
      </c>
      <c r="B450" t="s">
        <v>64</v>
      </c>
      <c r="C450">
        <v>30</v>
      </c>
      <c r="D450" s="4" t="s">
        <v>27</v>
      </c>
      <c r="E450" s="5">
        <v>45050</v>
      </c>
      <c r="F450">
        <v>205</v>
      </c>
      <c r="G450">
        <f>AVERAGEIF(calls[Representative], calls[[#This Row],[Representative]], calls[Satisfaction Rating])</f>
        <v>3.8589371980676304</v>
      </c>
      <c r="H450" t="str">
        <f>IF(AVERAGEIF(calls[Representative],calls[[#This Row],[Representative]],calls[Satisfaction Rating])&lt;3.5,"Needs Training","OK")</f>
        <v>OK</v>
      </c>
      <c r="I450">
        <v>4.5</v>
      </c>
      <c r="J450">
        <f>IF(MONTH(calls[[#This Row],[Date of Call]])&lt;=6, YEAR(calls[[#This Row],[Date of Call]]), YEAR(calls[[#This Row],[Date of Call]])+1)</f>
        <v>2023</v>
      </c>
      <c r="K450" t="str">
        <f>TEXT(calls[[#This Row],[Date of Call]],"DDDD")</f>
        <v>Thursday</v>
      </c>
      <c r="L450" t="str" cm="1">
        <f t="array" ref="L450">_xlfn.IFS(calls[[#This Row],[Duration]]&lt;=10,"under 10 mins",calls[[#This Row],[Duration]]&lt;=30,"10 to 30mins",calls[[#This Row],[Duration]]&lt;=60,"60 to 30mins",calls[[#This Row],[Duration]]&lt;=120,"1 to 2hrs",TRUE,"More than 2 hrs")</f>
        <v>10 to 30mins</v>
      </c>
      <c r="M450">
        <f>ROUND(calls[[#This Row],[Satisfaction Rating]],0)</f>
        <v>5</v>
      </c>
      <c r="N450">
        <f>COUNTIF(calls[Customer ID], calls[[#This Row],[Customer ID]])</f>
        <v>65</v>
      </c>
      <c r="O450">
        <f>SUMIF(calls[Customer ID], calls[[#This Row],[Customer ID]], calls[Purchase Amount])</f>
        <v>6785</v>
      </c>
      <c r="P450">
        <f>calls[[#This Row],[call count]]/calls[[#This Row],[Purchase Amount]]</f>
        <v>0.31707317073170732</v>
      </c>
      <c r="Q450">
        <f>COUNTIF(calls[Customer ID],calls[[#This Row],[Customer ID]])</f>
        <v>65</v>
      </c>
      <c r="R450">
        <f>calls[[#This Row],[call count]]/calls[[#This Row],[Purchase Amount]]</f>
        <v>0.31707317073170732</v>
      </c>
    </row>
    <row r="451" spans="1:18" x14ac:dyDescent="0.4">
      <c r="A451" t="s">
        <v>481</v>
      </c>
      <c r="B451" t="s">
        <v>84</v>
      </c>
      <c r="C451">
        <v>111</v>
      </c>
      <c r="D451" s="4" t="s">
        <v>14</v>
      </c>
      <c r="E451" s="5">
        <v>45050</v>
      </c>
      <c r="F451">
        <v>90</v>
      </c>
      <c r="G451">
        <f>AVERAGEIF(calls[Representative], calls[[#This Row],[Representative]], calls[Satisfaction Rating])</f>
        <v>3.9227513227513247</v>
      </c>
      <c r="H451" t="str">
        <f>IF(AVERAGEIF(calls[Representative],calls[[#This Row],[Representative]],calls[Satisfaction Rating])&lt;3.5,"Needs Training","OK")</f>
        <v>OK</v>
      </c>
      <c r="I451">
        <v>2.8</v>
      </c>
      <c r="J451">
        <f>IF(MONTH(calls[[#This Row],[Date of Call]])&lt;=6, YEAR(calls[[#This Row],[Date of Call]]), YEAR(calls[[#This Row],[Date of Call]])+1)</f>
        <v>2023</v>
      </c>
      <c r="K451" t="str">
        <f>TEXT(calls[[#This Row],[Date of Call]],"DDDD")</f>
        <v>Thursday</v>
      </c>
      <c r="L451" t="str" cm="1">
        <f t="array" ref="L451">_xlfn.IFS(calls[[#This Row],[Duration]]&lt;=10,"under 10 mins",calls[[#This Row],[Duration]]&lt;=30,"10 to 30mins",calls[[#This Row],[Duration]]&lt;=60,"60 to 30mins",calls[[#This Row],[Duration]]&lt;=120,"1 to 2hrs",TRUE,"More than 2 hrs")</f>
        <v>1 to 2hrs</v>
      </c>
      <c r="M451">
        <f>ROUND(calls[[#This Row],[Satisfaction Rating]],0)</f>
        <v>3</v>
      </c>
      <c r="N451">
        <f>COUNTIF(calls[Customer ID], calls[[#This Row],[Customer ID]])</f>
        <v>59</v>
      </c>
      <c r="O451">
        <f>SUMIF(calls[Customer ID], calls[[#This Row],[Customer ID]], calls[Purchase Amount])</f>
        <v>5009</v>
      </c>
      <c r="P451">
        <f>calls[[#This Row],[call count]]/calls[[#This Row],[Purchase Amount]]</f>
        <v>0.65555555555555556</v>
      </c>
      <c r="Q451">
        <f>COUNTIF(calls[Customer ID],calls[[#This Row],[Customer ID]])</f>
        <v>59</v>
      </c>
      <c r="R451">
        <f>calls[[#This Row],[call count]]/calls[[#This Row],[Purchase Amount]]</f>
        <v>0.65555555555555556</v>
      </c>
    </row>
    <row r="452" spans="1:18" x14ac:dyDescent="0.4">
      <c r="A452" t="s">
        <v>482</v>
      </c>
      <c r="B452" t="s">
        <v>40</v>
      </c>
      <c r="C452">
        <v>81</v>
      </c>
      <c r="D452" s="4" t="s">
        <v>9</v>
      </c>
      <c r="E452" s="5">
        <v>45050</v>
      </c>
      <c r="F452">
        <v>92</v>
      </c>
      <c r="G452">
        <f>AVERAGEIF(calls[Representative], calls[[#This Row],[Representative]], calls[Satisfaction Rating])</f>
        <v>3.8706422018348627</v>
      </c>
      <c r="H452" t="str">
        <f>IF(AVERAGEIF(calls[Representative],calls[[#This Row],[Representative]],calls[Satisfaction Rating])&lt;3.5,"Needs Training","OK")</f>
        <v>OK</v>
      </c>
      <c r="I452">
        <v>4.9000000000000004</v>
      </c>
      <c r="J452">
        <f>IF(MONTH(calls[[#This Row],[Date of Call]])&lt;=6, YEAR(calls[[#This Row],[Date of Call]]), YEAR(calls[[#This Row],[Date of Call]])+1)</f>
        <v>2023</v>
      </c>
      <c r="K452" t="str">
        <f>TEXT(calls[[#This Row],[Date of Call]],"DDDD")</f>
        <v>Thursday</v>
      </c>
      <c r="L452" t="str" cm="1">
        <f t="array" ref="L452">_xlfn.IFS(calls[[#This Row],[Duration]]&lt;=10,"under 10 mins",calls[[#This Row],[Duration]]&lt;=30,"10 to 30mins",calls[[#This Row],[Duration]]&lt;=60,"60 to 30mins",calls[[#This Row],[Duration]]&lt;=120,"1 to 2hrs",TRUE,"More than 2 hrs")</f>
        <v>1 to 2hrs</v>
      </c>
      <c r="M452">
        <f>ROUND(calls[[#This Row],[Satisfaction Rating]],0)</f>
        <v>5</v>
      </c>
      <c r="N452">
        <f>COUNTIF(calls[Customer ID], calls[[#This Row],[Customer ID]])</f>
        <v>69</v>
      </c>
      <c r="O452">
        <f>SUMIF(calls[Customer ID], calls[[#This Row],[Customer ID]], calls[Purchase Amount])</f>
        <v>6601</v>
      </c>
      <c r="P452">
        <f>calls[[#This Row],[call count]]/calls[[#This Row],[Purchase Amount]]</f>
        <v>0.75</v>
      </c>
      <c r="Q452">
        <f>COUNTIF(calls[Customer ID],calls[[#This Row],[Customer ID]])</f>
        <v>69</v>
      </c>
      <c r="R452">
        <f>calls[[#This Row],[call count]]/calls[[#This Row],[Purchase Amount]]</f>
        <v>0.75</v>
      </c>
    </row>
    <row r="453" spans="1:18" x14ac:dyDescent="0.4">
      <c r="A453" t="s">
        <v>483</v>
      </c>
      <c r="B453" t="s">
        <v>32</v>
      </c>
      <c r="C453">
        <v>40</v>
      </c>
      <c r="D453" s="4" t="s">
        <v>23</v>
      </c>
      <c r="E453" s="5">
        <v>45052</v>
      </c>
      <c r="F453">
        <v>108</v>
      </c>
      <c r="G453">
        <f>AVERAGEIF(calls[Representative], calls[[#This Row],[Representative]], calls[Satisfaction Rating])</f>
        <v>3.8973118279569863</v>
      </c>
      <c r="H453" t="str">
        <f>IF(AVERAGEIF(calls[Representative],calls[[#This Row],[Representative]],calls[Satisfaction Rating])&lt;3.5,"Needs Training","OK")</f>
        <v>OK</v>
      </c>
      <c r="I453">
        <v>4.2</v>
      </c>
      <c r="J453">
        <f>IF(MONTH(calls[[#This Row],[Date of Call]])&lt;=6, YEAR(calls[[#This Row],[Date of Call]]), YEAR(calls[[#This Row],[Date of Call]])+1)</f>
        <v>2023</v>
      </c>
      <c r="K453" t="str">
        <f>TEXT(calls[[#This Row],[Date of Call]],"DDDD")</f>
        <v>Saturday</v>
      </c>
      <c r="L453" t="str" cm="1">
        <f t="array" ref="L453">_xlfn.IFS(calls[[#This Row],[Duration]]&lt;=10,"under 10 mins",calls[[#This Row],[Duration]]&lt;=30,"10 to 30mins",calls[[#This Row],[Duration]]&lt;=60,"60 to 30mins",calls[[#This Row],[Duration]]&lt;=120,"1 to 2hrs",TRUE,"More than 2 hrs")</f>
        <v>60 to 30mins</v>
      </c>
      <c r="M453">
        <f>ROUND(calls[[#This Row],[Satisfaction Rating]],0)</f>
        <v>4</v>
      </c>
      <c r="N453">
        <f>COUNTIF(calls[Customer ID], calls[[#This Row],[Customer ID]])</f>
        <v>63</v>
      </c>
      <c r="O453">
        <f>SUMIF(calls[Customer ID], calls[[#This Row],[Customer ID]], calls[Purchase Amount])</f>
        <v>5634</v>
      </c>
      <c r="P453">
        <f>calls[[#This Row],[call count]]/calls[[#This Row],[Purchase Amount]]</f>
        <v>0.58333333333333337</v>
      </c>
      <c r="Q453">
        <f>COUNTIF(calls[Customer ID],calls[[#This Row],[Customer ID]])</f>
        <v>63</v>
      </c>
      <c r="R453">
        <f>calls[[#This Row],[call count]]/calls[[#This Row],[Purchase Amount]]</f>
        <v>0.58333333333333337</v>
      </c>
    </row>
    <row r="454" spans="1:18" x14ac:dyDescent="0.4">
      <c r="A454" t="s">
        <v>484</v>
      </c>
      <c r="B454" t="s">
        <v>84</v>
      </c>
      <c r="C454">
        <v>143</v>
      </c>
      <c r="D454" s="4" t="s">
        <v>23</v>
      </c>
      <c r="E454" s="5">
        <v>45052</v>
      </c>
      <c r="F454">
        <v>54</v>
      </c>
      <c r="G454">
        <f>AVERAGEIF(calls[Representative], calls[[#This Row],[Representative]], calls[Satisfaction Rating])</f>
        <v>3.8973118279569863</v>
      </c>
      <c r="H454" t="str">
        <f>IF(AVERAGEIF(calls[Representative],calls[[#This Row],[Representative]],calls[Satisfaction Rating])&lt;3.5,"Needs Training","OK")</f>
        <v>OK</v>
      </c>
      <c r="I454">
        <v>4.4000000000000004</v>
      </c>
      <c r="J454">
        <f>IF(MONTH(calls[[#This Row],[Date of Call]])&lt;=6, YEAR(calls[[#This Row],[Date of Call]]), YEAR(calls[[#This Row],[Date of Call]])+1)</f>
        <v>2023</v>
      </c>
      <c r="K454" t="str">
        <f>TEXT(calls[[#This Row],[Date of Call]],"DDDD")</f>
        <v>Saturday</v>
      </c>
      <c r="L454" t="str" cm="1">
        <f t="array" ref="L454">_xlfn.IFS(calls[[#This Row],[Duration]]&lt;=10,"under 10 mins",calls[[#This Row],[Duration]]&lt;=30,"10 to 30mins",calls[[#This Row],[Duration]]&lt;=60,"60 to 30mins",calls[[#This Row],[Duration]]&lt;=120,"1 to 2hrs",TRUE,"More than 2 hrs")</f>
        <v>More than 2 hrs</v>
      </c>
      <c r="M454">
        <f>ROUND(calls[[#This Row],[Satisfaction Rating]],0)</f>
        <v>4</v>
      </c>
      <c r="N454">
        <f>COUNTIF(calls[Customer ID], calls[[#This Row],[Customer ID]])</f>
        <v>59</v>
      </c>
      <c r="O454">
        <f>SUMIF(calls[Customer ID], calls[[#This Row],[Customer ID]], calls[Purchase Amount])</f>
        <v>5009</v>
      </c>
      <c r="P454">
        <f>calls[[#This Row],[call count]]/calls[[#This Row],[Purchase Amount]]</f>
        <v>1.0925925925925926</v>
      </c>
      <c r="Q454">
        <f>COUNTIF(calls[Customer ID],calls[[#This Row],[Customer ID]])</f>
        <v>59</v>
      </c>
      <c r="R454">
        <f>calls[[#This Row],[call count]]/calls[[#This Row],[Purchase Amount]]</f>
        <v>1.0925925925925926</v>
      </c>
    </row>
    <row r="455" spans="1:18" x14ac:dyDescent="0.4">
      <c r="A455" t="s">
        <v>485</v>
      </c>
      <c r="B455" t="s">
        <v>32</v>
      </c>
      <c r="C455">
        <v>70</v>
      </c>
      <c r="D455" s="4" t="s">
        <v>23</v>
      </c>
      <c r="E455" s="5">
        <v>45053</v>
      </c>
      <c r="F455">
        <v>44</v>
      </c>
      <c r="G455">
        <f>AVERAGEIF(calls[Representative], calls[[#This Row],[Representative]], calls[Satisfaction Rating])</f>
        <v>3.8973118279569863</v>
      </c>
      <c r="H455" t="str">
        <f>IF(AVERAGEIF(calls[Representative],calls[[#This Row],[Representative]],calls[Satisfaction Rating])&lt;3.5,"Needs Training","OK")</f>
        <v>OK</v>
      </c>
      <c r="I455">
        <v>3.5</v>
      </c>
      <c r="J455">
        <f>IF(MONTH(calls[[#This Row],[Date of Call]])&lt;=6, YEAR(calls[[#This Row],[Date of Call]]), YEAR(calls[[#This Row],[Date of Call]])+1)</f>
        <v>2023</v>
      </c>
      <c r="K455" t="str">
        <f>TEXT(calls[[#This Row],[Date of Call]],"DDDD")</f>
        <v>Sunday</v>
      </c>
      <c r="L455" t="str" cm="1">
        <f t="array" ref="L455">_xlfn.IFS(calls[[#This Row],[Duration]]&lt;=10,"under 10 mins",calls[[#This Row],[Duration]]&lt;=30,"10 to 30mins",calls[[#This Row],[Duration]]&lt;=60,"60 to 30mins",calls[[#This Row],[Duration]]&lt;=120,"1 to 2hrs",TRUE,"More than 2 hrs")</f>
        <v>1 to 2hrs</v>
      </c>
      <c r="M455">
        <f>ROUND(calls[[#This Row],[Satisfaction Rating]],0)</f>
        <v>4</v>
      </c>
      <c r="N455">
        <f>COUNTIF(calls[Customer ID], calls[[#This Row],[Customer ID]])</f>
        <v>63</v>
      </c>
      <c r="O455">
        <f>SUMIF(calls[Customer ID], calls[[#This Row],[Customer ID]], calls[Purchase Amount])</f>
        <v>5634</v>
      </c>
      <c r="P455">
        <f>calls[[#This Row],[call count]]/calls[[#This Row],[Purchase Amount]]</f>
        <v>1.4318181818181819</v>
      </c>
      <c r="Q455">
        <f>COUNTIF(calls[Customer ID],calls[[#This Row],[Customer ID]])</f>
        <v>63</v>
      </c>
      <c r="R455">
        <f>calls[[#This Row],[call count]]/calls[[#This Row],[Purchase Amount]]</f>
        <v>1.4318181818181819</v>
      </c>
    </row>
    <row r="456" spans="1:18" x14ac:dyDescent="0.4">
      <c r="A456" t="s">
        <v>486</v>
      </c>
      <c r="B456" t="s">
        <v>51</v>
      </c>
      <c r="C456">
        <v>137</v>
      </c>
      <c r="D456" s="4" t="s">
        <v>23</v>
      </c>
      <c r="E456" s="5">
        <v>45053</v>
      </c>
      <c r="F456">
        <v>44</v>
      </c>
      <c r="G456">
        <f>AVERAGEIF(calls[Representative], calls[[#This Row],[Representative]], calls[Satisfaction Rating])</f>
        <v>3.8973118279569863</v>
      </c>
      <c r="H456" t="str">
        <f>IF(AVERAGEIF(calls[Representative],calls[[#This Row],[Representative]],calls[Satisfaction Rating])&lt;3.5,"Needs Training","OK")</f>
        <v>OK</v>
      </c>
      <c r="I456">
        <v>4.7</v>
      </c>
      <c r="J456">
        <f>IF(MONTH(calls[[#This Row],[Date of Call]])&lt;=6, YEAR(calls[[#This Row],[Date of Call]]), YEAR(calls[[#This Row],[Date of Call]])+1)</f>
        <v>2023</v>
      </c>
      <c r="K456" t="str">
        <f>TEXT(calls[[#This Row],[Date of Call]],"DDDD")</f>
        <v>Sunday</v>
      </c>
      <c r="L456" t="str" cm="1">
        <f t="array" ref="L456">_xlfn.IFS(calls[[#This Row],[Duration]]&lt;=10,"under 10 mins",calls[[#This Row],[Duration]]&lt;=30,"10 to 30mins",calls[[#This Row],[Duration]]&lt;=60,"60 to 30mins",calls[[#This Row],[Duration]]&lt;=120,"1 to 2hrs",TRUE,"More than 2 hrs")</f>
        <v>More than 2 hrs</v>
      </c>
      <c r="M456">
        <f>ROUND(calls[[#This Row],[Satisfaction Rating]],0)</f>
        <v>5</v>
      </c>
      <c r="N456">
        <f>COUNTIF(calls[Customer ID], calls[[#This Row],[Customer ID]])</f>
        <v>59</v>
      </c>
      <c r="O456">
        <f>SUMIF(calls[Customer ID], calls[[#This Row],[Customer ID]], calls[Purchase Amount])</f>
        <v>6518</v>
      </c>
      <c r="P456">
        <f>calls[[#This Row],[call count]]/calls[[#This Row],[Purchase Amount]]</f>
        <v>1.3409090909090908</v>
      </c>
      <c r="Q456">
        <f>COUNTIF(calls[Customer ID],calls[[#This Row],[Customer ID]])</f>
        <v>59</v>
      </c>
      <c r="R456">
        <f>calls[[#This Row],[call count]]/calls[[#This Row],[Purchase Amount]]</f>
        <v>1.3409090909090908</v>
      </c>
    </row>
    <row r="457" spans="1:18" x14ac:dyDescent="0.4">
      <c r="A457" t="s">
        <v>487</v>
      </c>
      <c r="B457" t="s">
        <v>1</v>
      </c>
      <c r="C457">
        <v>52</v>
      </c>
      <c r="D457" s="4" t="s">
        <v>9</v>
      </c>
      <c r="E457" s="5">
        <v>45054</v>
      </c>
      <c r="F457">
        <v>37</v>
      </c>
      <c r="G457">
        <f>AVERAGEIF(calls[Representative], calls[[#This Row],[Representative]], calls[Satisfaction Rating])</f>
        <v>3.8706422018348627</v>
      </c>
      <c r="H457" t="str">
        <f>IF(AVERAGEIF(calls[Representative],calls[[#This Row],[Representative]],calls[Satisfaction Rating])&lt;3.5,"Needs Training","OK")</f>
        <v>OK</v>
      </c>
      <c r="I457">
        <v>4.9000000000000004</v>
      </c>
      <c r="J457">
        <f>IF(MONTH(calls[[#This Row],[Date of Call]])&lt;=6, YEAR(calls[[#This Row],[Date of Call]]), YEAR(calls[[#This Row],[Date of Call]])+1)</f>
        <v>2023</v>
      </c>
      <c r="K457" t="str">
        <f>TEXT(calls[[#This Row],[Date of Call]],"DDDD")</f>
        <v>Monday</v>
      </c>
      <c r="L457" t="str" cm="1">
        <f t="array" ref="L457">_xlfn.IFS(calls[[#This Row],[Duration]]&lt;=10,"under 10 mins",calls[[#This Row],[Duration]]&lt;=30,"10 to 30mins",calls[[#This Row],[Duration]]&lt;=60,"60 to 30mins",calls[[#This Row],[Duration]]&lt;=120,"1 to 2hrs",TRUE,"More than 2 hrs")</f>
        <v>60 to 30mins</v>
      </c>
      <c r="M457">
        <f>ROUND(calls[[#This Row],[Satisfaction Rating]],0)</f>
        <v>5</v>
      </c>
      <c r="N457">
        <f>COUNTIF(calls[Customer ID], calls[[#This Row],[Customer ID]])</f>
        <v>50</v>
      </c>
      <c r="O457">
        <f>SUMIF(calls[Customer ID], calls[[#This Row],[Customer ID]], calls[Purchase Amount])</f>
        <v>4804</v>
      </c>
      <c r="P457">
        <f>calls[[#This Row],[call count]]/calls[[#This Row],[Purchase Amount]]</f>
        <v>1.3513513513513513</v>
      </c>
      <c r="Q457">
        <f>COUNTIF(calls[Customer ID],calls[[#This Row],[Customer ID]])</f>
        <v>50</v>
      </c>
      <c r="R457">
        <f>calls[[#This Row],[call count]]/calls[[#This Row],[Purchase Amount]]</f>
        <v>1.3513513513513513</v>
      </c>
    </row>
    <row r="458" spans="1:18" x14ac:dyDescent="0.4">
      <c r="A458" t="s">
        <v>488</v>
      </c>
      <c r="B458" t="s">
        <v>6</v>
      </c>
      <c r="C458">
        <v>31</v>
      </c>
      <c r="D458" s="4" t="s">
        <v>14</v>
      </c>
      <c r="E458" s="5">
        <v>45054</v>
      </c>
      <c r="F458">
        <v>180</v>
      </c>
      <c r="G458">
        <f>AVERAGEIF(calls[Representative], calls[[#This Row],[Representative]], calls[Satisfaction Rating])</f>
        <v>3.9227513227513247</v>
      </c>
      <c r="H458" t="str">
        <f>IF(AVERAGEIF(calls[Representative],calls[[#This Row],[Representative]],calls[Satisfaction Rating])&lt;3.5,"Needs Training","OK")</f>
        <v>OK</v>
      </c>
      <c r="I458">
        <v>4.5</v>
      </c>
      <c r="J458">
        <f>IF(MONTH(calls[[#This Row],[Date of Call]])&lt;=6, YEAR(calls[[#This Row],[Date of Call]]), YEAR(calls[[#This Row],[Date of Call]])+1)</f>
        <v>2023</v>
      </c>
      <c r="K458" t="str">
        <f>TEXT(calls[[#This Row],[Date of Call]],"DDDD")</f>
        <v>Monday</v>
      </c>
      <c r="L458" t="str" cm="1">
        <f t="array" ref="L458">_xlfn.IFS(calls[[#This Row],[Duration]]&lt;=10,"under 10 mins",calls[[#This Row],[Duration]]&lt;=30,"10 to 30mins",calls[[#This Row],[Duration]]&lt;=60,"60 to 30mins",calls[[#This Row],[Duration]]&lt;=120,"1 to 2hrs",TRUE,"More than 2 hrs")</f>
        <v>60 to 30mins</v>
      </c>
      <c r="M458">
        <f>ROUND(calls[[#This Row],[Satisfaction Rating]],0)</f>
        <v>5</v>
      </c>
      <c r="N458">
        <f>COUNTIF(calls[Customer ID], calls[[#This Row],[Customer ID]])</f>
        <v>82</v>
      </c>
      <c r="O458">
        <f>SUMIF(calls[Customer ID], calls[[#This Row],[Customer ID]], calls[Purchase Amount])</f>
        <v>7689</v>
      </c>
      <c r="P458">
        <f>calls[[#This Row],[call count]]/calls[[#This Row],[Purchase Amount]]</f>
        <v>0.45555555555555555</v>
      </c>
      <c r="Q458">
        <f>COUNTIF(calls[Customer ID],calls[[#This Row],[Customer ID]])</f>
        <v>82</v>
      </c>
      <c r="R458">
        <f>calls[[#This Row],[call count]]/calls[[#This Row],[Purchase Amount]]</f>
        <v>0.45555555555555555</v>
      </c>
    </row>
    <row r="459" spans="1:18" x14ac:dyDescent="0.4">
      <c r="A459" t="s">
        <v>489</v>
      </c>
      <c r="B459" t="s">
        <v>1</v>
      </c>
      <c r="C459">
        <v>114</v>
      </c>
      <c r="D459" s="4" t="s">
        <v>27</v>
      </c>
      <c r="E459" s="5">
        <v>45054</v>
      </c>
      <c r="F459">
        <v>105</v>
      </c>
      <c r="G459">
        <f>AVERAGEIF(calls[Representative], calls[[#This Row],[Representative]], calls[Satisfaction Rating])</f>
        <v>3.8589371980676304</v>
      </c>
      <c r="H459" t="str">
        <f>IF(AVERAGEIF(calls[Representative],calls[[#This Row],[Representative]],calls[Satisfaction Rating])&lt;3.5,"Needs Training","OK")</f>
        <v>OK</v>
      </c>
      <c r="I459">
        <v>4.9000000000000004</v>
      </c>
      <c r="J459">
        <f>IF(MONTH(calls[[#This Row],[Date of Call]])&lt;=6, YEAR(calls[[#This Row],[Date of Call]]), YEAR(calls[[#This Row],[Date of Call]])+1)</f>
        <v>2023</v>
      </c>
      <c r="K459" t="str">
        <f>TEXT(calls[[#This Row],[Date of Call]],"DDDD")</f>
        <v>Monday</v>
      </c>
      <c r="L459" t="str" cm="1">
        <f t="array" ref="L459">_xlfn.IFS(calls[[#This Row],[Duration]]&lt;=10,"under 10 mins",calls[[#This Row],[Duration]]&lt;=30,"10 to 30mins",calls[[#This Row],[Duration]]&lt;=60,"60 to 30mins",calls[[#This Row],[Duration]]&lt;=120,"1 to 2hrs",TRUE,"More than 2 hrs")</f>
        <v>1 to 2hrs</v>
      </c>
      <c r="M459">
        <f>ROUND(calls[[#This Row],[Satisfaction Rating]],0)</f>
        <v>5</v>
      </c>
      <c r="N459">
        <f>COUNTIF(calls[Customer ID], calls[[#This Row],[Customer ID]])</f>
        <v>50</v>
      </c>
      <c r="O459">
        <f>SUMIF(calls[Customer ID], calls[[#This Row],[Customer ID]], calls[Purchase Amount])</f>
        <v>4804</v>
      </c>
      <c r="P459">
        <f>calls[[#This Row],[call count]]/calls[[#This Row],[Purchase Amount]]</f>
        <v>0.47619047619047616</v>
      </c>
      <c r="Q459">
        <f>COUNTIF(calls[Customer ID],calls[[#This Row],[Customer ID]])</f>
        <v>50</v>
      </c>
      <c r="R459">
        <f>calls[[#This Row],[call count]]/calls[[#This Row],[Purchase Amount]]</f>
        <v>0.47619047619047616</v>
      </c>
    </row>
    <row r="460" spans="1:18" x14ac:dyDescent="0.4">
      <c r="A460" t="s">
        <v>490</v>
      </c>
      <c r="B460" t="s">
        <v>51</v>
      </c>
      <c r="C460">
        <v>73</v>
      </c>
      <c r="D460" s="4" t="s">
        <v>2</v>
      </c>
      <c r="E460" s="5">
        <v>45054</v>
      </c>
      <c r="F460">
        <v>87</v>
      </c>
      <c r="G460">
        <f>AVERAGEIF(calls[Representative], calls[[#This Row],[Representative]], calls[Satisfaction Rating])</f>
        <v>3.8824999999999998</v>
      </c>
      <c r="H460" t="str">
        <f>IF(AVERAGEIF(calls[Representative],calls[[#This Row],[Representative]],calls[Satisfaction Rating])&lt;3.5,"Needs Training","OK")</f>
        <v>OK</v>
      </c>
      <c r="I460">
        <v>3.6</v>
      </c>
      <c r="J460">
        <f>IF(MONTH(calls[[#This Row],[Date of Call]])&lt;=6, YEAR(calls[[#This Row],[Date of Call]]), YEAR(calls[[#This Row],[Date of Call]])+1)</f>
        <v>2023</v>
      </c>
      <c r="K460" t="str">
        <f>TEXT(calls[[#This Row],[Date of Call]],"DDDD")</f>
        <v>Monday</v>
      </c>
      <c r="L460" t="str" cm="1">
        <f t="array" ref="L460">_xlfn.IFS(calls[[#This Row],[Duration]]&lt;=10,"under 10 mins",calls[[#This Row],[Duration]]&lt;=30,"10 to 30mins",calls[[#This Row],[Duration]]&lt;=60,"60 to 30mins",calls[[#This Row],[Duration]]&lt;=120,"1 to 2hrs",TRUE,"More than 2 hrs")</f>
        <v>1 to 2hrs</v>
      </c>
      <c r="M460">
        <f>ROUND(calls[[#This Row],[Satisfaction Rating]],0)</f>
        <v>4</v>
      </c>
      <c r="N460">
        <f>COUNTIF(calls[Customer ID], calls[[#This Row],[Customer ID]])</f>
        <v>59</v>
      </c>
      <c r="O460">
        <f>SUMIF(calls[Customer ID], calls[[#This Row],[Customer ID]], calls[Purchase Amount])</f>
        <v>6518</v>
      </c>
      <c r="P460">
        <f>calls[[#This Row],[call count]]/calls[[#This Row],[Purchase Amount]]</f>
        <v>0.67816091954022983</v>
      </c>
      <c r="Q460">
        <f>COUNTIF(calls[Customer ID],calls[[#This Row],[Customer ID]])</f>
        <v>59</v>
      </c>
      <c r="R460">
        <f>calls[[#This Row],[call count]]/calls[[#This Row],[Purchase Amount]]</f>
        <v>0.67816091954022983</v>
      </c>
    </row>
    <row r="461" spans="1:18" x14ac:dyDescent="0.4">
      <c r="A461" t="s">
        <v>491</v>
      </c>
      <c r="B461" t="s">
        <v>40</v>
      </c>
      <c r="C461">
        <v>25</v>
      </c>
      <c r="D461" s="4" t="s">
        <v>14</v>
      </c>
      <c r="E461" s="5">
        <v>45054</v>
      </c>
      <c r="F461">
        <v>52</v>
      </c>
      <c r="G461">
        <f>AVERAGEIF(calls[Representative], calls[[#This Row],[Representative]], calls[Satisfaction Rating])</f>
        <v>3.9227513227513247</v>
      </c>
      <c r="H461" t="str">
        <f>IF(AVERAGEIF(calls[Representative],calls[[#This Row],[Representative]],calls[Satisfaction Rating])&lt;3.5,"Needs Training","OK")</f>
        <v>OK</v>
      </c>
      <c r="I461">
        <v>3.8</v>
      </c>
      <c r="J461">
        <f>IF(MONTH(calls[[#This Row],[Date of Call]])&lt;=6, YEAR(calls[[#This Row],[Date of Call]]), YEAR(calls[[#This Row],[Date of Call]])+1)</f>
        <v>2023</v>
      </c>
      <c r="K461" t="str">
        <f>TEXT(calls[[#This Row],[Date of Call]],"DDDD")</f>
        <v>Monday</v>
      </c>
      <c r="L461" t="str" cm="1">
        <f t="array" ref="L461">_xlfn.IFS(calls[[#This Row],[Duration]]&lt;=10,"under 10 mins",calls[[#This Row],[Duration]]&lt;=30,"10 to 30mins",calls[[#This Row],[Duration]]&lt;=60,"60 to 30mins",calls[[#This Row],[Duration]]&lt;=120,"1 to 2hrs",TRUE,"More than 2 hrs")</f>
        <v>10 to 30mins</v>
      </c>
      <c r="M461">
        <f>ROUND(calls[[#This Row],[Satisfaction Rating]],0)</f>
        <v>4</v>
      </c>
      <c r="N461">
        <f>COUNTIF(calls[Customer ID], calls[[#This Row],[Customer ID]])</f>
        <v>69</v>
      </c>
      <c r="O461">
        <f>SUMIF(calls[Customer ID], calls[[#This Row],[Customer ID]], calls[Purchase Amount])</f>
        <v>6601</v>
      </c>
      <c r="P461">
        <f>calls[[#This Row],[call count]]/calls[[#This Row],[Purchase Amount]]</f>
        <v>1.3269230769230769</v>
      </c>
      <c r="Q461">
        <f>COUNTIF(calls[Customer ID],calls[[#This Row],[Customer ID]])</f>
        <v>69</v>
      </c>
      <c r="R461">
        <f>calls[[#This Row],[call count]]/calls[[#This Row],[Purchase Amount]]</f>
        <v>1.3269230769230769</v>
      </c>
    </row>
    <row r="462" spans="1:18" x14ac:dyDescent="0.4">
      <c r="A462" t="s">
        <v>492</v>
      </c>
      <c r="B462" t="s">
        <v>13</v>
      </c>
      <c r="C462">
        <v>44</v>
      </c>
      <c r="D462" s="4" t="s">
        <v>27</v>
      </c>
      <c r="E462" s="5">
        <v>45054</v>
      </c>
      <c r="F462">
        <v>63</v>
      </c>
      <c r="G462">
        <f>AVERAGEIF(calls[Representative], calls[[#This Row],[Representative]], calls[Satisfaction Rating])</f>
        <v>3.8589371980676304</v>
      </c>
      <c r="H462" t="str">
        <f>IF(AVERAGEIF(calls[Representative],calls[[#This Row],[Representative]],calls[Satisfaction Rating])&lt;3.5,"Needs Training","OK")</f>
        <v>OK</v>
      </c>
      <c r="I462">
        <v>3.5</v>
      </c>
      <c r="J462">
        <f>IF(MONTH(calls[[#This Row],[Date of Call]])&lt;=6, YEAR(calls[[#This Row],[Date of Call]]), YEAR(calls[[#This Row],[Date of Call]])+1)</f>
        <v>2023</v>
      </c>
      <c r="K462" t="str">
        <f>TEXT(calls[[#This Row],[Date of Call]],"DDDD")</f>
        <v>Monday</v>
      </c>
      <c r="L462" t="str" cm="1">
        <f t="array" ref="L462">_xlfn.IFS(calls[[#This Row],[Duration]]&lt;=10,"under 10 mins",calls[[#This Row],[Duration]]&lt;=30,"10 to 30mins",calls[[#This Row],[Duration]]&lt;=60,"60 to 30mins",calls[[#This Row],[Duration]]&lt;=120,"1 to 2hrs",TRUE,"More than 2 hrs")</f>
        <v>60 to 30mins</v>
      </c>
      <c r="M462">
        <f>ROUND(calls[[#This Row],[Satisfaction Rating]],0)</f>
        <v>4</v>
      </c>
      <c r="N462">
        <f>COUNTIF(calls[Customer ID], calls[[#This Row],[Customer ID]])</f>
        <v>74</v>
      </c>
      <c r="O462">
        <f>SUMIF(calls[Customer ID], calls[[#This Row],[Customer ID]], calls[Purchase Amount])</f>
        <v>6749</v>
      </c>
      <c r="P462">
        <f>calls[[#This Row],[call count]]/calls[[#This Row],[Purchase Amount]]</f>
        <v>1.1746031746031746</v>
      </c>
      <c r="Q462">
        <f>COUNTIF(calls[Customer ID],calls[[#This Row],[Customer ID]])</f>
        <v>74</v>
      </c>
      <c r="R462">
        <f>calls[[#This Row],[call count]]/calls[[#This Row],[Purchase Amount]]</f>
        <v>1.1746031746031746</v>
      </c>
    </row>
    <row r="463" spans="1:18" x14ac:dyDescent="0.4">
      <c r="A463" t="s">
        <v>493</v>
      </c>
      <c r="B463" t="s">
        <v>44</v>
      </c>
      <c r="C463">
        <v>34</v>
      </c>
      <c r="D463" s="4" t="s">
        <v>9</v>
      </c>
      <c r="E463" s="5">
        <v>45055</v>
      </c>
      <c r="F463">
        <v>195</v>
      </c>
      <c r="G463">
        <f>AVERAGEIF(calls[Representative], calls[[#This Row],[Representative]], calls[Satisfaction Rating])</f>
        <v>3.8706422018348627</v>
      </c>
      <c r="H463" t="str">
        <f>IF(AVERAGEIF(calls[Representative],calls[[#This Row],[Representative]],calls[Satisfaction Rating])&lt;3.5,"Needs Training","OK")</f>
        <v>OK</v>
      </c>
      <c r="I463">
        <v>4.8</v>
      </c>
      <c r="J463">
        <f>IF(MONTH(calls[[#This Row],[Date of Call]])&lt;=6, YEAR(calls[[#This Row],[Date of Call]]), YEAR(calls[[#This Row],[Date of Call]])+1)</f>
        <v>2023</v>
      </c>
      <c r="K463" t="str">
        <f>TEXT(calls[[#This Row],[Date of Call]],"DDDD")</f>
        <v>Tuesday</v>
      </c>
      <c r="L463" t="str" cm="1">
        <f t="array" ref="L463">_xlfn.IFS(calls[[#This Row],[Duration]]&lt;=10,"under 10 mins",calls[[#This Row],[Duration]]&lt;=30,"10 to 30mins",calls[[#This Row],[Duration]]&lt;=60,"60 to 30mins",calls[[#This Row],[Duration]]&lt;=120,"1 to 2hrs",TRUE,"More than 2 hrs")</f>
        <v>60 to 30mins</v>
      </c>
      <c r="M463">
        <f>ROUND(calls[[#This Row],[Satisfaction Rating]],0)</f>
        <v>5</v>
      </c>
      <c r="N463">
        <f>COUNTIF(calls[Customer ID], calls[[#This Row],[Customer ID]])</f>
        <v>62</v>
      </c>
      <c r="O463">
        <f>SUMIF(calls[Customer ID], calls[[#This Row],[Customer ID]], calls[Purchase Amount])</f>
        <v>6176</v>
      </c>
      <c r="P463">
        <f>calls[[#This Row],[call count]]/calls[[#This Row],[Purchase Amount]]</f>
        <v>0.31794871794871793</v>
      </c>
      <c r="Q463">
        <f>COUNTIF(calls[Customer ID],calls[[#This Row],[Customer ID]])</f>
        <v>62</v>
      </c>
      <c r="R463">
        <f>calls[[#This Row],[call count]]/calls[[#This Row],[Purchase Amount]]</f>
        <v>0.31794871794871793</v>
      </c>
    </row>
    <row r="464" spans="1:18" x14ac:dyDescent="0.4">
      <c r="A464" t="s">
        <v>494</v>
      </c>
      <c r="B464" t="s">
        <v>84</v>
      </c>
      <c r="C464">
        <v>89</v>
      </c>
      <c r="D464" s="4" t="s">
        <v>23</v>
      </c>
      <c r="E464" s="5">
        <v>45056</v>
      </c>
      <c r="F464">
        <v>176</v>
      </c>
      <c r="G464">
        <f>AVERAGEIF(calls[Representative], calls[[#This Row],[Representative]], calls[Satisfaction Rating])</f>
        <v>3.8973118279569863</v>
      </c>
      <c r="H464" t="str">
        <f>IF(AVERAGEIF(calls[Representative],calls[[#This Row],[Representative]],calls[Satisfaction Rating])&lt;3.5,"Needs Training","OK")</f>
        <v>OK</v>
      </c>
      <c r="I464">
        <v>4.5</v>
      </c>
      <c r="J464">
        <f>IF(MONTH(calls[[#This Row],[Date of Call]])&lt;=6, YEAR(calls[[#This Row],[Date of Call]]), YEAR(calls[[#This Row],[Date of Call]])+1)</f>
        <v>2023</v>
      </c>
      <c r="K464" t="str">
        <f>TEXT(calls[[#This Row],[Date of Call]],"DDDD")</f>
        <v>Wednesday</v>
      </c>
      <c r="L464" t="str" cm="1">
        <f t="array" ref="L464">_xlfn.IFS(calls[[#This Row],[Duration]]&lt;=10,"under 10 mins",calls[[#This Row],[Duration]]&lt;=30,"10 to 30mins",calls[[#This Row],[Duration]]&lt;=60,"60 to 30mins",calls[[#This Row],[Duration]]&lt;=120,"1 to 2hrs",TRUE,"More than 2 hrs")</f>
        <v>1 to 2hrs</v>
      </c>
      <c r="M464">
        <f>ROUND(calls[[#This Row],[Satisfaction Rating]],0)</f>
        <v>5</v>
      </c>
      <c r="N464">
        <f>COUNTIF(calls[Customer ID], calls[[#This Row],[Customer ID]])</f>
        <v>59</v>
      </c>
      <c r="O464">
        <f>SUMIF(calls[Customer ID], calls[[#This Row],[Customer ID]], calls[Purchase Amount])</f>
        <v>5009</v>
      </c>
      <c r="P464">
        <f>calls[[#This Row],[call count]]/calls[[#This Row],[Purchase Amount]]</f>
        <v>0.33522727272727271</v>
      </c>
      <c r="Q464">
        <f>COUNTIF(calls[Customer ID],calls[[#This Row],[Customer ID]])</f>
        <v>59</v>
      </c>
      <c r="R464">
        <f>calls[[#This Row],[call count]]/calls[[#This Row],[Purchase Amount]]</f>
        <v>0.33522727272727271</v>
      </c>
    </row>
    <row r="465" spans="1:18" x14ac:dyDescent="0.4">
      <c r="A465" t="s">
        <v>495</v>
      </c>
      <c r="B465" t="s">
        <v>26</v>
      </c>
      <c r="C465">
        <v>54</v>
      </c>
      <c r="D465" s="4" t="s">
        <v>14</v>
      </c>
      <c r="E465" s="5">
        <v>45057</v>
      </c>
      <c r="F465">
        <v>31</v>
      </c>
      <c r="G465">
        <f>AVERAGEIF(calls[Representative], calls[[#This Row],[Representative]], calls[Satisfaction Rating])</f>
        <v>3.9227513227513247</v>
      </c>
      <c r="H465" t="str">
        <f>IF(AVERAGEIF(calls[Representative],calls[[#This Row],[Representative]],calls[Satisfaction Rating])&lt;3.5,"Needs Training","OK")</f>
        <v>OK</v>
      </c>
      <c r="I465">
        <v>3.3</v>
      </c>
      <c r="J465">
        <f>IF(MONTH(calls[[#This Row],[Date of Call]])&lt;=6, YEAR(calls[[#This Row],[Date of Call]]), YEAR(calls[[#This Row],[Date of Call]])+1)</f>
        <v>2023</v>
      </c>
      <c r="K465" t="str">
        <f>TEXT(calls[[#This Row],[Date of Call]],"DDDD")</f>
        <v>Thursday</v>
      </c>
      <c r="L465" t="str" cm="1">
        <f t="array" ref="L465">_xlfn.IFS(calls[[#This Row],[Duration]]&lt;=10,"under 10 mins",calls[[#This Row],[Duration]]&lt;=30,"10 to 30mins",calls[[#This Row],[Duration]]&lt;=60,"60 to 30mins",calls[[#This Row],[Duration]]&lt;=120,"1 to 2hrs",TRUE,"More than 2 hrs")</f>
        <v>60 to 30mins</v>
      </c>
      <c r="M465">
        <f>ROUND(calls[[#This Row],[Satisfaction Rating]],0)</f>
        <v>3</v>
      </c>
      <c r="N465">
        <f>COUNTIF(calls[Customer ID], calls[[#This Row],[Customer ID]])</f>
        <v>72</v>
      </c>
      <c r="O465">
        <f>SUMIF(calls[Customer ID], calls[[#This Row],[Customer ID]], calls[Purchase Amount])</f>
        <v>6242</v>
      </c>
      <c r="P465">
        <f>calls[[#This Row],[call count]]/calls[[#This Row],[Purchase Amount]]</f>
        <v>2.3225806451612905</v>
      </c>
      <c r="Q465">
        <f>COUNTIF(calls[Customer ID],calls[[#This Row],[Customer ID]])</f>
        <v>72</v>
      </c>
      <c r="R465">
        <f>calls[[#This Row],[call count]]/calls[[#This Row],[Purchase Amount]]</f>
        <v>2.3225806451612905</v>
      </c>
    </row>
    <row r="466" spans="1:18" x14ac:dyDescent="0.4">
      <c r="A466" t="s">
        <v>496</v>
      </c>
      <c r="B466" t="s">
        <v>8</v>
      </c>
      <c r="C466">
        <v>25</v>
      </c>
      <c r="D466" s="4" t="s">
        <v>14</v>
      </c>
      <c r="E466" s="5">
        <v>45058</v>
      </c>
      <c r="F466">
        <v>27</v>
      </c>
      <c r="G466">
        <f>AVERAGEIF(calls[Representative], calls[[#This Row],[Representative]], calls[Satisfaction Rating])</f>
        <v>3.9227513227513247</v>
      </c>
      <c r="H466" t="str">
        <f>IF(AVERAGEIF(calls[Representative],calls[[#This Row],[Representative]],calls[Satisfaction Rating])&lt;3.5,"Needs Training","OK")</f>
        <v>OK</v>
      </c>
      <c r="I466">
        <v>3.2</v>
      </c>
      <c r="J466">
        <f>IF(MONTH(calls[[#This Row],[Date of Call]])&lt;=6, YEAR(calls[[#This Row],[Date of Call]]), YEAR(calls[[#This Row],[Date of Call]])+1)</f>
        <v>2023</v>
      </c>
      <c r="K466" t="str">
        <f>TEXT(calls[[#This Row],[Date of Call]],"DDDD")</f>
        <v>Friday</v>
      </c>
      <c r="L466" t="str" cm="1">
        <f t="array" ref="L466">_xlfn.IFS(calls[[#This Row],[Duration]]&lt;=10,"under 10 mins",calls[[#This Row],[Duration]]&lt;=30,"10 to 30mins",calls[[#This Row],[Duration]]&lt;=60,"60 to 30mins",calls[[#This Row],[Duration]]&lt;=120,"1 to 2hrs",TRUE,"More than 2 hrs")</f>
        <v>10 to 30mins</v>
      </c>
      <c r="M466">
        <f>ROUND(calls[[#This Row],[Satisfaction Rating]],0)</f>
        <v>3</v>
      </c>
      <c r="N466">
        <f>COUNTIF(calls[Customer ID], calls[[#This Row],[Customer ID]])</f>
        <v>79</v>
      </c>
      <c r="O466">
        <f>SUMIF(calls[Customer ID], calls[[#This Row],[Customer ID]], calls[Purchase Amount])</f>
        <v>7747</v>
      </c>
      <c r="P466">
        <f>calls[[#This Row],[call count]]/calls[[#This Row],[Purchase Amount]]</f>
        <v>2.925925925925926</v>
      </c>
      <c r="Q466">
        <f>COUNTIF(calls[Customer ID],calls[[#This Row],[Customer ID]])</f>
        <v>79</v>
      </c>
      <c r="R466">
        <f>calls[[#This Row],[call count]]/calls[[#This Row],[Purchase Amount]]</f>
        <v>2.925925925925926</v>
      </c>
    </row>
    <row r="467" spans="1:18" x14ac:dyDescent="0.4">
      <c r="A467" t="s">
        <v>497</v>
      </c>
      <c r="B467" t="s">
        <v>30</v>
      </c>
      <c r="C467">
        <v>91</v>
      </c>
      <c r="D467" s="4" t="s">
        <v>23</v>
      </c>
      <c r="E467" s="5">
        <v>45058</v>
      </c>
      <c r="F467">
        <v>76</v>
      </c>
      <c r="G467">
        <f>AVERAGEIF(calls[Representative], calls[[#This Row],[Representative]], calls[Satisfaction Rating])</f>
        <v>3.8973118279569863</v>
      </c>
      <c r="H467" t="str">
        <f>IF(AVERAGEIF(calls[Representative],calls[[#This Row],[Representative]],calls[Satisfaction Rating])&lt;3.5,"Needs Training","OK")</f>
        <v>OK</v>
      </c>
      <c r="I467">
        <v>4.9000000000000004</v>
      </c>
      <c r="J467">
        <f>IF(MONTH(calls[[#This Row],[Date of Call]])&lt;=6, YEAR(calls[[#This Row],[Date of Call]]), YEAR(calls[[#This Row],[Date of Call]])+1)</f>
        <v>2023</v>
      </c>
      <c r="K467" t="str">
        <f>TEXT(calls[[#This Row],[Date of Call]],"DDDD")</f>
        <v>Friday</v>
      </c>
      <c r="L467" t="str" cm="1">
        <f t="array" ref="L467">_xlfn.IFS(calls[[#This Row],[Duration]]&lt;=10,"under 10 mins",calls[[#This Row],[Duration]]&lt;=30,"10 to 30mins",calls[[#This Row],[Duration]]&lt;=60,"60 to 30mins",calls[[#This Row],[Duration]]&lt;=120,"1 to 2hrs",TRUE,"More than 2 hrs")</f>
        <v>1 to 2hrs</v>
      </c>
      <c r="M467">
        <f>ROUND(calls[[#This Row],[Satisfaction Rating]],0)</f>
        <v>5</v>
      </c>
      <c r="N467">
        <f>COUNTIF(calls[Customer ID], calls[[#This Row],[Customer ID]])</f>
        <v>69</v>
      </c>
      <c r="O467">
        <f>SUMIF(calls[Customer ID], calls[[#This Row],[Customer ID]], calls[Purchase Amount])</f>
        <v>7230</v>
      </c>
      <c r="P467">
        <f>calls[[#This Row],[call count]]/calls[[#This Row],[Purchase Amount]]</f>
        <v>0.90789473684210531</v>
      </c>
      <c r="Q467">
        <f>COUNTIF(calls[Customer ID],calls[[#This Row],[Customer ID]])</f>
        <v>69</v>
      </c>
      <c r="R467">
        <f>calls[[#This Row],[call count]]/calls[[#This Row],[Purchase Amount]]</f>
        <v>0.90789473684210531</v>
      </c>
    </row>
    <row r="468" spans="1:18" x14ac:dyDescent="0.4">
      <c r="A468" t="s">
        <v>498</v>
      </c>
      <c r="B468" t="s">
        <v>13</v>
      </c>
      <c r="C468">
        <v>144</v>
      </c>
      <c r="D468" s="4" t="s">
        <v>27</v>
      </c>
      <c r="E468" s="5">
        <v>45058</v>
      </c>
      <c r="F468">
        <v>62</v>
      </c>
      <c r="G468">
        <f>AVERAGEIF(calls[Representative], calls[[#This Row],[Representative]], calls[Satisfaction Rating])</f>
        <v>3.8589371980676304</v>
      </c>
      <c r="H468" t="str">
        <f>IF(AVERAGEIF(calls[Representative],calls[[#This Row],[Representative]],calls[Satisfaction Rating])&lt;3.5,"Needs Training","OK")</f>
        <v>OK</v>
      </c>
      <c r="I468">
        <v>4.8</v>
      </c>
      <c r="J468">
        <f>IF(MONTH(calls[[#This Row],[Date of Call]])&lt;=6, YEAR(calls[[#This Row],[Date of Call]]), YEAR(calls[[#This Row],[Date of Call]])+1)</f>
        <v>2023</v>
      </c>
      <c r="K468" t="str">
        <f>TEXT(calls[[#This Row],[Date of Call]],"DDDD")</f>
        <v>Friday</v>
      </c>
      <c r="L468" t="str" cm="1">
        <f t="array" ref="L468">_xlfn.IFS(calls[[#This Row],[Duration]]&lt;=10,"under 10 mins",calls[[#This Row],[Duration]]&lt;=30,"10 to 30mins",calls[[#This Row],[Duration]]&lt;=60,"60 to 30mins",calls[[#This Row],[Duration]]&lt;=120,"1 to 2hrs",TRUE,"More than 2 hrs")</f>
        <v>More than 2 hrs</v>
      </c>
      <c r="M468">
        <f>ROUND(calls[[#This Row],[Satisfaction Rating]],0)</f>
        <v>5</v>
      </c>
      <c r="N468">
        <f>COUNTIF(calls[Customer ID], calls[[#This Row],[Customer ID]])</f>
        <v>74</v>
      </c>
      <c r="O468">
        <f>SUMIF(calls[Customer ID], calls[[#This Row],[Customer ID]], calls[Purchase Amount])</f>
        <v>6749</v>
      </c>
      <c r="P468">
        <f>calls[[#This Row],[call count]]/calls[[#This Row],[Purchase Amount]]</f>
        <v>1.1935483870967742</v>
      </c>
      <c r="Q468">
        <f>COUNTIF(calls[Customer ID],calls[[#This Row],[Customer ID]])</f>
        <v>74</v>
      </c>
      <c r="R468">
        <f>calls[[#This Row],[call count]]/calls[[#This Row],[Purchase Amount]]</f>
        <v>1.1935483870967742</v>
      </c>
    </row>
    <row r="469" spans="1:18" x14ac:dyDescent="0.4">
      <c r="A469" t="s">
        <v>499</v>
      </c>
      <c r="B469" t="s">
        <v>30</v>
      </c>
      <c r="C469">
        <v>81</v>
      </c>
      <c r="D469" s="4" t="s">
        <v>9</v>
      </c>
      <c r="E469" s="5">
        <v>45060</v>
      </c>
      <c r="F469">
        <v>100</v>
      </c>
      <c r="G469">
        <f>AVERAGEIF(calls[Representative], calls[[#This Row],[Representative]], calls[Satisfaction Rating])</f>
        <v>3.8706422018348627</v>
      </c>
      <c r="H469" t="str">
        <f>IF(AVERAGEIF(calls[Representative],calls[[#This Row],[Representative]],calls[Satisfaction Rating])&lt;3.5,"Needs Training","OK")</f>
        <v>OK</v>
      </c>
      <c r="I469">
        <v>1.3</v>
      </c>
      <c r="J469">
        <f>IF(MONTH(calls[[#This Row],[Date of Call]])&lt;=6, YEAR(calls[[#This Row],[Date of Call]]), YEAR(calls[[#This Row],[Date of Call]])+1)</f>
        <v>2023</v>
      </c>
      <c r="K469" t="str">
        <f>TEXT(calls[[#This Row],[Date of Call]],"DDDD")</f>
        <v>Sunday</v>
      </c>
      <c r="L469" t="str" cm="1">
        <f t="array" ref="L469">_xlfn.IFS(calls[[#This Row],[Duration]]&lt;=10,"under 10 mins",calls[[#This Row],[Duration]]&lt;=30,"10 to 30mins",calls[[#This Row],[Duration]]&lt;=60,"60 to 30mins",calls[[#This Row],[Duration]]&lt;=120,"1 to 2hrs",TRUE,"More than 2 hrs")</f>
        <v>1 to 2hrs</v>
      </c>
      <c r="M469">
        <f>ROUND(calls[[#This Row],[Satisfaction Rating]],0)</f>
        <v>1</v>
      </c>
      <c r="N469">
        <f>COUNTIF(calls[Customer ID], calls[[#This Row],[Customer ID]])</f>
        <v>69</v>
      </c>
      <c r="O469">
        <f>SUMIF(calls[Customer ID], calls[[#This Row],[Customer ID]], calls[Purchase Amount])</f>
        <v>7230</v>
      </c>
      <c r="P469">
        <f>calls[[#This Row],[call count]]/calls[[#This Row],[Purchase Amount]]</f>
        <v>0.69</v>
      </c>
      <c r="Q469">
        <f>COUNTIF(calls[Customer ID],calls[[#This Row],[Customer ID]])</f>
        <v>69</v>
      </c>
      <c r="R469">
        <f>calls[[#This Row],[call count]]/calls[[#This Row],[Purchase Amount]]</f>
        <v>0.69</v>
      </c>
    </row>
    <row r="470" spans="1:18" x14ac:dyDescent="0.4">
      <c r="A470" t="s">
        <v>500</v>
      </c>
      <c r="B470" t="s">
        <v>64</v>
      </c>
      <c r="C470">
        <v>92</v>
      </c>
      <c r="D470" s="4" t="s">
        <v>14</v>
      </c>
      <c r="E470" s="5">
        <v>45060</v>
      </c>
      <c r="F470">
        <v>44</v>
      </c>
      <c r="G470">
        <f>AVERAGEIF(calls[Representative], calls[[#This Row],[Representative]], calls[Satisfaction Rating])</f>
        <v>3.9227513227513247</v>
      </c>
      <c r="H470" t="str">
        <f>IF(AVERAGEIF(calls[Representative],calls[[#This Row],[Representative]],calls[Satisfaction Rating])&lt;3.5,"Needs Training","OK")</f>
        <v>OK</v>
      </c>
      <c r="I470">
        <v>3.1</v>
      </c>
      <c r="J470">
        <f>IF(MONTH(calls[[#This Row],[Date of Call]])&lt;=6, YEAR(calls[[#This Row],[Date of Call]]), YEAR(calls[[#This Row],[Date of Call]])+1)</f>
        <v>2023</v>
      </c>
      <c r="K470" t="str">
        <f>TEXT(calls[[#This Row],[Date of Call]],"DDDD")</f>
        <v>Sunday</v>
      </c>
      <c r="L470" t="str" cm="1">
        <f t="array" ref="L470">_xlfn.IFS(calls[[#This Row],[Duration]]&lt;=10,"under 10 mins",calls[[#This Row],[Duration]]&lt;=30,"10 to 30mins",calls[[#This Row],[Duration]]&lt;=60,"60 to 30mins",calls[[#This Row],[Duration]]&lt;=120,"1 to 2hrs",TRUE,"More than 2 hrs")</f>
        <v>1 to 2hrs</v>
      </c>
      <c r="M470">
        <f>ROUND(calls[[#This Row],[Satisfaction Rating]],0)</f>
        <v>3</v>
      </c>
      <c r="N470">
        <f>COUNTIF(calls[Customer ID], calls[[#This Row],[Customer ID]])</f>
        <v>65</v>
      </c>
      <c r="O470">
        <f>SUMIF(calls[Customer ID], calls[[#This Row],[Customer ID]], calls[Purchase Amount])</f>
        <v>6785</v>
      </c>
      <c r="P470">
        <f>calls[[#This Row],[call count]]/calls[[#This Row],[Purchase Amount]]</f>
        <v>1.4772727272727273</v>
      </c>
      <c r="Q470">
        <f>COUNTIF(calls[Customer ID],calls[[#This Row],[Customer ID]])</f>
        <v>65</v>
      </c>
      <c r="R470">
        <f>calls[[#This Row],[call count]]/calls[[#This Row],[Purchase Amount]]</f>
        <v>1.4772727272727273</v>
      </c>
    </row>
    <row r="471" spans="1:18" x14ac:dyDescent="0.4">
      <c r="A471" t="s">
        <v>501</v>
      </c>
      <c r="B471" t="s">
        <v>8</v>
      </c>
      <c r="C471">
        <v>115</v>
      </c>
      <c r="D471" s="4" t="s">
        <v>23</v>
      </c>
      <c r="E471" s="5">
        <v>45060</v>
      </c>
      <c r="F471">
        <v>168</v>
      </c>
      <c r="G471">
        <f>AVERAGEIF(calls[Representative], calls[[#This Row],[Representative]], calls[Satisfaction Rating])</f>
        <v>3.8973118279569863</v>
      </c>
      <c r="H471" t="str">
        <f>IF(AVERAGEIF(calls[Representative],calls[[#This Row],[Representative]],calls[Satisfaction Rating])&lt;3.5,"Needs Training","OK")</f>
        <v>OK</v>
      </c>
      <c r="I471">
        <v>3.4</v>
      </c>
      <c r="J471">
        <f>IF(MONTH(calls[[#This Row],[Date of Call]])&lt;=6, YEAR(calls[[#This Row],[Date of Call]]), YEAR(calls[[#This Row],[Date of Call]])+1)</f>
        <v>2023</v>
      </c>
      <c r="K471" t="str">
        <f>TEXT(calls[[#This Row],[Date of Call]],"DDDD")</f>
        <v>Sunday</v>
      </c>
      <c r="L471" t="str" cm="1">
        <f t="array" ref="L471">_xlfn.IFS(calls[[#This Row],[Duration]]&lt;=10,"under 10 mins",calls[[#This Row],[Duration]]&lt;=30,"10 to 30mins",calls[[#This Row],[Duration]]&lt;=60,"60 to 30mins",calls[[#This Row],[Duration]]&lt;=120,"1 to 2hrs",TRUE,"More than 2 hrs")</f>
        <v>1 to 2hrs</v>
      </c>
      <c r="M471">
        <f>ROUND(calls[[#This Row],[Satisfaction Rating]],0)</f>
        <v>3</v>
      </c>
      <c r="N471">
        <f>COUNTIF(calls[Customer ID], calls[[#This Row],[Customer ID]])</f>
        <v>79</v>
      </c>
      <c r="O471">
        <f>SUMIF(calls[Customer ID], calls[[#This Row],[Customer ID]], calls[Purchase Amount])</f>
        <v>7747</v>
      </c>
      <c r="P471">
        <f>calls[[#This Row],[call count]]/calls[[#This Row],[Purchase Amount]]</f>
        <v>0.47023809523809523</v>
      </c>
      <c r="Q471">
        <f>COUNTIF(calls[Customer ID],calls[[#This Row],[Customer ID]])</f>
        <v>79</v>
      </c>
      <c r="R471">
        <f>calls[[#This Row],[call count]]/calls[[#This Row],[Purchase Amount]]</f>
        <v>0.47023809523809523</v>
      </c>
    </row>
    <row r="472" spans="1:18" x14ac:dyDescent="0.4">
      <c r="A472" t="s">
        <v>502</v>
      </c>
      <c r="B472" t="s">
        <v>21</v>
      </c>
      <c r="C472">
        <v>56</v>
      </c>
      <c r="D472" s="4" t="s">
        <v>23</v>
      </c>
      <c r="E472" s="5">
        <v>45061</v>
      </c>
      <c r="F472">
        <v>200</v>
      </c>
      <c r="G472">
        <f>AVERAGEIF(calls[Representative], calls[[#This Row],[Representative]], calls[Satisfaction Rating])</f>
        <v>3.8973118279569863</v>
      </c>
      <c r="H472" t="str">
        <f>IF(AVERAGEIF(calls[Representative],calls[[#This Row],[Representative]],calls[Satisfaction Rating])&lt;3.5,"Needs Training","OK")</f>
        <v>OK</v>
      </c>
      <c r="I472">
        <v>4.5999999999999996</v>
      </c>
      <c r="J472">
        <f>IF(MONTH(calls[[#This Row],[Date of Call]])&lt;=6, YEAR(calls[[#This Row],[Date of Call]]), YEAR(calls[[#This Row],[Date of Call]])+1)</f>
        <v>2023</v>
      </c>
      <c r="K472" t="str">
        <f>TEXT(calls[[#This Row],[Date of Call]],"DDDD")</f>
        <v>Monday</v>
      </c>
      <c r="L472" t="str" cm="1">
        <f t="array" ref="L472">_xlfn.IFS(calls[[#This Row],[Duration]]&lt;=10,"under 10 mins",calls[[#This Row],[Duration]]&lt;=30,"10 to 30mins",calls[[#This Row],[Duration]]&lt;=60,"60 to 30mins",calls[[#This Row],[Duration]]&lt;=120,"1 to 2hrs",TRUE,"More than 2 hrs")</f>
        <v>60 to 30mins</v>
      </c>
      <c r="M472">
        <f>ROUND(calls[[#This Row],[Satisfaction Rating]],0)</f>
        <v>5</v>
      </c>
      <c r="N472">
        <f>COUNTIF(calls[Customer ID], calls[[#This Row],[Customer ID]])</f>
        <v>67</v>
      </c>
      <c r="O472">
        <f>SUMIF(calls[Customer ID], calls[[#This Row],[Customer ID]], calls[Purchase Amount])</f>
        <v>7216</v>
      </c>
      <c r="P472">
        <f>calls[[#This Row],[call count]]/calls[[#This Row],[Purchase Amount]]</f>
        <v>0.33500000000000002</v>
      </c>
      <c r="Q472">
        <f>COUNTIF(calls[Customer ID],calls[[#This Row],[Customer ID]])</f>
        <v>67</v>
      </c>
      <c r="R472">
        <f>calls[[#This Row],[call count]]/calls[[#This Row],[Purchase Amount]]</f>
        <v>0.33500000000000002</v>
      </c>
    </row>
    <row r="473" spans="1:18" x14ac:dyDescent="0.4">
      <c r="A473" t="s">
        <v>503</v>
      </c>
      <c r="B473" t="s">
        <v>6</v>
      </c>
      <c r="C473">
        <v>154</v>
      </c>
      <c r="D473" s="4" t="s">
        <v>14</v>
      </c>
      <c r="E473" s="5">
        <v>45061</v>
      </c>
      <c r="F473">
        <v>84</v>
      </c>
      <c r="G473">
        <f>AVERAGEIF(calls[Representative], calls[[#This Row],[Representative]], calls[Satisfaction Rating])</f>
        <v>3.9227513227513247</v>
      </c>
      <c r="H473" t="str">
        <f>IF(AVERAGEIF(calls[Representative],calls[[#This Row],[Representative]],calls[Satisfaction Rating])&lt;3.5,"Needs Training","OK")</f>
        <v>OK</v>
      </c>
      <c r="I473">
        <v>4.3</v>
      </c>
      <c r="J473">
        <f>IF(MONTH(calls[[#This Row],[Date of Call]])&lt;=6, YEAR(calls[[#This Row],[Date of Call]]), YEAR(calls[[#This Row],[Date of Call]])+1)</f>
        <v>2023</v>
      </c>
      <c r="K473" t="str">
        <f>TEXT(calls[[#This Row],[Date of Call]],"DDDD")</f>
        <v>Monday</v>
      </c>
      <c r="L473" t="str" cm="1">
        <f t="array" ref="L473">_xlfn.IFS(calls[[#This Row],[Duration]]&lt;=10,"under 10 mins",calls[[#This Row],[Duration]]&lt;=30,"10 to 30mins",calls[[#This Row],[Duration]]&lt;=60,"60 to 30mins",calls[[#This Row],[Duration]]&lt;=120,"1 to 2hrs",TRUE,"More than 2 hrs")</f>
        <v>More than 2 hrs</v>
      </c>
      <c r="M473">
        <f>ROUND(calls[[#This Row],[Satisfaction Rating]],0)</f>
        <v>4</v>
      </c>
      <c r="N473">
        <f>COUNTIF(calls[Customer ID], calls[[#This Row],[Customer ID]])</f>
        <v>82</v>
      </c>
      <c r="O473">
        <f>SUMIF(calls[Customer ID], calls[[#This Row],[Customer ID]], calls[Purchase Amount])</f>
        <v>7689</v>
      </c>
      <c r="P473">
        <f>calls[[#This Row],[call count]]/calls[[#This Row],[Purchase Amount]]</f>
        <v>0.97619047619047616</v>
      </c>
      <c r="Q473">
        <f>COUNTIF(calls[Customer ID],calls[[#This Row],[Customer ID]])</f>
        <v>82</v>
      </c>
      <c r="R473">
        <f>calls[[#This Row],[call count]]/calls[[#This Row],[Purchase Amount]]</f>
        <v>0.97619047619047616</v>
      </c>
    </row>
    <row r="474" spans="1:18" x14ac:dyDescent="0.4">
      <c r="A474" t="s">
        <v>504</v>
      </c>
      <c r="B474" t="s">
        <v>84</v>
      </c>
      <c r="C474">
        <v>51</v>
      </c>
      <c r="D474" s="4" t="s">
        <v>23</v>
      </c>
      <c r="E474" s="5">
        <v>45062</v>
      </c>
      <c r="F474">
        <v>117</v>
      </c>
      <c r="G474">
        <f>AVERAGEIF(calls[Representative], calls[[#This Row],[Representative]], calls[Satisfaction Rating])</f>
        <v>3.8973118279569863</v>
      </c>
      <c r="H474" t="str">
        <f>IF(AVERAGEIF(calls[Representative],calls[[#This Row],[Representative]],calls[Satisfaction Rating])&lt;3.5,"Needs Training","OK")</f>
        <v>OK</v>
      </c>
      <c r="I474">
        <v>2.7</v>
      </c>
      <c r="J474">
        <f>IF(MONTH(calls[[#This Row],[Date of Call]])&lt;=6, YEAR(calls[[#This Row],[Date of Call]]), YEAR(calls[[#This Row],[Date of Call]])+1)</f>
        <v>2023</v>
      </c>
      <c r="K474" t="str">
        <f>TEXT(calls[[#This Row],[Date of Call]],"DDDD")</f>
        <v>Tuesday</v>
      </c>
      <c r="L474" t="str" cm="1">
        <f t="array" ref="L474">_xlfn.IFS(calls[[#This Row],[Duration]]&lt;=10,"under 10 mins",calls[[#This Row],[Duration]]&lt;=30,"10 to 30mins",calls[[#This Row],[Duration]]&lt;=60,"60 to 30mins",calls[[#This Row],[Duration]]&lt;=120,"1 to 2hrs",TRUE,"More than 2 hrs")</f>
        <v>60 to 30mins</v>
      </c>
      <c r="M474">
        <f>ROUND(calls[[#This Row],[Satisfaction Rating]],0)</f>
        <v>3</v>
      </c>
      <c r="N474">
        <f>COUNTIF(calls[Customer ID], calls[[#This Row],[Customer ID]])</f>
        <v>59</v>
      </c>
      <c r="O474">
        <f>SUMIF(calls[Customer ID], calls[[#This Row],[Customer ID]], calls[Purchase Amount])</f>
        <v>5009</v>
      </c>
      <c r="P474">
        <f>calls[[#This Row],[call count]]/calls[[#This Row],[Purchase Amount]]</f>
        <v>0.50427350427350426</v>
      </c>
      <c r="Q474">
        <f>COUNTIF(calls[Customer ID],calls[[#This Row],[Customer ID]])</f>
        <v>59</v>
      </c>
      <c r="R474">
        <f>calls[[#This Row],[call count]]/calls[[#This Row],[Purchase Amount]]</f>
        <v>0.50427350427350426</v>
      </c>
    </row>
    <row r="475" spans="1:18" x14ac:dyDescent="0.4">
      <c r="A475" t="s">
        <v>505</v>
      </c>
      <c r="B475" t="s">
        <v>44</v>
      </c>
      <c r="C475">
        <v>21</v>
      </c>
      <c r="D475" s="4" t="s">
        <v>9</v>
      </c>
      <c r="E475" s="5">
        <v>45062</v>
      </c>
      <c r="F475">
        <v>63</v>
      </c>
      <c r="G475">
        <f>AVERAGEIF(calls[Representative], calls[[#This Row],[Representative]], calls[Satisfaction Rating])</f>
        <v>3.8706422018348627</v>
      </c>
      <c r="H475" t="str">
        <f>IF(AVERAGEIF(calls[Representative],calls[[#This Row],[Representative]],calls[Satisfaction Rating])&lt;3.5,"Needs Training","OK")</f>
        <v>OK</v>
      </c>
      <c r="I475">
        <v>4.2</v>
      </c>
      <c r="J475">
        <f>IF(MONTH(calls[[#This Row],[Date of Call]])&lt;=6, YEAR(calls[[#This Row],[Date of Call]]), YEAR(calls[[#This Row],[Date of Call]])+1)</f>
        <v>2023</v>
      </c>
      <c r="K475" t="str">
        <f>TEXT(calls[[#This Row],[Date of Call]],"DDDD")</f>
        <v>Tuesday</v>
      </c>
      <c r="L475" t="str" cm="1">
        <f t="array" ref="L475">_xlfn.IFS(calls[[#This Row],[Duration]]&lt;=10,"under 10 mins",calls[[#This Row],[Duration]]&lt;=30,"10 to 30mins",calls[[#This Row],[Duration]]&lt;=60,"60 to 30mins",calls[[#This Row],[Duration]]&lt;=120,"1 to 2hrs",TRUE,"More than 2 hrs")</f>
        <v>10 to 30mins</v>
      </c>
      <c r="M475">
        <f>ROUND(calls[[#This Row],[Satisfaction Rating]],0)</f>
        <v>4</v>
      </c>
      <c r="N475">
        <f>COUNTIF(calls[Customer ID], calls[[#This Row],[Customer ID]])</f>
        <v>62</v>
      </c>
      <c r="O475">
        <f>SUMIF(calls[Customer ID], calls[[#This Row],[Customer ID]], calls[Purchase Amount])</f>
        <v>6176</v>
      </c>
      <c r="P475">
        <f>calls[[#This Row],[call count]]/calls[[#This Row],[Purchase Amount]]</f>
        <v>0.98412698412698407</v>
      </c>
      <c r="Q475">
        <f>COUNTIF(calls[Customer ID],calls[[#This Row],[Customer ID]])</f>
        <v>62</v>
      </c>
      <c r="R475">
        <f>calls[[#This Row],[call count]]/calls[[#This Row],[Purchase Amount]]</f>
        <v>0.98412698412698407</v>
      </c>
    </row>
    <row r="476" spans="1:18" x14ac:dyDescent="0.4">
      <c r="A476" t="s">
        <v>506</v>
      </c>
      <c r="B476" t="s">
        <v>8</v>
      </c>
      <c r="C476">
        <v>80</v>
      </c>
      <c r="D476" s="4" t="s">
        <v>23</v>
      </c>
      <c r="E476" s="5">
        <v>45063</v>
      </c>
      <c r="F476">
        <v>145</v>
      </c>
      <c r="G476">
        <f>AVERAGEIF(calls[Representative], calls[[#This Row],[Representative]], calls[Satisfaction Rating])</f>
        <v>3.8973118279569863</v>
      </c>
      <c r="H476" t="str">
        <f>IF(AVERAGEIF(calls[Representative],calls[[#This Row],[Representative]],calls[Satisfaction Rating])&lt;3.5,"Needs Training","OK")</f>
        <v>OK</v>
      </c>
      <c r="I476">
        <v>4.9000000000000004</v>
      </c>
      <c r="J476">
        <f>IF(MONTH(calls[[#This Row],[Date of Call]])&lt;=6, YEAR(calls[[#This Row],[Date of Call]]), YEAR(calls[[#This Row],[Date of Call]])+1)</f>
        <v>2023</v>
      </c>
      <c r="K476" t="str">
        <f>TEXT(calls[[#This Row],[Date of Call]],"DDDD")</f>
        <v>Wednesday</v>
      </c>
      <c r="L476" t="str" cm="1">
        <f t="array" ref="L476">_xlfn.IFS(calls[[#This Row],[Duration]]&lt;=10,"under 10 mins",calls[[#This Row],[Duration]]&lt;=30,"10 to 30mins",calls[[#This Row],[Duration]]&lt;=60,"60 to 30mins",calls[[#This Row],[Duration]]&lt;=120,"1 to 2hrs",TRUE,"More than 2 hrs")</f>
        <v>1 to 2hrs</v>
      </c>
      <c r="M476">
        <f>ROUND(calls[[#This Row],[Satisfaction Rating]],0)</f>
        <v>5</v>
      </c>
      <c r="N476">
        <f>COUNTIF(calls[Customer ID], calls[[#This Row],[Customer ID]])</f>
        <v>79</v>
      </c>
      <c r="O476">
        <f>SUMIF(calls[Customer ID], calls[[#This Row],[Customer ID]], calls[Purchase Amount])</f>
        <v>7747</v>
      </c>
      <c r="P476">
        <f>calls[[#This Row],[call count]]/calls[[#This Row],[Purchase Amount]]</f>
        <v>0.54482758620689653</v>
      </c>
      <c r="Q476">
        <f>COUNTIF(calls[Customer ID],calls[[#This Row],[Customer ID]])</f>
        <v>79</v>
      </c>
      <c r="R476">
        <f>calls[[#This Row],[call count]]/calls[[#This Row],[Purchase Amount]]</f>
        <v>0.54482758620689653</v>
      </c>
    </row>
    <row r="477" spans="1:18" x14ac:dyDescent="0.4">
      <c r="A477" t="s">
        <v>507</v>
      </c>
      <c r="B477" t="s">
        <v>84</v>
      </c>
      <c r="C477">
        <v>139</v>
      </c>
      <c r="D477" s="4" t="s">
        <v>14</v>
      </c>
      <c r="E477" s="5">
        <v>45063</v>
      </c>
      <c r="F477">
        <v>220</v>
      </c>
      <c r="G477">
        <f>AVERAGEIF(calls[Representative], calls[[#This Row],[Representative]], calls[Satisfaction Rating])</f>
        <v>3.9227513227513247</v>
      </c>
      <c r="H477" t="str">
        <f>IF(AVERAGEIF(calls[Representative],calls[[#This Row],[Representative]],calls[Satisfaction Rating])&lt;3.5,"Needs Training","OK")</f>
        <v>OK</v>
      </c>
      <c r="I477">
        <v>3.2</v>
      </c>
      <c r="J477">
        <f>IF(MONTH(calls[[#This Row],[Date of Call]])&lt;=6, YEAR(calls[[#This Row],[Date of Call]]), YEAR(calls[[#This Row],[Date of Call]])+1)</f>
        <v>2023</v>
      </c>
      <c r="K477" t="str">
        <f>TEXT(calls[[#This Row],[Date of Call]],"DDDD")</f>
        <v>Wednesday</v>
      </c>
      <c r="L477" t="str" cm="1">
        <f t="array" ref="L477">_xlfn.IFS(calls[[#This Row],[Duration]]&lt;=10,"under 10 mins",calls[[#This Row],[Duration]]&lt;=30,"10 to 30mins",calls[[#This Row],[Duration]]&lt;=60,"60 to 30mins",calls[[#This Row],[Duration]]&lt;=120,"1 to 2hrs",TRUE,"More than 2 hrs")</f>
        <v>More than 2 hrs</v>
      </c>
      <c r="M477">
        <f>ROUND(calls[[#This Row],[Satisfaction Rating]],0)</f>
        <v>3</v>
      </c>
      <c r="N477">
        <f>COUNTIF(calls[Customer ID], calls[[#This Row],[Customer ID]])</f>
        <v>59</v>
      </c>
      <c r="O477">
        <f>SUMIF(calls[Customer ID], calls[[#This Row],[Customer ID]], calls[Purchase Amount])</f>
        <v>5009</v>
      </c>
      <c r="P477">
        <f>calls[[#This Row],[call count]]/calls[[#This Row],[Purchase Amount]]</f>
        <v>0.26818181818181819</v>
      </c>
      <c r="Q477">
        <f>COUNTIF(calls[Customer ID],calls[[#This Row],[Customer ID]])</f>
        <v>59</v>
      </c>
      <c r="R477">
        <f>calls[[#This Row],[call count]]/calls[[#This Row],[Purchase Amount]]</f>
        <v>0.26818181818181819</v>
      </c>
    </row>
    <row r="478" spans="1:18" x14ac:dyDescent="0.4">
      <c r="A478" t="s">
        <v>508</v>
      </c>
      <c r="B478" t="s">
        <v>32</v>
      </c>
      <c r="C478">
        <v>50</v>
      </c>
      <c r="D478" s="4" t="s">
        <v>9</v>
      </c>
      <c r="E478" s="5">
        <v>45063</v>
      </c>
      <c r="F478">
        <v>26</v>
      </c>
      <c r="G478">
        <f>AVERAGEIF(calls[Representative], calls[[#This Row],[Representative]], calls[Satisfaction Rating])</f>
        <v>3.8706422018348627</v>
      </c>
      <c r="H478" t="str">
        <f>IF(AVERAGEIF(calls[Representative],calls[[#This Row],[Representative]],calls[Satisfaction Rating])&lt;3.5,"Needs Training","OK")</f>
        <v>OK</v>
      </c>
      <c r="I478">
        <v>4.7</v>
      </c>
      <c r="J478">
        <f>IF(MONTH(calls[[#This Row],[Date of Call]])&lt;=6, YEAR(calls[[#This Row],[Date of Call]]), YEAR(calls[[#This Row],[Date of Call]])+1)</f>
        <v>2023</v>
      </c>
      <c r="K478" t="str">
        <f>TEXT(calls[[#This Row],[Date of Call]],"DDDD")</f>
        <v>Wednesday</v>
      </c>
      <c r="L478" t="str" cm="1">
        <f t="array" ref="L478">_xlfn.IFS(calls[[#This Row],[Duration]]&lt;=10,"under 10 mins",calls[[#This Row],[Duration]]&lt;=30,"10 to 30mins",calls[[#This Row],[Duration]]&lt;=60,"60 to 30mins",calls[[#This Row],[Duration]]&lt;=120,"1 to 2hrs",TRUE,"More than 2 hrs")</f>
        <v>60 to 30mins</v>
      </c>
      <c r="M478">
        <f>ROUND(calls[[#This Row],[Satisfaction Rating]],0)</f>
        <v>5</v>
      </c>
      <c r="N478">
        <f>COUNTIF(calls[Customer ID], calls[[#This Row],[Customer ID]])</f>
        <v>63</v>
      </c>
      <c r="O478">
        <f>SUMIF(calls[Customer ID], calls[[#This Row],[Customer ID]], calls[Purchase Amount])</f>
        <v>5634</v>
      </c>
      <c r="P478">
        <f>calls[[#This Row],[call count]]/calls[[#This Row],[Purchase Amount]]</f>
        <v>2.4230769230769229</v>
      </c>
      <c r="Q478">
        <f>COUNTIF(calls[Customer ID],calls[[#This Row],[Customer ID]])</f>
        <v>63</v>
      </c>
      <c r="R478">
        <f>calls[[#This Row],[call count]]/calls[[#This Row],[Purchase Amount]]</f>
        <v>2.4230769230769229</v>
      </c>
    </row>
    <row r="479" spans="1:18" x14ac:dyDescent="0.4">
      <c r="A479" t="s">
        <v>509</v>
      </c>
      <c r="B479" t="s">
        <v>8</v>
      </c>
      <c r="C479">
        <v>88</v>
      </c>
      <c r="D479" s="4" t="s">
        <v>23</v>
      </c>
      <c r="E479" s="5">
        <v>45063</v>
      </c>
      <c r="F479">
        <v>78</v>
      </c>
      <c r="G479">
        <f>AVERAGEIF(calls[Representative], calls[[#This Row],[Representative]], calls[Satisfaction Rating])</f>
        <v>3.8973118279569863</v>
      </c>
      <c r="H479" t="str">
        <f>IF(AVERAGEIF(calls[Representative],calls[[#This Row],[Representative]],calls[Satisfaction Rating])&lt;3.5,"Needs Training","OK")</f>
        <v>OK</v>
      </c>
      <c r="I479">
        <v>4.3</v>
      </c>
      <c r="J479">
        <f>IF(MONTH(calls[[#This Row],[Date of Call]])&lt;=6, YEAR(calls[[#This Row],[Date of Call]]), YEAR(calls[[#This Row],[Date of Call]])+1)</f>
        <v>2023</v>
      </c>
      <c r="K479" t="str">
        <f>TEXT(calls[[#This Row],[Date of Call]],"DDDD")</f>
        <v>Wednesday</v>
      </c>
      <c r="L479" t="str" cm="1">
        <f t="array" ref="L479">_xlfn.IFS(calls[[#This Row],[Duration]]&lt;=10,"under 10 mins",calls[[#This Row],[Duration]]&lt;=30,"10 to 30mins",calls[[#This Row],[Duration]]&lt;=60,"60 to 30mins",calls[[#This Row],[Duration]]&lt;=120,"1 to 2hrs",TRUE,"More than 2 hrs")</f>
        <v>1 to 2hrs</v>
      </c>
      <c r="M479">
        <f>ROUND(calls[[#This Row],[Satisfaction Rating]],0)</f>
        <v>4</v>
      </c>
      <c r="N479">
        <f>COUNTIF(calls[Customer ID], calls[[#This Row],[Customer ID]])</f>
        <v>79</v>
      </c>
      <c r="O479">
        <f>SUMIF(calls[Customer ID], calls[[#This Row],[Customer ID]], calls[Purchase Amount])</f>
        <v>7747</v>
      </c>
      <c r="P479">
        <f>calls[[#This Row],[call count]]/calls[[#This Row],[Purchase Amount]]</f>
        <v>1.0128205128205128</v>
      </c>
      <c r="Q479">
        <f>COUNTIF(calls[Customer ID],calls[[#This Row],[Customer ID]])</f>
        <v>79</v>
      </c>
      <c r="R479">
        <f>calls[[#This Row],[call count]]/calls[[#This Row],[Purchase Amount]]</f>
        <v>1.0128205128205128</v>
      </c>
    </row>
    <row r="480" spans="1:18" x14ac:dyDescent="0.4">
      <c r="A480" t="s">
        <v>510</v>
      </c>
      <c r="B480" t="s">
        <v>26</v>
      </c>
      <c r="C480">
        <v>19</v>
      </c>
      <c r="D480" s="4" t="s">
        <v>27</v>
      </c>
      <c r="E480" s="5">
        <v>45064</v>
      </c>
      <c r="F480">
        <v>132</v>
      </c>
      <c r="G480">
        <f>AVERAGEIF(calls[Representative], calls[[#This Row],[Representative]], calls[Satisfaction Rating])</f>
        <v>3.8589371980676304</v>
      </c>
      <c r="H480" t="str">
        <f>IF(AVERAGEIF(calls[Representative],calls[[#This Row],[Representative]],calls[Satisfaction Rating])&lt;3.5,"Needs Training","OK")</f>
        <v>OK</v>
      </c>
      <c r="I480">
        <v>4.3</v>
      </c>
      <c r="J480">
        <f>IF(MONTH(calls[[#This Row],[Date of Call]])&lt;=6, YEAR(calls[[#This Row],[Date of Call]]), YEAR(calls[[#This Row],[Date of Call]])+1)</f>
        <v>2023</v>
      </c>
      <c r="K480" t="str">
        <f>TEXT(calls[[#This Row],[Date of Call]],"DDDD")</f>
        <v>Thursday</v>
      </c>
      <c r="L480" t="str" cm="1">
        <f t="array" ref="L480">_xlfn.IFS(calls[[#This Row],[Duration]]&lt;=10,"under 10 mins",calls[[#This Row],[Duration]]&lt;=30,"10 to 30mins",calls[[#This Row],[Duration]]&lt;=60,"60 to 30mins",calls[[#This Row],[Duration]]&lt;=120,"1 to 2hrs",TRUE,"More than 2 hrs")</f>
        <v>10 to 30mins</v>
      </c>
      <c r="M480">
        <f>ROUND(calls[[#This Row],[Satisfaction Rating]],0)</f>
        <v>4</v>
      </c>
      <c r="N480">
        <f>COUNTIF(calls[Customer ID], calls[[#This Row],[Customer ID]])</f>
        <v>72</v>
      </c>
      <c r="O480">
        <f>SUMIF(calls[Customer ID], calls[[#This Row],[Customer ID]], calls[Purchase Amount])</f>
        <v>6242</v>
      </c>
      <c r="P480">
        <f>calls[[#This Row],[call count]]/calls[[#This Row],[Purchase Amount]]</f>
        <v>0.54545454545454541</v>
      </c>
      <c r="Q480">
        <f>COUNTIF(calls[Customer ID],calls[[#This Row],[Customer ID]])</f>
        <v>72</v>
      </c>
      <c r="R480">
        <f>calls[[#This Row],[call count]]/calls[[#This Row],[Purchase Amount]]</f>
        <v>0.54545454545454541</v>
      </c>
    </row>
    <row r="481" spans="1:18" x14ac:dyDescent="0.4">
      <c r="A481" t="s">
        <v>511</v>
      </c>
      <c r="B481" t="s">
        <v>40</v>
      </c>
      <c r="C481">
        <v>104</v>
      </c>
      <c r="D481" s="4" t="s">
        <v>27</v>
      </c>
      <c r="E481" s="5">
        <v>45065</v>
      </c>
      <c r="F481">
        <v>68</v>
      </c>
      <c r="G481">
        <f>AVERAGEIF(calls[Representative], calls[[#This Row],[Representative]], calls[Satisfaction Rating])</f>
        <v>3.8589371980676304</v>
      </c>
      <c r="H481" t="str">
        <f>IF(AVERAGEIF(calls[Representative],calls[[#This Row],[Representative]],calls[Satisfaction Rating])&lt;3.5,"Needs Training","OK")</f>
        <v>OK</v>
      </c>
      <c r="I481">
        <v>3.7</v>
      </c>
      <c r="J481">
        <f>IF(MONTH(calls[[#This Row],[Date of Call]])&lt;=6, YEAR(calls[[#This Row],[Date of Call]]), YEAR(calls[[#This Row],[Date of Call]])+1)</f>
        <v>2023</v>
      </c>
      <c r="K481" t="str">
        <f>TEXT(calls[[#This Row],[Date of Call]],"DDDD")</f>
        <v>Friday</v>
      </c>
      <c r="L481" t="str" cm="1">
        <f t="array" ref="L481">_xlfn.IFS(calls[[#This Row],[Duration]]&lt;=10,"under 10 mins",calls[[#This Row],[Duration]]&lt;=30,"10 to 30mins",calls[[#This Row],[Duration]]&lt;=60,"60 to 30mins",calls[[#This Row],[Duration]]&lt;=120,"1 to 2hrs",TRUE,"More than 2 hrs")</f>
        <v>1 to 2hrs</v>
      </c>
      <c r="M481">
        <f>ROUND(calls[[#This Row],[Satisfaction Rating]],0)</f>
        <v>4</v>
      </c>
      <c r="N481">
        <f>COUNTIF(calls[Customer ID], calls[[#This Row],[Customer ID]])</f>
        <v>69</v>
      </c>
      <c r="O481">
        <f>SUMIF(calls[Customer ID], calls[[#This Row],[Customer ID]], calls[Purchase Amount])</f>
        <v>6601</v>
      </c>
      <c r="P481">
        <f>calls[[#This Row],[call count]]/calls[[#This Row],[Purchase Amount]]</f>
        <v>1.0147058823529411</v>
      </c>
      <c r="Q481">
        <f>COUNTIF(calls[Customer ID],calls[[#This Row],[Customer ID]])</f>
        <v>69</v>
      </c>
      <c r="R481">
        <f>calls[[#This Row],[call count]]/calls[[#This Row],[Purchase Amount]]</f>
        <v>1.0147058823529411</v>
      </c>
    </row>
    <row r="482" spans="1:18" x14ac:dyDescent="0.4">
      <c r="A482" t="s">
        <v>512</v>
      </c>
      <c r="B482" t="s">
        <v>6</v>
      </c>
      <c r="C482">
        <v>67</v>
      </c>
      <c r="D482" s="4" t="s">
        <v>14</v>
      </c>
      <c r="E482" s="5">
        <v>45067</v>
      </c>
      <c r="F482">
        <v>129</v>
      </c>
      <c r="G482">
        <f>AVERAGEIF(calls[Representative], calls[[#This Row],[Representative]], calls[Satisfaction Rating])</f>
        <v>3.9227513227513247</v>
      </c>
      <c r="H482" t="str">
        <f>IF(AVERAGEIF(calls[Representative],calls[[#This Row],[Representative]],calls[Satisfaction Rating])&lt;3.5,"Needs Training","OK")</f>
        <v>OK</v>
      </c>
      <c r="I482">
        <v>4.7</v>
      </c>
      <c r="J482">
        <f>IF(MONTH(calls[[#This Row],[Date of Call]])&lt;=6, YEAR(calls[[#This Row],[Date of Call]]), YEAR(calls[[#This Row],[Date of Call]])+1)</f>
        <v>2023</v>
      </c>
      <c r="K482" t="str">
        <f>TEXT(calls[[#This Row],[Date of Call]],"DDDD")</f>
        <v>Sunday</v>
      </c>
      <c r="L482" t="str" cm="1">
        <f t="array" ref="L482">_xlfn.IFS(calls[[#This Row],[Duration]]&lt;=10,"under 10 mins",calls[[#This Row],[Duration]]&lt;=30,"10 to 30mins",calls[[#This Row],[Duration]]&lt;=60,"60 to 30mins",calls[[#This Row],[Duration]]&lt;=120,"1 to 2hrs",TRUE,"More than 2 hrs")</f>
        <v>1 to 2hrs</v>
      </c>
      <c r="M482">
        <f>ROUND(calls[[#This Row],[Satisfaction Rating]],0)</f>
        <v>5</v>
      </c>
      <c r="N482">
        <f>COUNTIF(calls[Customer ID], calls[[#This Row],[Customer ID]])</f>
        <v>82</v>
      </c>
      <c r="O482">
        <f>SUMIF(calls[Customer ID], calls[[#This Row],[Customer ID]], calls[Purchase Amount])</f>
        <v>7689</v>
      </c>
      <c r="P482">
        <f>calls[[#This Row],[call count]]/calls[[#This Row],[Purchase Amount]]</f>
        <v>0.63565891472868219</v>
      </c>
      <c r="Q482">
        <f>COUNTIF(calls[Customer ID],calls[[#This Row],[Customer ID]])</f>
        <v>82</v>
      </c>
      <c r="R482">
        <f>calls[[#This Row],[call count]]/calls[[#This Row],[Purchase Amount]]</f>
        <v>0.63565891472868219</v>
      </c>
    </row>
    <row r="483" spans="1:18" x14ac:dyDescent="0.4">
      <c r="A483" t="s">
        <v>513</v>
      </c>
      <c r="B483" t="s">
        <v>54</v>
      </c>
      <c r="C483">
        <v>107</v>
      </c>
      <c r="D483" s="4" t="s">
        <v>27</v>
      </c>
      <c r="E483" s="5">
        <v>45067</v>
      </c>
      <c r="F483">
        <v>115</v>
      </c>
      <c r="G483">
        <f>AVERAGEIF(calls[Representative], calls[[#This Row],[Representative]], calls[Satisfaction Rating])</f>
        <v>3.8589371980676304</v>
      </c>
      <c r="H483" t="str">
        <f>IF(AVERAGEIF(calls[Representative],calls[[#This Row],[Representative]],calls[Satisfaction Rating])&lt;3.5,"Needs Training","OK")</f>
        <v>OK</v>
      </c>
      <c r="I483">
        <v>4.9000000000000004</v>
      </c>
      <c r="J483">
        <f>IF(MONTH(calls[[#This Row],[Date of Call]])&lt;=6, YEAR(calls[[#This Row],[Date of Call]]), YEAR(calls[[#This Row],[Date of Call]])+1)</f>
        <v>2023</v>
      </c>
      <c r="K483" t="str">
        <f>TEXT(calls[[#This Row],[Date of Call]],"DDDD")</f>
        <v>Sunday</v>
      </c>
      <c r="L483" t="str" cm="1">
        <f t="array" ref="L483">_xlfn.IFS(calls[[#This Row],[Duration]]&lt;=10,"under 10 mins",calls[[#This Row],[Duration]]&lt;=30,"10 to 30mins",calls[[#This Row],[Duration]]&lt;=60,"60 to 30mins",calls[[#This Row],[Duration]]&lt;=120,"1 to 2hrs",TRUE,"More than 2 hrs")</f>
        <v>1 to 2hrs</v>
      </c>
      <c r="M483">
        <f>ROUND(calls[[#This Row],[Satisfaction Rating]],0)</f>
        <v>5</v>
      </c>
      <c r="N483">
        <f>COUNTIF(calls[Customer ID], calls[[#This Row],[Customer ID]])</f>
        <v>70</v>
      </c>
      <c r="O483">
        <f>SUMIF(calls[Customer ID], calls[[#This Row],[Customer ID]], calls[Purchase Amount])</f>
        <v>6819</v>
      </c>
      <c r="P483">
        <f>calls[[#This Row],[call count]]/calls[[#This Row],[Purchase Amount]]</f>
        <v>0.60869565217391308</v>
      </c>
      <c r="Q483">
        <f>COUNTIF(calls[Customer ID],calls[[#This Row],[Customer ID]])</f>
        <v>70</v>
      </c>
      <c r="R483">
        <f>calls[[#This Row],[call count]]/calls[[#This Row],[Purchase Amount]]</f>
        <v>0.60869565217391308</v>
      </c>
    </row>
    <row r="484" spans="1:18" x14ac:dyDescent="0.4">
      <c r="A484" t="s">
        <v>514</v>
      </c>
      <c r="B484" t="s">
        <v>54</v>
      </c>
      <c r="C484">
        <v>93</v>
      </c>
      <c r="D484" s="4" t="s">
        <v>27</v>
      </c>
      <c r="E484" s="5">
        <v>45067</v>
      </c>
      <c r="F484">
        <v>128</v>
      </c>
      <c r="G484">
        <f>AVERAGEIF(calls[Representative], calls[[#This Row],[Representative]], calls[Satisfaction Rating])</f>
        <v>3.8589371980676304</v>
      </c>
      <c r="H484" t="str">
        <f>IF(AVERAGEIF(calls[Representative],calls[[#This Row],[Representative]],calls[Satisfaction Rating])&lt;3.5,"Needs Training","OK")</f>
        <v>OK</v>
      </c>
      <c r="I484">
        <v>3.9</v>
      </c>
      <c r="J484">
        <f>IF(MONTH(calls[[#This Row],[Date of Call]])&lt;=6, YEAR(calls[[#This Row],[Date of Call]]), YEAR(calls[[#This Row],[Date of Call]])+1)</f>
        <v>2023</v>
      </c>
      <c r="K484" t="str">
        <f>TEXT(calls[[#This Row],[Date of Call]],"DDDD")</f>
        <v>Sunday</v>
      </c>
      <c r="L484" t="str" cm="1">
        <f t="array" ref="L484">_xlfn.IFS(calls[[#This Row],[Duration]]&lt;=10,"under 10 mins",calls[[#This Row],[Duration]]&lt;=30,"10 to 30mins",calls[[#This Row],[Duration]]&lt;=60,"60 to 30mins",calls[[#This Row],[Duration]]&lt;=120,"1 to 2hrs",TRUE,"More than 2 hrs")</f>
        <v>1 to 2hrs</v>
      </c>
      <c r="M484">
        <f>ROUND(calls[[#This Row],[Satisfaction Rating]],0)</f>
        <v>4</v>
      </c>
      <c r="N484">
        <f>COUNTIF(calls[Customer ID], calls[[#This Row],[Customer ID]])</f>
        <v>70</v>
      </c>
      <c r="O484">
        <f>SUMIF(calls[Customer ID], calls[[#This Row],[Customer ID]], calls[Purchase Amount])</f>
        <v>6819</v>
      </c>
      <c r="P484">
        <f>calls[[#This Row],[call count]]/calls[[#This Row],[Purchase Amount]]</f>
        <v>0.546875</v>
      </c>
      <c r="Q484">
        <f>COUNTIF(calls[Customer ID],calls[[#This Row],[Customer ID]])</f>
        <v>70</v>
      </c>
      <c r="R484">
        <f>calls[[#This Row],[call count]]/calls[[#This Row],[Purchase Amount]]</f>
        <v>0.546875</v>
      </c>
    </row>
    <row r="485" spans="1:18" x14ac:dyDescent="0.4">
      <c r="A485" t="s">
        <v>515</v>
      </c>
      <c r="B485" t="s">
        <v>54</v>
      </c>
      <c r="C485">
        <v>117</v>
      </c>
      <c r="D485" s="4" t="s">
        <v>14</v>
      </c>
      <c r="E485" s="5">
        <v>45067</v>
      </c>
      <c r="F485">
        <v>90</v>
      </c>
      <c r="G485">
        <f>AVERAGEIF(calls[Representative], calls[[#This Row],[Representative]], calls[Satisfaction Rating])</f>
        <v>3.9227513227513247</v>
      </c>
      <c r="H485" t="str">
        <f>IF(AVERAGEIF(calls[Representative],calls[[#This Row],[Representative]],calls[Satisfaction Rating])&lt;3.5,"Needs Training","OK")</f>
        <v>OK</v>
      </c>
      <c r="I485">
        <v>4.5</v>
      </c>
      <c r="J485">
        <f>IF(MONTH(calls[[#This Row],[Date of Call]])&lt;=6, YEAR(calls[[#This Row],[Date of Call]]), YEAR(calls[[#This Row],[Date of Call]])+1)</f>
        <v>2023</v>
      </c>
      <c r="K485" t="str">
        <f>TEXT(calls[[#This Row],[Date of Call]],"DDDD")</f>
        <v>Sunday</v>
      </c>
      <c r="L485" t="str" cm="1">
        <f t="array" ref="L485">_xlfn.IFS(calls[[#This Row],[Duration]]&lt;=10,"under 10 mins",calls[[#This Row],[Duration]]&lt;=30,"10 to 30mins",calls[[#This Row],[Duration]]&lt;=60,"60 to 30mins",calls[[#This Row],[Duration]]&lt;=120,"1 to 2hrs",TRUE,"More than 2 hrs")</f>
        <v>1 to 2hrs</v>
      </c>
      <c r="M485">
        <f>ROUND(calls[[#This Row],[Satisfaction Rating]],0)</f>
        <v>5</v>
      </c>
      <c r="N485">
        <f>COUNTIF(calls[Customer ID], calls[[#This Row],[Customer ID]])</f>
        <v>70</v>
      </c>
      <c r="O485">
        <f>SUMIF(calls[Customer ID], calls[[#This Row],[Customer ID]], calls[Purchase Amount])</f>
        <v>6819</v>
      </c>
      <c r="P485">
        <f>calls[[#This Row],[call count]]/calls[[#This Row],[Purchase Amount]]</f>
        <v>0.77777777777777779</v>
      </c>
      <c r="Q485">
        <f>COUNTIF(calls[Customer ID],calls[[#This Row],[Customer ID]])</f>
        <v>70</v>
      </c>
      <c r="R485">
        <f>calls[[#This Row],[call count]]/calls[[#This Row],[Purchase Amount]]</f>
        <v>0.77777777777777779</v>
      </c>
    </row>
    <row r="486" spans="1:18" x14ac:dyDescent="0.4">
      <c r="A486" t="s">
        <v>516</v>
      </c>
      <c r="B486" t="s">
        <v>32</v>
      </c>
      <c r="C486">
        <v>76</v>
      </c>
      <c r="D486" s="4" t="s">
        <v>23</v>
      </c>
      <c r="E486" s="5">
        <v>45068</v>
      </c>
      <c r="F486">
        <v>39</v>
      </c>
      <c r="G486">
        <f>AVERAGEIF(calls[Representative], calls[[#This Row],[Representative]], calls[Satisfaction Rating])</f>
        <v>3.8973118279569863</v>
      </c>
      <c r="H486" t="str">
        <f>IF(AVERAGEIF(calls[Representative],calls[[#This Row],[Representative]],calls[Satisfaction Rating])&lt;3.5,"Needs Training","OK")</f>
        <v>OK</v>
      </c>
      <c r="I486">
        <v>4.5999999999999996</v>
      </c>
      <c r="J486">
        <f>IF(MONTH(calls[[#This Row],[Date of Call]])&lt;=6, YEAR(calls[[#This Row],[Date of Call]]), YEAR(calls[[#This Row],[Date of Call]])+1)</f>
        <v>2023</v>
      </c>
      <c r="K486" t="str">
        <f>TEXT(calls[[#This Row],[Date of Call]],"DDDD")</f>
        <v>Monday</v>
      </c>
      <c r="L486" t="str" cm="1">
        <f t="array" ref="L486">_xlfn.IFS(calls[[#This Row],[Duration]]&lt;=10,"under 10 mins",calls[[#This Row],[Duration]]&lt;=30,"10 to 30mins",calls[[#This Row],[Duration]]&lt;=60,"60 to 30mins",calls[[#This Row],[Duration]]&lt;=120,"1 to 2hrs",TRUE,"More than 2 hrs")</f>
        <v>1 to 2hrs</v>
      </c>
      <c r="M486">
        <f>ROUND(calls[[#This Row],[Satisfaction Rating]],0)</f>
        <v>5</v>
      </c>
      <c r="N486">
        <f>COUNTIF(calls[Customer ID], calls[[#This Row],[Customer ID]])</f>
        <v>63</v>
      </c>
      <c r="O486">
        <f>SUMIF(calls[Customer ID], calls[[#This Row],[Customer ID]], calls[Purchase Amount])</f>
        <v>5634</v>
      </c>
      <c r="P486">
        <f>calls[[#This Row],[call count]]/calls[[#This Row],[Purchase Amount]]</f>
        <v>1.6153846153846154</v>
      </c>
      <c r="Q486">
        <f>COUNTIF(calls[Customer ID],calls[[#This Row],[Customer ID]])</f>
        <v>63</v>
      </c>
      <c r="R486">
        <f>calls[[#This Row],[call count]]/calls[[#This Row],[Purchase Amount]]</f>
        <v>1.6153846153846154</v>
      </c>
    </row>
    <row r="487" spans="1:18" x14ac:dyDescent="0.4">
      <c r="A487" t="s">
        <v>517</v>
      </c>
      <c r="B487" t="s">
        <v>26</v>
      </c>
      <c r="C487">
        <v>64</v>
      </c>
      <c r="D487" s="4" t="s">
        <v>27</v>
      </c>
      <c r="E487" s="5">
        <v>45068</v>
      </c>
      <c r="F487">
        <v>132</v>
      </c>
      <c r="G487">
        <f>AVERAGEIF(calls[Representative], calls[[#This Row],[Representative]], calls[Satisfaction Rating])</f>
        <v>3.8589371980676304</v>
      </c>
      <c r="H487" t="str">
        <f>IF(AVERAGEIF(calls[Representative],calls[[#This Row],[Representative]],calls[Satisfaction Rating])&lt;3.5,"Needs Training","OK")</f>
        <v>OK</v>
      </c>
      <c r="I487">
        <v>3.3</v>
      </c>
      <c r="J487">
        <f>IF(MONTH(calls[[#This Row],[Date of Call]])&lt;=6, YEAR(calls[[#This Row],[Date of Call]]), YEAR(calls[[#This Row],[Date of Call]])+1)</f>
        <v>2023</v>
      </c>
      <c r="K487" t="str">
        <f>TEXT(calls[[#This Row],[Date of Call]],"DDDD")</f>
        <v>Monday</v>
      </c>
      <c r="L487" t="str" cm="1">
        <f t="array" ref="L487">_xlfn.IFS(calls[[#This Row],[Duration]]&lt;=10,"under 10 mins",calls[[#This Row],[Duration]]&lt;=30,"10 to 30mins",calls[[#This Row],[Duration]]&lt;=60,"60 to 30mins",calls[[#This Row],[Duration]]&lt;=120,"1 to 2hrs",TRUE,"More than 2 hrs")</f>
        <v>1 to 2hrs</v>
      </c>
      <c r="M487">
        <f>ROUND(calls[[#This Row],[Satisfaction Rating]],0)</f>
        <v>3</v>
      </c>
      <c r="N487">
        <f>COUNTIF(calls[Customer ID], calls[[#This Row],[Customer ID]])</f>
        <v>72</v>
      </c>
      <c r="O487">
        <f>SUMIF(calls[Customer ID], calls[[#This Row],[Customer ID]], calls[Purchase Amount])</f>
        <v>6242</v>
      </c>
      <c r="P487">
        <f>calls[[#This Row],[call count]]/calls[[#This Row],[Purchase Amount]]</f>
        <v>0.54545454545454541</v>
      </c>
      <c r="Q487">
        <f>COUNTIF(calls[Customer ID],calls[[#This Row],[Customer ID]])</f>
        <v>72</v>
      </c>
      <c r="R487">
        <f>calls[[#This Row],[call count]]/calls[[#This Row],[Purchase Amount]]</f>
        <v>0.54545454545454541</v>
      </c>
    </row>
    <row r="488" spans="1:18" x14ac:dyDescent="0.4">
      <c r="A488" t="s">
        <v>518</v>
      </c>
      <c r="B488" t="s">
        <v>13</v>
      </c>
      <c r="C488">
        <v>33</v>
      </c>
      <c r="D488" s="4" t="s">
        <v>27</v>
      </c>
      <c r="E488" s="5">
        <v>45068</v>
      </c>
      <c r="F488">
        <v>170</v>
      </c>
      <c r="G488">
        <f>AVERAGEIF(calls[Representative], calls[[#This Row],[Representative]], calls[Satisfaction Rating])</f>
        <v>3.8589371980676304</v>
      </c>
      <c r="H488" t="str">
        <f>IF(AVERAGEIF(calls[Representative],calls[[#This Row],[Representative]],calls[Satisfaction Rating])&lt;3.5,"Needs Training","OK")</f>
        <v>OK</v>
      </c>
      <c r="I488">
        <v>3.8</v>
      </c>
      <c r="J488">
        <f>IF(MONTH(calls[[#This Row],[Date of Call]])&lt;=6, YEAR(calls[[#This Row],[Date of Call]]), YEAR(calls[[#This Row],[Date of Call]])+1)</f>
        <v>2023</v>
      </c>
      <c r="K488" t="str">
        <f>TEXT(calls[[#This Row],[Date of Call]],"DDDD")</f>
        <v>Monday</v>
      </c>
      <c r="L488" t="str" cm="1">
        <f t="array" ref="L488">_xlfn.IFS(calls[[#This Row],[Duration]]&lt;=10,"under 10 mins",calls[[#This Row],[Duration]]&lt;=30,"10 to 30mins",calls[[#This Row],[Duration]]&lt;=60,"60 to 30mins",calls[[#This Row],[Duration]]&lt;=120,"1 to 2hrs",TRUE,"More than 2 hrs")</f>
        <v>60 to 30mins</v>
      </c>
      <c r="M488">
        <f>ROUND(calls[[#This Row],[Satisfaction Rating]],0)</f>
        <v>4</v>
      </c>
      <c r="N488">
        <f>COUNTIF(calls[Customer ID], calls[[#This Row],[Customer ID]])</f>
        <v>74</v>
      </c>
      <c r="O488">
        <f>SUMIF(calls[Customer ID], calls[[#This Row],[Customer ID]], calls[Purchase Amount])</f>
        <v>6749</v>
      </c>
      <c r="P488">
        <f>calls[[#This Row],[call count]]/calls[[#This Row],[Purchase Amount]]</f>
        <v>0.43529411764705883</v>
      </c>
      <c r="Q488">
        <f>COUNTIF(calls[Customer ID],calls[[#This Row],[Customer ID]])</f>
        <v>74</v>
      </c>
      <c r="R488">
        <f>calls[[#This Row],[call count]]/calls[[#This Row],[Purchase Amount]]</f>
        <v>0.43529411764705883</v>
      </c>
    </row>
    <row r="489" spans="1:18" x14ac:dyDescent="0.4">
      <c r="A489" t="s">
        <v>519</v>
      </c>
      <c r="B489" t="s">
        <v>54</v>
      </c>
      <c r="C489">
        <v>115</v>
      </c>
      <c r="D489" s="4" t="s">
        <v>14</v>
      </c>
      <c r="E489" s="5">
        <v>45068</v>
      </c>
      <c r="F489">
        <v>42</v>
      </c>
      <c r="G489">
        <f>AVERAGEIF(calls[Representative], calls[[#This Row],[Representative]], calls[Satisfaction Rating])</f>
        <v>3.9227513227513247</v>
      </c>
      <c r="H489" t="str">
        <f>IF(AVERAGEIF(calls[Representative],calls[[#This Row],[Representative]],calls[Satisfaction Rating])&lt;3.5,"Needs Training","OK")</f>
        <v>OK</v>
      </c>
      <c r="I489">
        <v>4.7</v>
      </c>
      <c r="J489">
        <f>IF(MONTH(calls[[#This Row],[Date of Call]])&lt;=6, YEAR(calls[[#This Row],[Date of Call]]), YEAR(calls[[#This Row],[Date of Call]])+1)</f>
        <v>2023</v>
      </c>
      <c r="K489" t="str">
        <f>TEXT(calls[[#This Row],[Date of Call]],"DDDD")</f>
        <v>Monday</v>
      </c>
      <c r="L489" t="str" cm="1">
        <f t="array" ref="L489">_xlfn.IFS(calls[[#This Row],[Duration]]&lt;=10,"under 10 mins",calls[[#This Row],[Duration]]&lt;=30,"10 to 30mins",calls[[#This Row],[Duration]]&lt;=60,"60 to 30mins",calls[[#This Row],[Duration]]&lt;=120,"1 to 2hrs",TRUE,"More than 2 hrs")</f>
        <v>1 to 2hrs</v>
      </c>
      <c r="M489">
        <f>ROUND(calls[[#This Row],[Satisfaction Rating]],0)</f>
        <v>5</v>
      </c>
      <c r="N489">
        <f>COUNTIF(calls[Customer ID], calls[[#This Row],[Customer ID]])</f>
        <v>70</v>
      </c>
      <c r="O489">
        <f>SUMIF(calls[Customer ID], calls[[#This Row],[Customer ID]], calls[Purchase Amount])</f>
        <v>6819</v>
      </c>
      <c r="P489">
        <f>calls[[#This Row],[call count]]/calls[[#This Row],[Purchase Amount]]</f>
        <v>1.6666666666666667</v>
      </c>
      <c r="Q489">
        <f>COUNTIF(calls[Customer ID],calls[[#This Row],[Customer ID]])</f>
        <v>70</v>
      </c>
      <c r="R489">
        <f>calls[[#This Row],[call count]]/calls[[#This Row],[Purchase Amount]]</f>
        <v>1.6666666666666667</v>
      </c>
    </row>
    <row r="490" spans="1:18" x14ac:dyDescent="0.4">
      <c r="A490" t="s">
        <v>520</v>
      </c>
      <c r="B490" t="s">
        <v>11</v>
      </c>
      <c r="C490">
        <v>155</v>
      </c>
      <c r="D490" s="4" t="s">
        <v>23</v>
      </c>
      <c r="E490" s="5">
        <v>45069</v>
      </c>
      <c r="F490">
        <v>37</v>
      </c>
      <c r="G490">
        <f>AVERAGEIF(calls[Representative], calls[[#This Row],[Representative]], calls[Satisfaction Rating])</f>
        <v>3.8973118279569863</v>
      </c>
      <c r="H490" t="str">
        <f>IF(AVERAGEIF(calls[Representative],calls[[#This Row],[Representative]],calls[Satisfaction Rating])&lt;3.5,"Needs Training","OK")</f>
        <v>OK</v>
      </c>
      <c r="I490">
        <v>4</v>
      </c>
      <c r="J490">
        <f>IF(MONTH(calls[[#This Row],[Date of Call]])&lt;=6, YEAR(calls[[#This Row],[Date of Call]]), YEAR(calls[[#This Row],[Date of Call]])+1)</f>
        <v>2023</v>
      </c>
      <c r="K490" t="str">
        <f>TEXT(calls[[#This Row],[Date of Call]],"DDDD")</f>
        <v>Tuesday</v>
      </c>
      <c r="L490" t="str" cm="1">
        <f t="array" ref="L490">_xlfn.IFS(calls[[#This Row],[Duration]]&lt;=10,"under 10 mins",calls[[#This Row],[Duration]]&lt;=30,"10 to 30mins",calls[[#This Row],[Duration]]&lt;=60,"60 to 30mins",calls[[#This Row],[Duration]]&lt;=120,"1 to 2hrs",TRUE,"More than 2 hrs")</f>
        <v>More than 2 hrs</v>
      </c>
      <c r="M490">
        <f>ROUND(calls[[#This Row],[Satisfaction Rating]],0)</f>
        <v>4</v>
      </c>
      <c r="N490">
        <f>COUNTIF(calls[Customer ID], calls[[#This Row],[Customer ID]])</f>
        <v>60</v>
      </c>
      <c r="O490">
        <f>SUMIF(calls[Customer ID], calls[[#This Row],[Customer ID]], calls[Purchase Amount])</f>
        <v>5404</v>
      </c>
      <c r="P490">
        <f>calls[[#This Row],[call count]]/calls[[#This Row],[Purchase Amount]]</f>
        <v>1.6216216216216217</v>
      </c>
      <c r="Q490">
        <f>COUNTIF(calls[Customer ID],calls[[#This Row],[Customer ID]])</f>
        <v>60</v>
      </c>
      <c r="R490">
        <f>calls[[#This Row],[call count]]/calls[[#This Row],[Purchase Amount]]</f>
        <v>1.6216216216216217</v>
      </c>
    </row>
    <row r="491" spans="1:18" x14ac:dyDescent="0.4">
      <c r="A491" t="s">
        <v>521</v>
      </c>
      <c r="B491" t="s">
        <v>6</v>
      </c>
      <c r="C491">
        <v>117</v>
      </c>
      <c r="D491" s="4" t="s">
        <v>23</v>
      </c>
      <c r="E491" s="5">
        <v>45069</v>
      </c>
      <c r="F491">
        <v>88</v>
      </c>
      <c r="G491">
        <f>AVERAGEIF(calls[Representative], calls[[#This Row],[Representative]], calls[Satisfaction Rating])</f>
        <v>3.8973118279569863</v>
      </c>
      <c r="H491" t="str">
        <f>IF(AVERAGEIF(calls[Representative],calls[[#This Row],[Representative]],calls[Satisfaction Rating])&lt;3.5,"Needs Training","OK")</f>
        <v>OK</v>
      </c>
      <c r="I491">
        <v>4.7</v>
      </c>
      <c r="J491">
        <f>IF(MONTH(calls[[#This Row],[Date of Call]])&lt;=6, YEAR(calls[[#This Row],[Date of Call]]), YEAR(calls[[#This Row],[Date of Call]])+1)</f>
        <v>2023</v>
      </c>
      <c r="K491" t="str">
        <f>TEXT(calls[[#This Row],[Date of Call]],"DDDD")</f>
        <v>Tuesday</v>
      </c>
      <c r="L491" t="str" cm="1">
        <f t="array" ref="L491">_xlfn.IFS(calls[[#This Row],[Duration]]&lt;=10,"under 10 mins",calls[[#This Row],[Duration]]&lt;=30,"10 to 30mins",calls[[#This Row],[Duration]]&lt;=60,"60 to 30mins",calls[[#This Row],[Duration]]&lt;=120,"1 to 2hrs",TRUE,"More than 2 hrs")</f>
        <v>1 to 2hrs</v>
      </c>
      <c r="M491">
        <f>ROUND(calls[[#This Row],[Satisfaction Rating]],0)</f>
        <v>5</v>
      </c>
      <c r="N491">
        <f>COUNTIF(calls[Customer ID], calls[[#This Row],[Customer ID]])</f>
        <v>82</v>
      </c>
      <c r="O491">
        <f>SUMIF(calls[Customer ID], calls[[#This Row],[Customer ID]], calls[Purchase Amount])</f>
        <v>7689</v>
      </c>
      <c r="P491">
        <f>calls[[#This Row],[call count]]/calls[[#This Row],[Purchase Amount]]</f>
        <v>0.93181818181818177</v>
      </c>
      <c r="Q491">
        <f>COUNTIF(calls[Customer ID],calls[[#This Row],[Customer ID]])</f>
        <v>82</v>
      </c>
      <c r="R491">
        <f>calls[[#This Row],[call count]]/calls[[#This Row],[Purchase Amount]]</f>
        <v>0.93181818181818177</v>
      </c>
    </row>
    <row r="492" spans="1:18" x14ac:dyDescent="0.4">
      <c r="A492" t="s">
        <v>522</v>
      </c>
      <c r="B492" t="s">
        <v>84</v>
      </c>
      <c r="C492">
        <v>63</v>
      </c>
      <c r="D492" s="4" t="s">
        <v>23</v>
      </c>
      <c r="E492" s="5">
        <v>45069</v>
      </c>
      <c r="F492">
        <v>80</v>
      </c>
      <c r="G492">
        <f>AVERAGEIF(calls[Representative], calls[[#This Row],[Representative]], calls[Satisfaction Rating])</f>
        <v>3.8973118279569863</v>
      </c>
      <c r="H492" t="str">
        <f>IF(AVERAGEIF(calls[Representative],calls[[#This Row],[Representative]],calls[Satisfaction Rating])&lt;3.5,"Needs Training","OK")</f>
        <v>OK</v>
      </c>
      <c r="I492">
        <v>2.5</v>
      </c>
      <c r="J492">
        <f>IF(MONTH(calls[[#This Row],[Date of Call]])&lt;=6, YEAR(calls[[#This Row],[Date of Call]]), YEAR(calls[[#This Row],[Date of Call]])+1)</f>
        <v>2023</v>
      </c>
      <c r="K492" t="str">
        <f>TEXT(calls[[#This Row],[Date of Call]],"DDDD")</f>
        <v>Tuesday</v>
      </c>
      <c r="L492" t="str" cm="1">
        <f t="array" ref="L492">_xlfn.IFS(calls[[#This Row],[Duration]]&lt;=10,"under 10 mins",calls[[#This Row],[Duration]]&lt;=30,"10 to 30mins",calls[[#This Row],[Duration]]&lt;=60,"60 to 30mins",calls[[#This Row],[Duration]]&lt;=120,"1 to 2hrs",TRUE,"More than 2 hrs")</f>
        <v>1 to 2hrs</v>
      </c>
      <c r="M492">
        <f>ROUND(calls[[#This Row],[Satisfaction Rating]],0)</f>
        <v>3</v>
      </c>
      <c r="N492">
        <f>COUNTIF(calls[Customer ID], calls[[#This Row],[Customer ID]])</f>
        <v>59</v>
      </c>
      <c r="O492">
        <f>SUMIF(calls[Customer ID], calls[[#This Row],[Customer ID]], calls[Purchase Amount])</f>
        <v>5009</v>
      </c>
      <c r="P492">
        <f>calls[[#This Row],[call count]]/calls[[#This Row],[Purchase Amount]]</f>
        <v>0.73750000000000004</v>
      </c>
      <c r="Q492">
        <f>COUNTIF(calls[Customer ID],calls[[#This Row],[Customer ID]])</f>
        <v>59</v>
      </c>
      <c r="R492">
        <f>calls[[#This Row],[call count]]/calls[[#This Row],[Purchase Amount]]</f>
        <v>0.73750000000000004</v>
      </c>
    </row>
    <row r="493" spans="1:18" x14ac:dyDescent="0.4">
      <c r="A493" t="s">
        <v>523</v>
      </c>
      <c r="B493" t="s">
        <v>26</v>
      </c>
      <c r="C493">
        <v>59</v>
      </c>
      <c r="D493" s="4" t="s">
        <v>2</v>
      </c>
      <c r="E493" s="5">
        <v>45070</v>
      </c>
      <c r="F493">
        <v>123</v>
      </c>
      <c r="G493">
        <f>AVERAGEIF(calls[Representative], calls[[#This Row],[Representative]], calls[Satisfaction Rating])</f>
        <v>3.8824999999999998</v>
      </c>
      <c r="H493" t="str">
        <f>IF(AVERAGEIF(calls[Representative],calls[[#This Row],[Representative]],calls[Satisfaction Rating])&lt;3.5,"Needs Training","OK")</f>
        <v>OK</v>
      </c>
      <c r="I493">
        <v>3.6</v>
      </c>
      <c r="J493">
        <f>IF(MONTH(calls[[#This Row],[Date of Call]])&lt;=6, YEAR(calls[[#This Row],[Date of Call]]), YEAR(calls[[#This Row],[Date of Call]])+1)</f>
        <v>2023</v>
      </c>
      <c r="K493" t="str">
        <f>TEXT(calls[[#This Row],[Date of Call]],"DDDD")</f>
        <v>Wednesday</v>
      </c>
      <c r="L493" t="str" cm="1">
        <f t="array" ref="L493">_xlfn.IFS(calls[[#This Row],[Duration]]&lt;=10,"under 10 mins",calls[[#This Row],[Duration]]&lt;=30,"10 to 30mins",calls[[#This Row],[Duration]]&lt;=60,"60 to 30mins",calls[[#This Row],[Duration]]&lt;=120,"1 to 2hrs",TRUE,"More than 2 hrs")</f>
        <v>60 to 30mins</v>
      </c>
      <c r="M493">
        <f>ROUND(calls[[#This Row],[Satisfaction Rating]],0)</f>
        <v>4</v>
      </c>
      <c r="N493">
        <f>COUNTIF(calls[Customer ID], calls[[#This Row],[Customer ID]])</f>
        <v>72</v>
      </c>
      <c r="O493">
        <f>SUMIF(calls[Customer ID], calls[[#This Row],[Customer ID]], calls[Purchase Amount])</f>
        <v>6242</v>
      </c>
      <c r="P493">
        <f>calls[[#This Row],[call count]]/calls[[#This Row],[Purchase Amount]]</f>
        <v>0.58536585365853655</v>
      </c>
      <c r="Q493">
        <f>COUNTIF(calls[Customer ID],calls[[#This Row],[Customer ID]])</f>
        <v>72</v>
      </c>
      <c r="R493">
        <f>calls[[#This Row],[call count]]/calls[[#This Row],[Purchase Amount]]</f>
        <v>0.58536585365853655</v>
      </c>
    </row>
    <row r="494" spans="1:18" x14ac:dyDescent="0.4">
      <c r="A494" t="s">
        <v>524</v>
      </c>
      <c r="B494" t="s">
        <v>44</v>
      </c>
      <c r="C494">
        <v>133</v>
      </c>
      <c r="D494" s="4" t="s">
        <v>27</v>
      </c>
      <c r="E494" s="5">
        <v>45070</v>
      </c>
      <c r="F494">
        <v>31</v>
      </c>
      <c r="G494">
        <f>AVERAGEIF(calls[Representative], calls[[#This Row],[Representative]], calls[Satisfaction Rating])</f>
        <v>3.8589371980676304</v>
      </c>
      <c r="H494" t="str">
        <f>IF(AVERAGEIF(calls[Representative],calls[[#This Row],[Representative]],calls[Satisfaction Rating])&lt;3.5,"Needs Training","OK")</f>
        <v>OK</v>
      </c>
      <c r="I494">
        <v>3.7</v>
      </c>
      <c r="J494">
        <f>IF(MONTH(calls[[#This Row],[Date of Call]])&lt;=6, YEAR(calls[[#This Row],[Date of Call]]), YEAR(calls[[#This Row],[Date of Call]])+1)</f>
        <v>2023</v>
      </c>
      <c r="K494" t="str">
        <f>TEXT(calls[[#This Row],[Date of Call]],"DDDD")</f>
        <v>Wednesday</v>
      </c>
      <c r="L494" t="str" cm="1">
        <f t="array" ref="L494">_xlfn.IFS(calls[[#This Row],[Duration]]&lt;=10,"under 10 mins",calls[[#This Row],[Duration]]&lt;=30,"10 to 30mins",calls[[#This Row],[Duration]]&lt;=60,"60 to 30mins",calls[[#This Row],[Duration]]&lt;=120,"1 to 2hrs",TRUE,"More than 2 hrs")</f>
        <v>More than 2 hrs</v>
      </c>
      <c r="M494">
        <f>ROUND(calls[[#This Row],[Satisfaction Rating]],0)</f>
        <v>4</v>
      </c>
      <c r="N494">
        <f>COUNTIF(calls[Customer ID], calls[[#This Row],[Customer ID]])</f>
        <v>62</v>
      </c>
      <c r="O494">
        <f>SUMIF(calls[Customer ID], calls[[#This Row],[Customer ID]], calls[Purchase Amount])</f>
        <v>6176</v>
      </c>
      <c r="P494">
        <f>calls[[#This Row],[call count]]/calls[[#This Row],[Purchase Amount]]</f>
        <v>2</v>
      </c>
      <c r="Q494">
        <f>COUNTIF(calls[Customer ID],calls[[#This Row],[Customer ID]])</f>
        <v>62</v>
      </c>
      <c r="R494">
        <f>calls[[#This Row],[call count]]/calls[[#This Row],[Purchase Amount]]</f>
        <v>2</v>
      </c>
    </row>
    <row r="495" spans="1:18" x14ac:dyDescent="0.4">
      <c r="A495" t="s">
        <v>525</v>
      </c>
      <c r="B495" t="s">
        <v>64</v>
      </c>
      <c r="C495">
        <v>101</v>
      </c>
      <c r="D495" s="4" t="s">
        <v>9</v>
      </c>
      <c r="E495" s="5">
        <v>45070</v>
      </c>
      <c r="F495">
        <v>205</v>
      </c>
      <c r="G495">
        <f>AVERAGEIF(calls[Representative], calls[[#This Row],[Representative]], calls[Satisfaction Rating])</f>
        <v>3.8706422018348627</v>
      </c>
      <c r="H495" t="str">
        <f>IF(AVERAGEIF(calls[Representative],calls[[#This Row],[Representative]],calls[Satisfaction Rating])&lt;3.5,"Needs Training","OK")</f>
        <v>OK</v>
      </c>
      <c r="I495">
        <v>3.9</v>
      </c>
      <c r="J495">
        <f>IF(MONTH(calls[[#This Row],[Date of Call]])&lt;=6, YEAR(calls[[#This Row],[Date of Call]]), YEAR(calls[[#This Row],[Date of Call]])+1)</f>
        <v>2023</v>
      </c>
      <c r="K495" t="str">
        <f>TEXT(calls[[#This Row],[Date of Call]],"DDDD")</f>
        <v>Wednesday</v>
      </c>
      <c r="L495" t="str" cm="1">
        <f t="array" ref="L495">_xlfn.IFS(calls[[#This Row],[Duration]]&lt;=10,"under 10 mins",calls[[#This Row],[Duration]]&lt;=30,"10 to 30mins",calls[[#This Row],[Duration]]&lt;=60,"60 to 30mins",calls[[#This Row],[Duration]]&lt;=120,"1 to 2hrs",TRUE,"More than 2 hrs")</f>
        <v>1 to 2hrs</v>
      </c>
      <c r="M495">
        <f>ROUND(calls[[#This Row],[Satisfaction Rating]],0)</f>
        <v>4</v>
      </c>
      <c r="N495">
        <f>COUNTIF(calls[Customer ID], calls[[#This Row],[Customer ID]])</f>
        <v>65</v>
      </c>
      <c r="O495">
        <f>SUMIF(calls[Customer ID], calls[[#This Row],[Customer ID]], calls[Purchase Amount])</f>
        <v>6785</v>
      </c>
      <c r="P495">
        <f>calls[[#This Row],[call count]]/calls[[#This Row],[Purchase Amount]]</f>
        <v>0.31707317073170732</v>
      </c>
      <c r="Q495">
        <f>COUNTIF(calls[Customer ID],calls[[#This Row],[Customer ID]])</f>
        <v>65</v>
      </c>
      <c r="R495">
        <f>calls[[#This Row],[call count]]/calls[[#This Row],[Purchase Amount]]</f>
        <v>0.31707317073170732</v>
      </c>
    </row>
    <row r="496" spans="1:18" x14ac:dyDescent="0.4">
      <c r="A496" t="s">
        <v>526</v>
      </c>
      <c r="B496" t="s">
        <v>30</v>
      </c>
      <c r="C496">
        <v>151</v>
      </c>
      <c r="D496" s="4" t="s">
        <v>23</v>
      </c>
      <c r="E496" s="5">
        <v>45071</v>
      </c>
      <c r="F496">
        <v>123</v>
      </c>
      <c r="G496">
        <f>AVERAGEIF(calls[Representative], calls[[#This Row],[Representative]], calls[Satisfaction Rating])</f>
        <v>3.8973118279569863</v>
      </c>
      <c r="H496" t="str">
        <f>IF(AVERAGEIF(calls[Representative],calls[[#This Row],[Representative]],calls[Satisfaction Rating])&lt;3.5,"Needs Training","OK")</f>
        <v>OK</v>
      </c>
      <c r="I496">
        <v>3.7</v>
      </c>
      <c r="J496">
        <f>IF(MONTH(calls[[#This Row],[Date of Call]])&lt;=6, YEAR(calls[[#This Row],[Date of Call]]), YEAR(calls[[#This Row],[Date of Call]])+1)</f>
        <v>2023</v>
      </c>
      <c r="K496" t="str">
        <f>TEXT(calls[[#This Row],[Date of Call]],"DDDD")</f>
        <v>Thursday</v>
      </c>
      <c r="L496" t="str" cm="1">
        <f t="array" ref="L496">_xlfn.IFS(calls[[#This Row],[Duration]]&lt;=10,"under 10 mins",calls[[#This Row],[Duration]]&lt;=30,"10 to 30mins",calls[[#This Row],[Duration]]&lt;=60,"60 to 30mins",calls[[#This Row],[Duration]]&lt;=120,"1 to 2hrs",TRUE,"More than 2 hrs")</f>
        <v>More than 2 hrs</v>
      </c>
      <c r="M496">
        <f>ROUND(calls[[#This Row],[Satisfaction Rating]],0)</f>
        <v>4</v>
      </c>
      <c r="N496">
        <f>COUNTIF(calls[Customer ID], calls[[#This Row],[Customer ID]])</f>
        <v>69</v>
      </c>
      <c r="O496">
        <f>SUMIF(calls[Customer ID], calls[[#This Row],[Customer ID]], calls[Purchase Amount])</f>
        <v>7230</v>
      </c>
      <c r="P496">
        <f>calls[[#This Row],[call count]]/calls[[#This Row],[Purchase Amount]]</f>
        <v>0.56097560975609762</v>
      </c>
      <c r="Q496">
        <f>COUNTIF(calls[Customer ID],calls[[#This Row],[Customer ID]])</f>
        <v>69</v>
      </c>
      <c r="R496">
        <f>calls[[#This Row],[call count]]/calls[[#This Row],[Purchase Amount]]</f>
        <v>0.56097560975609762</v>
      </c>
    </row>
    <row r="497" spans="1:18" x14ac:dyDescent="0.4">
      <c r="A497" t="s">
        <v>527</v>
      </c>
      <c r="B497" t="s">
        <v>13</v>
      </c>
      <c r="C497">
        <v>146</v>
      </c>
      <c r="D497" s="4" t="s">
        <v>27</v>
      </c>
      <c r="E497" s="5">
        <v>45071</v>
      </c>
      <c r="F497">
        <v>123</v>
      </c>
      <c r="G497">
        <f>AVERAGEIF(calls[Representative], calls[[#This Row],[Representative]], calls[Satisfaction Rating])</f>
        <v>3.8589371980676304</v>
      </c>
      <c r="H497" t="str">
        <f>IF(AVERAGEIF(calls[Representative],calls[[#This Row],[Representative]],calls[Satisfaction Rating])&lt;3.5,"Needs Training","OK")</f>
        <v>OK</v>
      </c>
      <c r="I497">
        <v>4.3</v>
      </c>
      <c r="J497">
        <f>IF(MONTH(calls[[#This Row],[Date of Call]])&lt;=6, YEAR(calls[[#This Row],[Date of Call]]), YEAR(calls[[#This Row],[Date of Call]])+1)</f>
        <v>2023</v>
      </c>
      <c r="K497" t="str">
        <f>TEXT(calls[[#This Row],[Date of Call]],"DDDD")</f>
        <v>Thursday</v>
      </c>
      <c r="L497" t="str" cm="1">
        <f t="array" ref="L497">_xlfn.IFS(calls[[#This Row],[Duration]]&lt;=10,"under 10 mins",calls[[#This Row],[Duration]]&lt;=30,"10 to 30mins",calls[[#This Row],[Duration]]&lt;=60,"60 to 30mins",calls[[#This Row],[Duration]]&lt;=120,"1 to 2hrs",TRUE,"More than 2 hrs")</f>
        <v>More than 2 hrs</v>
      </c>
      <c r="M497">
        <f>ROUND(calls[[#This Row],[Satisfaction Rating]],0)</f>
        <v>4</v>
      </c>
      <c r="N497">
        <f>COUNTIF(calls[Customer ID], calls[[#This Row],[Customer ID]])</f>
        <v>74</v>
      </c>
      <c r="O497">
        <f>SUMIF(calls[Customer ID], calls[[#This Row],[Customer ID]], calls[Purchase Amount])</f>
        <v>6749</v>
      </c>
      <c r="P497">
        <f>calls[[#This Row],[call count]]/calls[[#This Row],[Purchase Amount]]</f>
        <v>0.60162601626016265</v>
      </c>
      <c r="Q497">
        <f>COUNTIF(calls[Customer ID],calls[[#This Row],[Customer ID]])</f>
        <v>74</v>
      </c>
      <c r="R497">
        <f>calls[[#This Row],[call count]]/calls[[#This Row],[Purchase Amount]]</f>
        <v>0.60162601626016265</v>
      </c>
    </row>
    <row r="498" spans="1:18" x14ac:dyDescent="0.4">
      <c r="A498" t="s">
        <v>528</v>
      </c>
      <c r="B498" t="s">
        <v>84</v>
      </c>
      <c r="C498">
        <v>148</v>
      </c>
      <c r="D498" s="4" t="s">
        <v>27</v>
      </c>
      <c r="E498" s="5">
        <v>45071</v>
      </c>
      <c r="F498">
        <v>36</v>
      </c>
      <c r="G498">
        <f>AVERAGEIF(calls[Representative], calls[[#This Row],[Representative]], calls[Satisfaction Rating])</f>
        <v>3.8589371980676304</v>
      </c>
      <c r="H498" t="str">
        <f>IF(AVERAGEIF(calls[Representative],calls[[#This Row],[Representative]],calls[Satisfaction Rating])&lt;3.5,"Needs Training","OK")</f>
        <v>OK</v>
      </c>
      <c r="I498">
        <v>2.9</v>
      </c>
      <c r="J498">
        <f>IF(MONTH(calls[[#This Row],[Date of Call]])&lt;=6, YEAR(calls[[#This Row],[Date of Call]]), YEAR(calls[[#This Row],[Date of Call]])+1)</f>
        <v>2023</v>
      </c>
      <c r="K498" t="str">
        <f>TEXT(calls[[#This Row],[Date of Call]],"DDDD")</f>
        <v>Thursday</v>
      </c>
      <c r="L498" t="str" cm="1">
        <f t="array" ref="L498">_xlfn.IFS(calls[[#This Row],[Duration]]&lt;=10,"under 10 mins",calls[[#This Row],[Duration]]&lt;=30,"10 to 30mins",calls[[#This Row],[Duration]]&lt;=60,"60 to 30mins",calls[[#This Row],[Duration]]&lt;=120,"1 to 2hrs",TRUE,"More than 2 hrs")</f>
        <v>More than 2 hrs</v>
      </c>
      <c r="M498">
        <f>ROUND(calls[[#This Row],[Satisfaction Rating]],0)</f>
        <v>3</v>
      </c>
      <c r="N498">
        <f>COUNTIF(calls[Customer ID], calls[[#This Row],[Customer ID]])</f>
        <v>59</v>
      </c>
      <c r="O498">
        <f>SUMIF(calls[Customer ID], calls[[#This Row],[Customer ID]], calls[Purchase Amount])</f>
        <v>5009</v>
      </c>
      <c r="P498">
        <f>calls[[#This Row],[call count]]/calls[[#This Row],[Purchase Amount]]</f>
        <v>1.6388888888888888</v>
      </c>
      <c r="Q498">
        <f>COUNTIF(calls[Customer ID],calls[[#This Row],[Customer ID]])</f>
        <v>59</v>
      </c>
      <c r="R498">
        <f>calls[[#This Row],[call count]]/calls[[#This Row],[Purchase Amount]]</f>
        <v>1.6388888888888888</v>
      </c>
    </row>
    <row r="499" spans="1:18" x14ac:dyDescent="0.4">
      <c r="A499" t="s">
        <v>529</v>
      </c>
      <c r="B499" t="s">
        <v>30</v>
      </c>
      <c r="C499">
        <v>81</v>
      </c>
      <c r="D499" s="4" t="s">
        <v>27</v>
      </c>
      <c r="E499" s="5">
        <v>45071</v>
      </c>
      <c r="F499">
        <v>116</v>
      </c>
      <c r="G499">
        <f>AVERAGEIF(calls[Representative], calls[[#This Row],[Representative]], calls[Satisfaction Rating])</f>
        <v>3.8589371980676304</v>
      </c>
      <c r="H499" t="str">
        <f>IF(AVERAGEIF(calls[Representative],calls[[#This Row],[Representative]],calls[Satisfaction Rating])&lt;3.5,"Needs Training","OK")</f>
        <v>OK</v>
      </c>
      <c r="I499">
        <v>4.3</v>
      </c>
      <c r="J499">
        <f>IF(MONTH(calls[[#This Row],[Date of Call]])&lt;=6, YEAR(calls[[#This Row],[Date of Call]]), YEAR(calls[[#This Row],[Date of Call]])+1)</f>
        <v>2023</v>
      </c>
      <c r="K499" t="str">
        <f>TEXT(calls[[#This Row],[Date of Call]],"DDDD")</f>
        <v>Thursday</v>
      </c>
      <c r="L499" t="str" cm="1">
        <f t="array" ref="L499">_xlfn.IFS(calls[[#This Row],[Duration]]&lt;=10,"under 10 mins",calls[[#This Row],[Duration]]&lt;=30,"10 to 30mins",calls[[#This Row],[Duration]]&lt;=60,"60 to 30mins",calls[[#This Row],[Duration]]&lt;=120,"1 to 2hrs",TRUE,"More than 2 hrs")</f>
        <v>1 to 2hrs</v>
      </c>
      <c r="M499">
        <f>ROUND(calls[[#This Row],[Satisfaction Rating]],0)</f>
        <v>4</v>
      </c>
      <c r="N499">
        <f>COUNTIF(calls[Customer ID], calls[[#This Row],[Customer ID]])</f>
        <v>69</v>
      </c>
      <c r="O499">
        <f>SUMIF(calls[Customer ID], calls[[#This Row],[Customer ID]], calls[Purchase Amount])</f>
        <v>7230</v>
      </c>
      <c r="P499">
        <f>calls[[#This Row],[call count]]/calls[[#This Row],[Purchase Amount]]</f>
        <v>0.59482758620689657</v>
      </c>
      <c r="Q499">
        <f>COUNTIF(calls[Customer ID],calls[[#This Row],[Customer ID]])</f>
        <v>69</v>
      </c>
      <c r="R499">
        <f>calls[[#This Row],[call count]]/calls[[#This Row],[Purchase Amount]]</f>
        <v>0.59482758620689657</v>
      </c>
    </row>
    <row r="500" spans="1:18" x14ac:dyDescent="0.4">
      <c r="A500" t="s">
        <v>530</v>
      </c>
      <c r="B500" t="s">
        <v>40</v>
      </c>
      <c r="C500">
        <v>115</v>
      </c>
      <c r="D500" s="4" t="s">
        <v>27</v>
      </c>
      <c r="E500" s="5">
        <v>45071</v>
      </c>
      <c r="F500">
        <v>40</v>
      </c>
      <c r="G500">
        <f>AVERAGEIF(calls[Representative], calls[[#This Row],[Representative]], calls[Satisfaction Rating])</f>
        <v>3.8589371980676304</v>
      </c>
      <c r="H500" t="str">
        <f>IF(AVERAGEIF(calls[Representative],calls[[#This Row],[Representative]],calls[Satisfaction Rating])&lt;3.5,"Needs Training","OK")</f>
        <v>OK</v>
      </c>
      <c r="I500">
        <v>4.9000000000000004</v>
      </c>
      <c r="J500">
        <f>IF(MONTH(calls[[#This Row],[Date of Call]])&lt;=6, YEAR(calls[[#This Row],[Date of Call]]), YEAR(calls[[#This Row],[Date of Call]])+1)</f>
        <v>2023</v>
      </c>
      <c r="K500" t="str">
        <f>TEXT(calls[[#This Row],[Date of Call]],"DDDD")</f>
        <v>Thursday</v>
      </c>
      <c r="L500" t="str" cm="1">
        <f t="array" ref="L500">_xlfn.IFS(calls[[#This Row],[Duration]]&lt;=10,"under 10 mins",calls[[#This Row],[Duration]]&lt;=30,"10 to 30mins",calls[[#This Row],[Duration]]&lt;=60,"60 to 30mins",calls[[#This Row],[Duration]]&lt;=120,"1 to 2hrs",TRUE,"More than 2 hrs")</f>
        <v>1 to 2hrs</v>
      </c>
      <c r="M500">
        <f>ROUND(calls[[#This Row],[Satisfaction Rating]],0)</f>
        <v>5</v>
      </c>
      <c r="N500">
        <f>COUNTIF(calls[Customer ID], calls[[#This Row],[Customer ID]])</f>
        <v>69</v>
      </c>
      <c r="O500">
        <f>SUMIF(calls[Customer ID], calls[[#This Row],[Customer ID]], calls[Purchase Amount])</f>
        <v>6601</v>
      </c>
      <c r="P500">
        <f>calls[[#This Row],[call count]]/calls[[#This Row],[Purchase Amount]]</f>
        <v>1.7250000000000001</v>
      </c>
      <c r="Q500">
        <f>COUNTIF(calls[Customer ID],calls[[#This Row],[Customer ID]])</f>
        <v>69</v>
      </c>
      <c r="R500">
        <f>calls[[#This Row],[call count]]/calls[[#This Row],[Purchase Amount]]</f>
        <v>1.7250000000000001</v>
      </c>
    </row>
    <row r="501" spans="1:18" x14ac:dyDescent="0.4">
      <c r="A501" t="s">
        <v>531</v>
      </c>
      <c r="B501" t="s">
        <v>40</v>
      </c>
      <c r="C501">
        <v>117</v>
      </c>
      <c r="D501" s="4" t="s">
        <v>23</v>
      </c>
      <c r="E501" s="5">
        <v>45071</v>
      </c>
      <c r="F501">
        <v>40</v>
      </c>
      <c r="G501">
        <f>AVERAGEIF(calls[Representative], calls[[#This Row],[Representative]], calls[Satisfaction Rating])</f>
        <v>3.8973118279569863</v>
      </c>
      <c r="H501" t="str">
        <f>IF(AVERAGEIF(calls[Representative],calls[[#This Row],[Representative]],calls[Satisfaction Rating])&lt;3.5,"Needs Training","OK")</f>
        <v>OK</v>
      </c>
      <c r="I501">
        <v>4</v>
      </c>
      <c r="J501">
        <f>IF(MONTH(calls[[#This Row],[Date of Call]])&lt;=6, YEAR(calls[[#This Row],[Date of Call]]), YEAR(calls[[#This Row],[Date of Call]])+1)</f>
        <v>2023</v>
      </c>
      <c r="K501" t="str">
        <f>TEXT(calls[[#This Row],[Date of Call]],"DDDD")</f>
        <v>Thursday</v>
      </c>
      <c r="L501" t="str" cm="1">
        <f t="array" ref="L501">_xlfn.IFS(calls[[#This Row],[Duration]]&lt;=10,"under 10 mins",calls[[#This Row],[Duration]]&lt;=30,"10 to 30mins",calls[[#This Row],[Duration]]&lt;=60,"60 to 30mins",calls[[#This Row],[Duration]]&lt;=120,"1 to 2hrs",TRUE,"More than 2 hrs")</f>
        <v>1 to 2hrs</v>
      </c>
      <c r="M501">
        <f>ROUND(calls[[#This Row],[Satisfaction Rating]],0)</f>
        <v>4</v>
      </c>
      <c r="N501">
        <f>COUNTIF(calls[Customer ID], calls[[#This Row],[Customer ID]])</f>
        <v>69</v>
      </c>
      <c r="O501">
        <f>SUMIF(calls[Customer ID], calls[[#This Row],[Customer ID]], calls[Purchase Amount])</f>
        <v>6601</v>
      </c>
      <c r="P501">
        <f>calls[[#This Row],[call count]]/calls[[#This Row],[Purchase Amount]]</f>
        <v>1.7250000000000001</v>
      </c>
      <c r="Q501">
        <f>COUNTIF(calls[Customer ID],calls[[#This Row],[Customer ID]])</f>
        <v>69</v>
      </c>
      <c r="R501">
        <f>calls[[#This Row],[call count]]/calls[[#This Row],[Purchase Amount]]</f>
        <v>1.7250000000000001</v>
      </c>
    </row>
    <row r="502" spans="1:18" x14ac:dyDescent="0.4">
      <c r="A502" t="s">
        <v>532</v>
      </c>
      <c r="B502" t="s">
        <v>64</v>
      </c>
      <c r="C502">
        <v>110</v>
      </c>
      <c r="D502" s="4" t="s">
        <v>14</v>
      </c>
      <c r="E502" s="5">
        <v>45072</v>
      </c>
      <c r="F502">
        <v>82</v>
      </c>
      <c r="G502">
        <f>AVERAGEIF(calls[Representative], calls[[#This Row],[Representative]], calls[Satisfaction Rating])</f>
        <v>3.9227513227513247</v>
      </c>
      <c r="H502" t="str">
        <f>IF(AVERAGEIF(calls[Representative],calls[[#This Row],[Representative]],calls[Satisfaction Rating])&lt;3.5,"Needs Training","OK")</f>
        <v>OK</v>
      </c>
      <c r="I502">
        <v>4</v>
      </c>
      <c r="J502">
        <f>IF(MONTH(calls[[#This Row],[Date of Call]])&lt;=6, YEAR(calls[[#This Row],[Date of Call]]), YEAR(calls[[#This Row],[Date of Call]])+1)</f>
        <v>2023</v>
      </c>
      <c r="K502" t="str">
        <f>TEXT(calls[[#This Row],[Date of Call]],"DDDD")</f>
        <v>Friday</v>
      </c>
      <c r="L502" t="str" cm="1">
        <f t="array" ref="L502">_xlfn.IFS(calls[[#This Row],[Duration]]&lt;=10,"under 10 mins",calls[[#This Row],[Duration]]&lt;=30,"10 to 30mins",calls[[#This Row],[Duration]]&lt;=60,"60 to 30mins",calls[[#This Row],[Duration]]&lt;=120,"1 to 2hrs",TRUE,"More than 2 hrs")</f>
        <v>1 to 2hrs</v>
      </c>
      <c r="M502">
        <f>ROUND(calls[[#This Row],[Satisfaction Rating]],0)</f>
        <v>4</v>
      </c>
      <c r="N502">
        <f>COUNTIF(calls[Customer ID], calls[[#This Row],[Customer ID]])</f>
        <v>65</v>
      </c>
      <c r="O502">
        <f>SUMIF(calls[Customer ID], calls[[#This Row],[Customer ID]], calls[Purchase Amount])</f>
        <v>6785</v>
      </c>
      <c r="P502">
        <f>calls[[#This Row],[call count]]/calls[[#This Row],[Purchase Amount]]</f>
        <v>0.79268292682926833</v>
      </c>
      <c r="Q502">
        <f>COUNTIF(calls[Customer ID],calls[[#This Row],[Customer ID]])</f>
        <v>65</v>
      </c>
      <c r="R502">
        <f>calls[[#This Row],[call count]]/calls[[#This Row],[Purchase Amount]]</f>
        <v>0.79268292682926833</v>
      </c>
    </row>
    <row r="503" spans="1:18" x14ac:dyDescent="0.4">
      <c r="A503" t="s">
        <v>533</v>
      </c>
      <c r="B503" t="s">
        <v>32</v>
      </c>
      <c r="C503">
        <v>103</v>
      </c>
      <c r="D503" s="4" t="s">
        <v>2</v>
      </c>
      <c r="E503" s="5">
        <v>45072</v>
      </c>
      <c r="F503">
        <v>62</v>
      </c>
      <c r="G503">
        <f>AVERAGEIF(calls[Representative], calls[[#This Row],[Representative]], calls[Satisfaction Rating])</f>
        <v>3.8824999999999998</v>
      </c>
      <c r="H503" t="str">
        <f>IF(AVERAGEIF(calls[Representative],calls[[#This Row],[Representative]],calls[Satisfaction Rating])&lt;3.5,"Needs Training","OK")</f>
        <v>OK</v>
      </c>
      <c r="I503">
        <v>3.4</v>
      </c>
      <c r="J503">
        <f>IF(MONTH(calls[[#This Row],[Date of Call]])&lt;=6, YEAR(calls[[#This Row],[Date of Call]]), YEAR(calls[[#This Row],[Date of Call]])+1)</f>
        <v>2023</v>
      </c>
      <c r="K503" t="str">
        <f>TEXT(calls[[#This Row],[Date of Call]],"DDDD")</f>
        <v>Friday</v>
      </c>
      <c r="L503" t="str" cm="1">
        <f t="array" ref="L503">_xlfn.IFS(calls[[#This Row],[Duration]]&lt;=10,"under 10 mins",calls[[#This Row],[Duration]]&lt;=30,"10 to 30mins",calls[[#This Row],[Duration]]&lt;=60,"60 to 30mins",calls[[#This Row],[Duration]]&lt;=120,"1 to 2hrs",TRUE,"More than 2 hrs")</f>
        <v>1 to 2hrs</v>
      </c>
      <c r="M503">
        <f>ROUND(calls[[#This Row],[Satisfaction Rating]],0)</f>
        <v>3</v>
      </c>
      <c r="N503">
        <f>COUNTIF(calls[Customer ID], calls[[#This Row],[Customer ID]])</f>
        <v>63</v>
      </c>
      <c r="O503">
        <f>SUMIF(calls[Customer ID], calls[[#This Row],[Customer ID]], calls[Purchase Amount])</f>
        <v>5634</v>
      </c>
      <c r="P503">
        <f>calls[[#This Row],[call count]]/calls[[#This Row],[Purchase Amount]]</f>
        <v>1.0161290322580645</v>
      </c>
      <c r="Q503">
        <f>COUNTIF(calls[Customer ID],calls[[#This Row],[Customer ID]])</f>
        <v>63</v>
      </c>
      <c r="R503">
        <f>calls[[#This Row],[call count]]/calls[[#This Row],[Purchase Amount]]</f>
        <v>1.0161290322580645</v>
      </c>
    </row>
    <row r="504" spans="1:18" x14ac:dyDescent="0.4">
      <c r="A504" t="s">
        <v>534</v>
      </c>
      <c r="B504" t="s">
        <v>11</v>
      </c>
      <c r="C504">
        <v>45</v>
      </c>
      <c r="D504" s="4" t="s">
        <v>2</v>
      </c>
      <c r="E504" s="5">
        <v>45072</v>
      </c>
      <c r="F504">
        <v>135</v>
      </c>
      <c r="G504">
        <f>AVERAGEIF(calls[Representative], calls[[#This Row],[Representative]], calls[Satisfaction Rating])</f>
        <v>3.8824999999999998</v>
      </c>
      <c r="H504" t="str">
        <f>IF(AVERAGEIF(calls[Representative],calls[[#This Row],[Representative]],calls[Satisfaction Rating])&lt;3.5,"Needs Training","OK")</f>
        <v>OK</v>
      </c>
      <c r="I504">
        <v>3.9</v>
      </c>
      <c r="J504">
        <f>IF(MONTH(calls[[#This Row],[Date of Call]])&lt;=6, YEAR(calls[[#This Row],[Date of Call]]), YEAR(calls[[#This Row],[Date of Call]])+1)</f>
        <v>2023</v>
      </c>
      <c r="K504" t="str">
        <f>TEXT(calls[[#This Row],[Date of Call]],"DDDD")</f>
        <v>Friday</v>
      </c>
      <c r="L504" t="str" cm="1">
        <f t="array" ref="L504">_xlfn.IFS(calls[[#This Row],[Duration]]&lt;=10,"under 10 mins",calls[[#This Row],[Duration]]&lt;=30,"10 to 30mins",calls[[#This Row],[Duration]]&lt;=60,"60 to 30mins",calls[[#This Row],[Duration]]&lt;=120,"1 to 2hrs",TRUE,"More than 2 hrs")</f>
        <v>60 to 30mins</v>
      </c>
      <c r="M504">
        <f>ROUND(calls[[#This Row],[Satisfaction Rating]],0)</f>
        <v>4</v>
      </c>
      <c r="N504">
        <f>COUNTIF(calls[Customer ID], calls[[#This Row],[Customer ID]])</f>
        <v>60</v>
      </c>
      <c r="O504">
        <f>SUMIF(calls[Customer ID], calls[[#This Row],[Customer ID]], calls[Purchase Amount])</f>
        <v>5404</v>
      </c>
      <c r="P504">
        <f>calls[[#This Row],[call count]]/calls[[#This Row],[Purchase Amount]]</f>
        <v>0.44444444444444442</v>
      </c>
      <c r="Q504">
        <f>COUNTIF(calls[Customer ID],calls[[#This Row],[Customer ID]])</f>
        <v>60</v>
      </c>
      <c r="R504">
        <f>calls[[#This Row],[call count]]/calls[[#This Row],[Purchase Amount]]</f>
        <v>0.44444444444444442</v>
      </c>
    </row>
    <row r="505" spans="1:18" x14ac:dyDescent="0.4">
      <c r="A505" t="s">
        <v>535</v>
      </c>
      <c r="B505" t="s">
        <v>64</v>
      </c>
      <c r="C505">
        <v>110</v>
      </c>
      <c r="D505" s="4" t="s">
        <v>9</v>
      </c>
      <c r="E505" s="5">
        <v>45072</v>
      </c>
      <c r="F505">
        <v>155</v>
      </c>
      <c r="G505">
        <f>AVERAGEIF(calls[Representative], calls[[#This Row],[Representative]], calls[Satisfaction Rating])</f>
        <v>3.8706422018348627</v>
      </c>
      <c r="H505" t="str">
        <f>IF(AVERAGEIF(calls[Representative],calls[[#This Row],[Representative]],calls[Satisfaction Rating])&lt;3.5,"Needs Training","OK")</f>
        <v>OK</v>
      </c>
      <c r="I505">
        <v>2.1</v>
      </c>
      <c r="J505">
        <f>IF(MONTH(calls[[#This Row],[Date of Call]])&lt;=6, YEAR(calls[[#This Row],[Date of Call]]), YEAR(calls[[#This Row],[Date of Call]])+1)</f>
        <v>2023</v>
      </c>
      <c r="K505" t="str">
        <f>TEXT(calls[[#This Row],[Date of Call]],"DDDD")</f>
        <v>Friday</v>
      </c>
      <c r="L505" t="str" cm="1">
        <f t="array" ref="L505">_xlfn.IFS(calls[[#This Row],[Duration]]&lt;=10,"under 10 mins",calls[[#This Row],[Duration]]&lt;=30,"10 to 30mins",calls[[#This Row],[Duration]]&lt;=60,"60 to 30mins",calls[[#This Row],[Duration]]&lt;=120,"1 to 2hrs",TRUE,"More than 2 hrs")</f>
        <v>1 to 2hrs</v>
      </c>
      <c r="M505">
        <f>ROUND(calls[[#This Row],[Satisfaction Rating]],0)</f>
        <v>2</v>
      </c>
      <c r="N505">
        <f>COUNTIF(calls[Customer ID], calls[[#This Row],[Customer ID]])</f>
        <v>65</v>
      </c>
      <c r="O505">
        <f>SUMIF(calls[Customer ID], calls[[#This Row],[Customer ID]], calls[Purchase Amount])</f>
        <v>6785</v>
      </c>
      <c r="P505">
        <f>calls[[#This Row],[call count]]/calls[[#This Row],[Purchase Amount]]</f>
        <v>0.41935483870967744</v>
      </c>
      <c r="Q505">
        <f>COUNTIF(calls[Customer ID],calls[[#This Row],[Customer ID]])</f>
        <v>65</v>
      </c>
      <c r="R505">
        <f>calls[[#This Row],[call count]]/calls[[#This Row],[Purchase Amount]]</f>
        <v>0.41935483870967744</v>
      </c>
    </row>
    <row r="506" spans="1:18" x14ac:dyDescent="0.4">
      <c r="A506" t="s">
        <v>536</v>
      </c>
      <c r="B506" t="s">
        <v>26</v>
      </c>
      <c r="C506">
        <v>43</v>
      </c>
      <c r="D506" s="4" t="s">
        <v>14</v>
      </c>
      <c r="E506" s="5">
        <v>45072</v>
      </c>
      <c r="F506">
        <v>37</v>
      </c>
      <c r="G506">
        <f>AVERAGEIF(calls[Representative], calls[[#This Row],[Representative]], calls[Satisfaction Rating])</f>
        <v>3.9227513227513247</v>
      </c>
      <c r="H506" t="str">
        <f>IF(AVERAGEIF(calls[Representative],calls[[#This Row],[Representative]],calls[Satisfaction Rating])&lt;3.5,"Needs Training","OK")</f>
        <v>OK</v>
      </c>
      <c r="I506">
        <v>4.9000000000000004</v>
      </c>
      <c r="J506">
        <f>IF(MONTH(calls[[#This Row],[Date of Call]])&lt;=6, YEAR(calls[[#This Row],[Date of Call]]), YEAR(calls[[#This Row],[Date of Call]])+1)</f>
        <v>2023</v>
      </c>
      <c r="K506" t="str">
        <f>TEXT(calls[[#This Row],[Date of Call]],"DDDD")</f>
        <v>Friday</v>
      </c>
      <c r="L506" t="str" cm="1">
        <f t="array" ref="L506">_xlfn.IFS(calls[[#This Row],[Duration]]&lt;=10,"under 10 mins",calls[[#This Row],[Duration]]&lt;=30,"10 to 30mins",calls[[#This Row],[Duration]]&lt;=60,"60 to 30mins",calls[[#This Row],[Duration]]&lt;=120,"1 to 2hrs",TRUE,"More than 2 hrs")</f>
        <v>60 to 30mins</v>
      </c>
      <c r="M506">
        <f>ROUND(calls[[#This Row],[Satisfaction Rating]],0)</f>
        <v>5</v>
      </c>
      <c r="N506">
        <f>COUNTIF(calls[Customer ID], calls[[#This Row],[Customer ID]])</f>
        <v>72</v>
      </c>
      <c r="O506">
        <f>SUMIF(calls[Customer ID], calls[[#This Row],[Customer ID]], calls[Purchase Amount])</f>
        <v>6242</v>
      </c>
      <c r="P506">
        <f>calls[[#This Row],[call count]]/calls[[#This Row],[Purchase Amount]]</f>
        <v>1.9459459459459461</v>
      </c>
      <c r="Q506">
        <f>COUNTIF(calls[Customer ID],calls[[#This Row],[Customer ID]])</f>
        <v>72</v>
      </c>
      <c r="R506">
        <f>calls[[#This Row],[call count]]/calls[[#This Row],[Purchase Amount]]</f>
        <v>1.9459459459459461</v>
      </c>
    </row>
    <row r="507" spans="1:18" x14ac:dyDescent="0.4">
      <c r="A507" t="s">
        <v>537</v>
      </c>
      <c r="B507" t="s">
        <v>64</v>
      </c>
      <c r="C507">
        <v>104</v>
      </c>
      <c r="D507" s="4" t="s">
        <v>23</v>
      </c>
      <c r="E507" s="5">
        <v>45073</v>
      </c>
      <c r="F507">
        <v>56</v>
      </c>
      <c r="G507">
        <f>AVERAGEIF(calls[Representative], calls[[#This Row],[Representative]], calls[Satisfaction Rating])</f>
        <v>3.8973118279569863</v>
      </c>
      <c r="H507" t="str">
        <f>IF(AVERAGEIF(calls[Representative],calls[[#This Row],[Representative]],calls[Satisfaction Rating])&lt;3.5,"Needs Training","OK")</f>
        <v>OK</v>
      </c>
      <c r="I507">
        <v>3.4</v>
      </c>
      <c r="J507">
        <f>IF(MONTH(calls[[#This Row],[Date of Call]])&lt;=6, YEAR(calls[[#This Row],[Date of Call]]), YEAR(calls[[#This Row],[Date of Call]])+1)</f>
        <v>2023</v>
      </c>
      <c r="K507" t="str">
        <f>TEXT(calls[[#This Row],[Date of Call]],"DDDD")</f>
        <v>Saturday</v>
      </c>
      <c r="L507" t="str" cm="1">
        <f t="array" ref="L507">_xlfn.IFS(calls[[#This Row],[Duration]]&lt;=10,"under 10 mins",calls[[#This Row],[Duration]]&lt;=30,"10 to 30mins",calls[[#This Row],[Duration]]&lt;=60,"60 to 30mins",calls[[#This Row],[Duration]]&lt;=120,"1 to 2hrs",TRUE,"More than 2 hrs")</f>
        <v>1 to 2hrs</v>
      </c>
      <c r="M507">
        <f>ROUND(calls[[#This Row],[Satisfaction Rating]],0)</f>
        <v>3</v>
      </c>
      <c r="N507">
        <f>COUNTIF(calls[Customer ID], calls[[#This Row],[Customer ID]])</f>
        <v>65</v>
      </c>
      <c r="O507">
        <f>SUMIF(calls[Customer ID], calls[[#This Row],[Customer ID]], calls[Purchase Amount])</f>
        <v>6785</v>
      </c>
      <c r="P507">
        <f>calls[[#This Row],[call count]]/calls[[#This Row],[Purchase Amount]]</f>
        <v>1.1607142857142858</v>
      </c>
      <c r="Q507">
        <f>COUNTIF(calls[Customer ID],calls[[#This Row],[Customer ID]])</f>
        <v>65</v>
      </c>
      <c r="R507">
        <f>calls[[#This Row],[call count]]/calls[[#This Row],[Purchase Amount]]</f>
        <v>1.1607142857142858</v>
      </c>
    </row>
    <row r="508" spans="1:18" x14ac:dyDescent="0.4">
      <c r="A508" t="s">
        <v>538</v>
      </c>
      <c r="B508" t="s">
        <v>64</v>
      </c>
      <c r="C508">
        <v>101</v>
      </c>
      <c r="D508" s="4" t="s">
        <v>23</v>
      </c>
      <c r="E508" s="5">
        <v>45073</v>
      </c>
      <c r="F508">
        <v>185</v>
      </c>
      <c r="G508">
        <f>AVERAGEIF(calls[Representative], calls[[#This Row],[Representative]], calls[Satisfaction Rating])</f>
        <v>3.8973118279569863</v>
      </c>
      <c r="H508" t="str">
        <f>IF(AVERAGEIF(calls[Representative],calls[[#This Row],[Representative]],calls[Satisfaction Rating])&lt;3.5,"Needs Training","OK")</f>
        <v>OK</v>
      </c>
      <c r="I508">
        <v>5</v>
      </c>
      <c r="J508">
        <f>IF(MONTH(calls[[#This Row],[Date of Call]])&lt;=6, YEAR(calls[[#This Row],[Date of Call]]), YEAR(calls[[#This Row],[Date of Call]])+1)</f>
        <v>2023</v>
      </c>
      <c r="K508" t="str">
        <f>TEXT(calls[[#This Row],[Date of Call]],"DDDD")</f>
        <v>Saturday</v>
      </c>
      <c r="L508" t="str" cm="1">
        <f t="array" ref="L508">_xlfn.IFS(calls[[#This Row],[Duration]]&lt;=10,"under 10 mins",calls[[#This Row],[Duration]]&lt;=30,"10 to 30mins",calls[[#This Row],[Duration]]&lt;=60,"60 to 30mins",calls[[#This Row],[Duration]]&lt;=120,"1 to 2hrs",TRUE,"More than 2 hrs")</f>
        <v>1 to 2hrs</v>
      </c>
      <c r="M508">
        <f>ROUND(calls[[#This Row],[Satisfaction Rating]],0)</f>
        <v>5</v>
      </c>
      <c r="N508">
        <f>COUNTIF(calls[Customer ID], calls[[#This Row],[Customer ID]])</f>
        <v>65</v>
      </c>
      <c r="O508">
        <f>SUMIF(calls[Customer ID], calls[[#This Row],[Customer ID]], calls[Purchase Amount])</f>
        <v>6785</v>
      </c>
      <c r="P508">
        <f>calls[[#This Row],[call count]]/calls[[#This Row],[Purchase Amount]]</f>
        <v>0.35135135135135137</v>
      </c>
      <c r="Q508">
        <f>COUNTIF(calls[Customer ID],calls[[#This Row],[Customer ID]])</f>
        <v>65</v>
      </c>
      <c r="R508">
        <f>calls[[#This Row],[call count]]/calls[[#This Row],[Purchase Amount]]</f>
        <v>0.35135135135135137</v>
      </c>
    </row>
    <row r="509" spans="1:18" x14ac:dyDescent="0.4">
      <c r="A509" t="s">
        <v>539</v>
      </c>
      <c r="B509" t="s">
        <v>1</v>
      </c>
      <c r="C509">
        <v>55</v>
      </c>
      <c r="D509" s="4" t="s">
        <v>14</v>
      </c>
      <c r="E509" s="5">
        <v>45074</v>
      </c>
      <c r="F509">
        <v>145</v>
      </c>
      <c r="G509">
        <f>AVERAGEIF(calls[Representative], calls[[#This Row],[Representative]], calls[Satisfaction Rating])</f>
        <v>3.9227513227513247</v>
      </c>
      <c r="H509" t="str">
        <f>IF(AVERAGEIF(calls[Representative],calls[[#This Row],[Representative]],calls[Satisfaction Rating])&lt;3.5,"Needs Training","OK")</f>
        <v>OK</v>
      </c>
      <c r="I509">
        <v>4.5</v>
      </c>
      <c r="J509">
        <f>IF(MONTH(calls[[#This Row],[Date of Call]])&lt;=6, YEAR(calls[[#This Row],[Date of Call]]), YEAR(calls[[#This Row],[Date of Call]])+1)</f>
        <v>2023</v>
      </c>
      <c r="K509" t="str">
        <f>TEXT(calls[[#This Row],[Date of Call]],"DDDD")</f>
        <v>Sunday</v>
      </c>
      <c r="L509" t="str" cm="1">
        <f t="array" ref="L509">_xlfn.IFS(calls[[#This Row],[Duration]]&lt;=10,"under 10 mins",calls[[#This Row],[Duration]]&lt;=30,"10 to 30mins",calls[[#This Row],[Duration]]&lt;=60,"60 to 30mins",calls[[#This Row],[Duration]]&lt;=120,"1 to 2hrs",TRUE,"More than 2 hrs")</f>
        <v>60 to 30mins</v>
      </c>
      <c r="M509">
        <f>ROUND(calls[[#This Row],[Satisfaction Rating]],0)</f>
        <v>5</v>
      </c>
      <c r="N509">
        <f>COUNTIF(calls[Customer ID], calls[[#This Row],[Customer ID]])</f>
        <v>50</v>
      </c>
      <c r="O509">
        <f>SUMIF(calls[Customer ID], calls[[#This Row],[Customer ID]], calls[Purchase Amount])</f>
        <v>4804</v>
      </c>
      <c r="P509">
        <f>calls[[#This Row],[call count]]/calls[[#This Row],[Purchase Amount]]</f>
        <v>0.34482758620689657</v>
      </c>
      <c r="Q509">
        <f>COUNTIF(calls[Customer ID],calls[[#This Row],[Customer ID]])</f>
        <v>50</v>
      </c>
      <c r="R509">
        <f>calls[[#This Row],[call count]]/calls[[#This Row],[Purchase Amount]]</f>
        <v>0.34482758620689657</v>
      </c>
    </row>
    <row r="510" spans="1:18" x14ac:dyDescent="0.4">
      <c r="A510" t="s">
        <v>540</v>
      </c>
      <c r="B510" t="s">
        <v>30</v>
      </c>
      <c r="C510">
        <v>40</v>
      </c>
      <c r="D510" s="4" t="s">
        <v>2</v>
      </c>
      <c r="E510" s="5">
        <v>45074</v>
      </c>
      <c r="F510">
        <v>116</v>
      </c>
      <c r="G510">
        <f>AVERAGEIF(calls[Representative], calls[[#This Row],[Representative]], calls[Satisfaction Rating])</f>
        <v>3.8824999999999998</v>
      </c>
      <c r="H510" t="str">
        <f>IF(AVERAGEIF(calls[Representative],calls[[#This Row],[Representative]],calls[Satisfaction Rating])&lt;3.5,"Needs Training","OK")</f>
        <v>OK</v>
      </c>
      <c r="I510">
        <v>2.6</v>
      </c>
      <c r="J510">
        <f>IF(MONTH(calls[[#This Row],[Date of Call]])&lt;=6, YEAR(calls[[#This Row],[Date of Call]]), YEAR(calls[[#This Row],[Date of Call]])+1)</f>
        <v>2023</v>
      </c>
      <c r="K510" t="str">
        <f>TEXT(calls[[#This Row],[Date of Call]],"DDDD")</f>
        <v>Sunday</v>
      </c>
      <c r="L510" t="str" cm="1">
        <f t="array" ref="L510">_xlfn.IFS(calls[[#This Row],[Duration]]&lt;=10,"under 10 mins",calls[[#This Row],[Duration]]&lt;=30,"10 to 30mins",calls[[#This Row],[Duration]]&lt;=60,"60 to 30mins",calls[[#This Row],[Duration]]&lt;=120,"1 to 2hrs",TRUE,"More than 2 hrs")</f>
        <v>60 to 30mins</v>
      </c>
      <c r="M510">
        <f>ROUND(calls[[#This Row],[Satisfaction Rating]],0)</f>
        <v>3</v>
      </c>
      <c r="N510">
        <f>COUNTIF(calls[Customer ID], calls[[#This Row],[Customer ID]])</f>
        <v>69</v>
      </c>
      <c r="O510">
        <f>SUMIF(calls[Customer ID], calls[[#This Row],[Customer ID]], calls[Purchase Amount])</f>
        <v>7230</v>
      </c>
      <c r="P510">
        <f>calls[[#This Row],[call count]]/calls[[#This Row],[Purchase Amount]]</f>
        <v>0.59482758620689657</v>
      </c>
      <c r="Q510">
        <f>COUNTIF(calls[Customer ID],calls[[#This Row],[Customer ID]])</f>
        <v>69</v>
      </c>
      <c r="R510">
        <f>calls[[#This Row],[call count]]/calls[[#This Row],[Purchase Amount]]</f>
        <v>0.59482758620689657</v>
      </c>
    </row>
    <row r="511" spans="1:18" x14ac:dyDescent="0.4">
      <c r="A511" t="s">
        <v>541</v>
      </c>
      <c r="B511" t="s">
        <v>26</v>
      </c>
      <c r="C511">
        <v>122</v>
      </c>
      <c r="D511" s="4" t="s">
        <v>27</v>
      </c>
      <c r="E511" s="5">
        <v>45074</v>
      </c>
      <c r="F511">
        <v>45</v>
      </c>
      <c r="G511">
        <f>AVERAGEIF(calls[Representative], calls[[#This Row],[Representative]], calls[Satisfaction Rating])</f>
        <v>3.8589371980676304</v>
      </c>
      <c r="H511" t="str">
        <f>IF(AVERAGEIF(calls[Representative],calls[[#This Row],[Representative]],calls[Satisfaction Rating])&lt;3.5,"Needs Training","OK")</f>
        <v>OK</v>
      </c>
      <c r="I511">
        <v>4.2</v>
      </c>
      <c r="J511">
        <f>IF(MONTH(calls[[#This Row],[Date of Call]])&lt;=6, YEAR(calls[[#This Row],[Date of Call]]), YEAR(calls[[#This Row],[Date of Call]])+1)</f>
        <v>2023</v>
      </c>
      <c r="K511" t="str">
        <f>TEXT(calls[[#This Row],[Date of Call]],"DDDD")</f>
        <v>Sunday</v>
      </c>
      <c r="L511" t="str" cm="1">
        <f t="array" ref="L511">_xlfn.IFS(calls[[#This Row],[Duration]]&lt;=10,"under 10 mins",calls[[#This Row],[Duration]]&lt;=30,"10 to 30mins",calls[[#This Row],[Duration]]&lt;=60,"60 to 30mins",calls[[#This Row],[Duration]]&lt;=120,"1 to 2hrs",TRUE,"More than 2 hrs")</f>
        <v>More than 2 hrs</v>
      </c>
      <c r="M511">
        <f>ROUND(calls[[#This Row],[Satisfaction Rating]],0)</f>
        <v>4</v>
      </c>
      <c r="N511">
        <f>COUNTIF(calls[Customer ID], calls[[#This Row],[Customer ID]])</f>
        <v>72</v>
      </c>
      <c r="O511">
        <f>SUMIF(calls[Customer ID], calls[[#This Row],[Customer ID]], calls[Purchase Amount])</f>
        <v>6242</v>
      </c>
      <c r="P511">
        <f>calls[[#This Row],[call count]]/calls[[#This Row],[Purchase Amount]]</f>
        <v>1.6</v>
      </c>
      <c r="Q511">
        <f>COUNTIF(calls[Customer ID],calls[[#This Row],[Customer ID]])</f>
        <v>72</v>
      </c>
      <c r="R511">
        <f>calls[[#This Row],[call count]]/calls[[#This Row],[Purchase Amount]]</f>
        <v>1.6</v>
      </c>
    </row>
    <row r="512" spans="1:18" x14ac:dyDescent="0.4">
      <c r="A512" t="s">
        <v>542</v>
      </c>
      <c r="B512" t="s">
        <v>13</v>
      </c>
      <c r="C512">
        <v>98</v>
      </c>
      <c r="D512" s="4" t="s">
        <v>23</v>
      </c>
      <c r="E512" s="5">
        <v>45075</v>
      </c>
      <c r="F512">
        <v>35</v>
      </c>
      <c r="G512">
        <f>AVERAGEIF(calls[Representative], calls[[#This Row],[Representative]], calls[Satisfaction Rating])</f>
        <v>3.8973118279569863</v>
      </c>
      <c r="H512" t="str">
        <f>IF(AVERAGEIF(calls[Representative],calls[[#This Row],[Representative]],calls[Satisfaction Rating])&lt;3.5,"Needs Training","OK")</f>
        <v>OK</v>
      </c>
      <c r="I512">
        <v>4.5</v>
      </c>
      <c r="J512">
        <f>IF(MONTH(calls[[#This Row],[Date of Call]])&lt;=6, YEAR(calls[[#This Row],[Date of Call]]), YEAR(calls[[#This Row],[Date of Call]])+1)</f>
        <v>2023</v>
      </c>
      <c r="K512" t="str">
        <f>TEXT(calls[[#This Row],[Date of Call]],"DDDD")</f>
        <v>Monday</v>
      </c>
      <c r="L512" t="str" cm="1">
        <f t="array" ref="L512">_xlfn.IFS(calls[[#This Row],[Duration]]&lt;=10,"under 10 mins",calls[[#This Row],[Duration]]&lt;=30,"10 to 30mins",calls[[#This Row],[Duration]]&lt;=60,"60 to 30mins",calls[[#This Row],[Duration]]&lt;=120,"1 to 2hrs",TRUE,"More than 2 hrs")</f>
        <v>1 to 2hrs</v>
      </c>
      <c r="M512">
        <f>ROUND(calls[[#This Row],[Satisfaction Rating]],0)</f>
        <v>5</v>
      </c>
      <c r="N512">
        <f>COUNTIF(calls[Customer ID], calls[[#This Row],[Customer ID]])</f>
        <v>74</v>
      </c>
      <c r="O512">
        <f>SUMIF(calls[Customer ID], calls[[#This Row],[Customer ID]], calls[Purchase Amount])</f>
        <v>6749</v>
      </c>
      <c r="P512">
        <f>calls[[#This Row],[call count]]/calls[[#This Row],[Purchase Amount]]</f>
        <v>2.1142857142857143</v>
      </c>
      <c r="Q512">
        <f>COUNTIF(calls[Customer ID],calls[[#This Row],[Customer ID]])</f>
        <v>74</v>
      </c>
      <c r="R512">
        <f>calls[[#This Row],[call count]]/calls[[#This Row],[Purchase Amount]]</f>
        <v>2.1142857142857143</v>
      </c>
    </row>
    <row r="513" spans="1:18" x14ac:dyDescent="0.4">
      <c r="A513" t="s">
        <v>543</v>
      </c>
      <c r="B513" t="s">
        <v>40</v>
      </c>
      <c r="C513">
        <v>110</v>
      </c>
      <c r="D513" s="4" t="s">
        <v>2</v>
      </c>
      <c r="E513" s="5">
        <v>45075</v>
      </c>
      <c r="F513">
        <v>100</v>
      </c>
      <c r="G513">
        <f>AVERAGEIF(calls[Representative], calls[[#This Row],[Representative]], calls[Satisfaction Rating])</f>
        <v>3.8824999999999998</v>
      </c>
      <c r="H513" t="str">
        <f>IF(AVERAGEIF(calls[Representative],calls[[#This Row],[Representative]],calls[Satisfaction Rating])&lt;3.5,"Needs Training","OK")</f>
        <v>OK</v>
      </c>
      <c r="I513">
        <v>4.4000000000000004</v>
      </c>
      <c r="J513">
        <f>IF(MONTH(calls[[#This Row],[Date of Call]])&lt;=6, YEAR(calls[[#This Row],[Date of Call]]), YEAR(calls[[#This Row],[Date of Call]])+1)</f>
        <v>2023</v>
      </c>
      <c r="K513" t="str">
        <f>TEXT(calls[[#This Row],[Date of Call]],"DDDD")</f>
        <v>Monday</v>
      </c>
      <c r="L513" t="str" cm="1">
        <f t="array" ref="L513">_xlfn.IFS(calls[[#This Row],[Duration]]&lt;=10,"under 10 mins",calls[[#This Row],[Duration]]&lt;=30,"10 to 30mins",calls[[#This Row],[Duration]]&lt;=60,"60 to 30mins",calls[[#This Row],[Duration]]&lt;=120,"1 to 2hrs",TRUE,"More than 2 hrs")</f>
        <v>1 to 2hrs</v>
      </c>
      <c r="M513">
        <f>ROUND(calls[[#This Row],[Satisfaction Rating]],0)</f>
        <v>4</v>
      </c>
      <c r="N513">
        <f>COUNTIF(calls[Customer ID], calls[[#This Row],[Customer ID]])</f>
        <v>69</v>
      </c>
      <c r="O513">
        <f>SUMIF(calls[Customer ID], calls[[#This Row],[Customer ID]], calls[Purchase Amount])</f>
        <v>6601</v>
      </c>
      <c r="P513">
        <f>calls[[#This Row],[call count]]/calls[[#This Row],[Purchase Amount]]</f>
        <v>0.69</v>
      </c>
      <c r="Q513">
        <f>COUNTIF(calls[Customer ID],calls[[#This Row],[Customer ID]])</f>
        <v>69</v>
      </c>
      <c r="R513">
        <f>calls[[#This Row],[call count]]/calls[[#This Row],[Purchase Amount]]</f>
        <v>0.69</v>
      </c>
    </row>
    <row r="514" spans="1:18" x14ac:dyDescent="0.4">
      <c r="A514" t="s">
        <v>544</v>
      </c>
      <c r="B514" t="s">
        <v>40</v>
      </c>
      <c r="C514">
        <v>62</v>
      </c>
      <c r="D514" s="4" t="s">
        <v>14</v>
      </c>
      <c r="E514" s="5">
        <v>45076</v>
      </c>
      <c r="F514">
        <v>125</v>
      </c>
      <c r="G514">
        <f>AVERAGEIF(calls[Representative], calls[[#This Row],[Representative]], calls[Satisfaction Rating])</f>
        <v>3.9227513227513247</v>
      </c>
      <c r="H514" t="str">
        <f>IF(AVERAGEIF(calls[Representative],calls[[#This Row],[Representative]],calls[Satisfaction Rating])&lt;3.5,"Needs Training","OK")</f>
        <v>OK</v>
      </c>
      <c r="I514">
        <v>3.5</v>
      </c>
      <c r="J514">
        <f>IF(MONTH(calls[[#This Row],[Date of Call]])&lt;=6, YEAR(calls[[#This Row],[Date of Call]]), YEAR(calls[[#This Row],[Date of Call]])+1)</f>
        <v>2023</v>
      </c>
      <c r="K514" t="str">
        <f>TEXT(calls[[#This Row],[Date of Call]],"DDDD")</f>
        <v>Tuesday</v>
      </c>
      <c r="L514" t="str" cm="1">
        <f t="array" ref="L514">_xlfn.IFS(calls[[#This Row],[Duration]]&lt;=10,"under 10 mins",calls[[#This Row],[Duration]]&lt;=30,"10 to 30mins",calls[[#This Row],[Duration]]&lt;=60,"60 to 30mins",calls[[#This Row],[Duration]]&lt;=120,"1 to 2hrs",TRUE,"More than 2 hrs")</f>
        <v>1 to 2hrs</v>
      </c>
      <c r="M514">
        <f>ROUND(calls[[#This Row],[Satisfaction Rating]],0)</f>
        <v>4</v>
      </c>
      <c r="N514">
        <f>COUNTIF(calls[Customer ID], calls[[#This Row],[Customer ID]])</f>
        <v>69</v>
      </c>
      <c r="O514">
        <f>SUMIF(calls[Customer ID], calls[[#This Row],[Customer ID]], calls[Purchase Amount])</f>
        <v>6601</v>
      </c>
      <c r="P514">
        <f>calls[[#This Row],[call count]]/calls[[#This Row],[Purchase Amount]]</f>
        <v>0.55200000000000005</v>
      </c>
      <c r="Q514">
        <f>COUNTIF(calls[Customer ID],calls[[#This Row],[Customer ID]])</f>
        <v>69</v>
      </c>
      <c r="R514">
        <f>calls[[#This Row],[call count]]/calls[[#This Row],[Purchase Amount]]</f>
        <v>0.55200000000000005</v>
      </c>
    </row>
    <row r="515" spans="1:18" x14ac:dyDescent="0.4">
      <c r="A515" t="s">
        <v>545</v>
      </c>
      <c r="B515" t="s">
        <v>26</v>
      </c>
      <c r="C515">
        <v>134</v>
      </c>
      <c r="D515" s="4" t="s">
        <v>27</v>
      </c>
      <c r="E515" s="5">
        <v>45076</v>
      </c>
      <c r="F515">
        <v>120</v>
      </c>
      <c r="G515">
        <f>AVERAGEIF(calls[Representative], calls[[#This Row],[Representative]], calls[Satisfaction Rating])</f>
        <v>3.8589371980676304</v>
      </c>
      <c r="H515" t="str">
        <f>IF(AVERAGEIF(calls[Representative],calls[[#This Row],[Representative]],calls[Satisfaction Rating])&lt;3.5,"Needs Training","OK")</f>
        <v>OK</v>
      </c>
      <c r="I515">
        <v>3</v>
      </c>
      <c r="J515">
        <f>IF(MONTH(calls[[#This Row],[Date of Call]])&lt;=6, YEAR(calls[[#This Row],[Date of Call]]), YEAR(calls[[#This Row],[Date of Call]])+1)</f>
        <v>2023</v>
      </c>
      <c r="K515" t="str">
        <f>TEXT(calls[[#This Row],[Date of Call]],"DDDD")</f>
        <v>Tuesday</v>
      </c>
      <c r="L515" t="str" cm="1">
        <f t="array" ref="L515">_xlfn.IFS(calls[[#This Row],[Duration]]&lt;=10,"under 10 mins",calls[[#This Row],[Duration]]&lt;=30,"10 to 30mins",calls[[#This Row],[Duration]]&lt;=60,"60 to 30mins",calls[[#This Row],[Duration]]&lt;=120,"1 to 2hrs",TRUE,"More than 2 hrs")</f>
        <v>More than 2 hrs</v>
      </c>
      <c r="M515">
        <f>ROUND(calls[[#This Row],[Satisfaction Rating]],0)</f>
        <v>3</v>
      </c>
      <c r="N515">
        <f>COUNTIF(calls[Customer ID], calls[[#This Row],[Customer ID]])</f>
        <v>72</v>
      </c>
      <c r="O515">
        <f>SUMIF(calls[Customer ID], calls[[#This Row],[Customer ID]], calls[Purchase Amount])</f>
        <v>6242</v>
      </c>
      <c r="P515">
        <f>calls[[#This Row],[call count]]/calls[[#This Row],[Purchase Amount]]</f>
        <v>0.6</v>
      </c>
      <c r="Q515">
        <f>COUNTIF(calls[Customer ID],calls[[#This Row],[Customer ID]])</f>
        <v>72</v>
      </c>
      <c r="R515">
        <f>calls[[#This Row],[call count]]/calls[[#This Row],[Purchase Amount]]</f>
        <v>0.6</v>
      </c>
    </row>
    <row r="516" spans="1:18" x14ac:dyDescent="0.4">
      <c r="A516" t="s">
        <v>546</v>
      </c>
      <c r="B516" t="s">
        <v>51</v>
      </c>
      <c r="C516">
        <v>94</v>
      </c>
      <c r="D516" s="4" t="s">
        <v>9</v>
      </c>
      <c r="E516" s="5">
        <v>45076</v>
      </c>
      <c r="F516">
        <v>180</v>
      </c>
      <c r="G516">
        <f>AVERAGEIF(calls[Representative], calls[[#This Row],[Representative]], calls[Satisfaction Rating])</f>
        <v>3.8706422018348627</v>
      </c>
      <c r="H516" t="str">
        <f>IF(AVERAGEIF(calls[Representative],calls[[#This Row],[Representative]],calls[Satisfaction Rating])&lt;3.5,"Needs Training","OK")</f>
        <v>OK</v>
      </c>
      <c r="I516">
        <v>4.7</v>
      </c>
      <c r="J516">
        <f>IF(MONTH(calls[[#This Row],[Date of Call]])&lt;=6, YEAR(calls[[#This Row],[Date of Call]]), YEAR(calls[[#This Row],[Date of Call]])+1)</f>
        <v>2023</v>
      </c>
      <c r="K516" t="str">
        <f>TEXT(calls[[#This Row],[Date of Call]],"DDDD")</f>
        <v>Tuesday</v>
      </c>
      <c r="L516" t="str" cm="1">
        <f t="array" ref="L516">_xlfn.IFS(calls[[#This Row],[Duration]]&lt;=10,"under 10 mins",calls[[#This Row],[Duration]]&lt;=30,"10 to 30mins",calls[[#This Row],[Duration]]&lt;=60,"60 to 30mins",calls[[#This Row],[Duration]]&lt;=120,"1 to 2hrs",TRUE,"More than 2 hrs")</f>
        <v>1 to 2hrs</v>
      </c>
      <c r="M516">
        <f>ROUND(calls[[#This Row],[Satisfaction Rating]],0)</f>
        <v>5</v>
      </c>
      <c r="N516">
        <f>COUNTIF(calls[Customer ID], calls[[#This Row],[Customer ID]])</f>
        <v>59</v>
      </c>
      <c r="O516">
        <f>SUMIF(calls[Customer ID], calls[[#This Row],[Customer ID]], calls[Purchase Amount])</f>
        <v>6518</v>
      </c>
      <c r="P516">
        <f>calls[[#This Row],[call count]]/calls[[#This Row],[Purchase Amount]]</f>
        <v>0.32777777777777778</v>
      </c>
      <c r="Q516">
        <f>COUNTIF(calls[Customer ID],calls[[#This Row],[Customer ID]])</f>
        <v>59</v>
      </c>
      <c r="R516">
        <f>calls[[#This Row],[call count]]/calls[[#This Row],[Purchase Amount]]</f>
        <v>0.32777777777777778</v>
      </c>
    </row>
    <row r="517" spans="1:18" x14ac:dyDescent="0.4">
      <c r="A517" t="s">
        <v>547</v>
      </c>
      <c r="B517" t="s">
        <v>21</v>
      </c>
      <c r="C517">
        <v>63</v>
      </c>
      <c r="D517" s="4" t="s">
        <v>2</v>
      </c>
      <c r="E517" s="5">
        <v>45076</v>
      </c>
      <c r="F517">
        <v>44</v>
      </c>
      <c r="G517">
        <f>AVERAGEIF(calls[Representative], calls[[#This Row],[Representative]], calls[Satisfaction Rating])</f>
        <v>3.8824999999999998</v>
      </c>
      <c r="H517" t="str">
        <f>IF(AVERAGEIF(calls[Representative],calls[[#This Row],[Representative]],calls[Satisfaction Rating])&lt;3.5,"Needs Training","OK")</f>
        <v>OK</v>
      </c>
      <c r="I517">
        <v>3</v>
      </c>
      <c r="J517">
        <f>IF(MONTH(calls[[#This Row],[Date of Call]])&lt;=6, YEAR(calls[[#This Row],[Date of Call]]), YEAR(calls[[#This Row],[Date of Call]])+1)</f>
        <v>2023</v>
      </c>
      <c r="K517" t="str">
        <f>TEXT(calls[[#This Row],[Date of Call]],"DDDD")</f>
        <v>Tuesday</v>
      </c>
      <c r="L517" t="str" cm="1">
        <f t="array" ref="L517">_xlfn.IFS(calls[[#This Row],[Duration]]&lt;=10,"under 10 mins",calls[[#This Row],[Duration]]&lt;=30,"10 to 30mins",calls[[#This Row],[Duration]]&lt;=60,"60 to 30mins",calls[[#This Row],[Duration]]&lt;=120,"1 to 2hrs",TRUE,"More than 2 hrs")</f>
        <v>1 to 2hrs</v>
      </c>
      <c r="M517">
        <f>ROUND(calls[[#This Row],[Satisfaction Rating]],0)</f>
        <v>3</v>
      </c>
      <c r="N517">
        <f>COUNTIF(calls[Customer ID], calls[[#This Row],[Customer ID]])</f>
        <v>67</v>
      </c>
      <c r="O517">
        <f>SUMIF(calls[Customer ID], calls[[#This Row],[Customer ID]], calls[Purchase Amount])</f>
        <v>7216</v>
      </c>
      <c r="P517">
        <f>calls[[#This Row],[call count]]/calls[[#This Row],[Purchase Amount]]</f>
        <v>1.5227272727272727</v>
      </c>
      <c r="Q517">
        <f>COUNTIF(calls[Customer ID],calls[[#This Row],[Customer ID]])</f>
        <v>67</v>
      </c>
      <c r="R517">
        <f>calls[[#This Row],[call count]]/calls[[#This Row],[Purchase Amount]]</f>
        <v>1.5227272727272727</v>
      </c>
    </row>
    <row r="518" spans="1:18" x14ac:dyDescent="0.4">
      <c r="A518" t="s">
        <v>548</v>
      </c>
      <c r="B518" t="s">
        <v>44</v>
      </c>
      <c r="C518">
        <v>95</v>
      </c>
      <c r="D518" s="4" t="s">
        <v>27</v>
      </c>
      <c r="E518" s="5">
        <v>45076</v>
      </c>
      <c r="F518">
        <v>86</v>
      </c>
      <c r="G518">
        <f>AVERAGEIF(calls[Representative], calls[[#This Row],[Representative]], calls[Satisfaction Rating])</f>
        <v>3.8589371980676304</v>
      </c>
      <c r="H518" t="str">
        <f>IF(AVERAGEIF(calls[Representative],calls[[#This Row],[Representative]],calls[Satisfaction Rating])&lt;3.5,"Needs Training","OK")</f>
        <v>OK</v>
      </c>
      <c r="I518">
        <v>3.6</v>
      </c>
      <c r="J518">
        <f>IF(MONTH(calls[[#This Row],[Date of Call]])&lt;=6, YEAR(calls[[#This Row],[Date of Call]]), YEAR(calls[[#This Row],[Date of Call]])+1)</f>
        <v>2023</v>
      </c>
      <c r="K518" t="str">
        <f>TEXT(calls[[#This Row],[Date of Call]],"DDDD")</f>
        <v>Tuesday</v>
      </c>
      <c r="L518" t="str" cm="1">
        <f t="array" ref="L518">_xlfn.IFS(calls[[#This Row],[Duration]]&lt;=10,"under 10 mins",calls[[#This Row],[Duration]]&lt;=30,"10 to 30mins",calls[[#This Row],[Duration]]&lt;=60,"60 to 30mins",calls[[#This Row],[Duration]]&lt;=120,"1 to 2hrs",TRUE,"More than 2 hrs")</f>
        <v>1 to 2hrs</v>
      </c>
      <c r="M518">
        <f>ROUND(calls[[#This Row],[Satisfaction Rating]],0)</f>
        <v>4</v>
      </c>
      <c r="N518">
        <f>COUNTIF(calls[Customer ID], calls[[#This Row],[Customer ID]])</f>
        <v>62</v>
      </c>
      <c r="O518">
        <f>SUMIF(calls[Customer ID], calls[[#This Row],[Customer ID]], calls[Purchase Amount])</f>
        <v>6176</v>
      </c>
      <c r="P518">
        <f>calls[[#This Row],[call count]]/calls[[#This Row],[Purchase Amount]]</f>
        <v>0.72093023255813948</v>
      </c>
      <c r="Q518">
        <f>COUNTIF(calls[Customer ID],calls[[#This Row],[Customer ID]])</f>
        <v>62</v>
      </c>
      <c r="R518">
        <f>calls[[#This Row],[call count]]/calls[[#This Row],[Purchase Amount]]</f>
        <v>0.72093023255813948</v>
      </c>
    </row>
    <row r="519" spans="1:18" x14ac:dyDescent="0.4">
      <c r="A519" t="s">
        <v>549</v>
      </c>
      <c r="B519" t="s">
        <v>26</v>
      </c>
      <c r="C519">
        <v>106</v>
      </c>
      <c r="D519" s="4" t="s">
        <v>27</v>
      </c>
      <c r="E519" s="5">
        <v>45077</v>
      </c>
      <c r="F519">
        <v>120</v>
      </c>
      <c r="G519">
        <f>AVERAGEIF(calls[Representative], calls[[#This Row],[Representative]], calls[Satisfaction Rating])</f>
        <v>3.8589371980676304</v>
      </c>
      <c r="H519" t="str">
        <f>IF(AVERAGEIF(calls[Representative],calls[[#This Row],[Representative]],calls[Satisfaction Rating])&lt;3.5,"Needs Training","OK")</f>
        <v>OK</v>
      </c>
      <c r="I519">
        <v>4.0999999999999996</v>
      </c>
      <c r="J519">
        <f>IF(MONTH(calls[[#This Row],[Date of Call]])&lt;=6, YEAR(calls[[#This Row],[Date of Call]]), YEAR(calls[[#This Row],[Date of Call]])+1)</f>
        <v>2023</v>
      </c>
      <c r="K519" t="str">
        <f>TEXT(calls[[#This Row],[Date of Call]],"DDDD")</f>
        <v>Wednesday</v>
      </c>
      <c r="L519" t="str" cm="1">
        <f t="array" ref="L519">_xlfn.IFS(calls[[#This Row],[Duration]]&lt;=10,"under 10 mins",calls[[#This Row],[Duration]]&lt;=30,"10 to 30mins",calls[[#This Row],[Duration]]&lt;=60,"60 to 30mins",calls[[#This Row],[Duration]]&lt;=120,"1 to 2hrs",TRUE,"More than 2 hrs")</f>
        <v>1 to 2hrs</v>
      </c>
      <c r="M519">
        <f>ROUND(calls[[#This Row],[Satisfaction Rating]],0)</f>
        <v>4</v>
      </c>
      <c r="N519">
        <f>COUNTIF(calls[Customer ID], calls[[#This Row],[Customer ID]])</f>
        <v>72</v>
      </c>
      <c r="O519">
        <f>SUMIF(calls[Customer ID], calls[[#This Row],[Customer ID]], calls[Purchase Amount])</f>
        <v>6242</v>
      </c>
      <c r="P519">
        <f>calls[[#This Row],[call count]]/calls[[#This Row],[Purchase Amount]]</f>
        <v>0.6</v>
      </c>
      <c r="Q519">
        <f>COUNTIF(calls[Customer ID],calls[[#This Row],[Customer ID]])</f>
        <v>72</v>
      </c>
      <c r="R519">
        <f>calls[[#This Row],[call count]]/calls[[#This Row],[Purchase Amount]]</f>
        <v>0.6</v>
      </c>
    </row>
    <row r="520" spans="1:18" x14ac:dyDescent="0.4">
      <c r="A520" t="s">
        <v>550</v>
      </c>
      <c r="B520" t="s">
        <v>11</v>
      </c>
      <c r="C520">
        <v>94</v>
      </c>
      <c r="D520" s="4" t="s">
        <v>9</v>
      </c>
      <c r="E520" s="5">
        <v>45077</v>
      </c>
      <c r="F520">
        <v>100</v>
      </c>
      <c r="G520">
        <f>AVERAGEIF(calls[Representative], calls[[#This Row],[Representative]], calls[Satisfaction Rating])</f>
        <v>3.8706422018348627</v>
      </c>
      <c r="H520" t="str">
        <f>IF(AVERAGEIF(calls[Representative],calls[[#This Row],[Representative]],calls[Satisfaction Rating])&lt;3.5,"Needs Training","OK")</f>
        <v>OK</v>
      </c>
      <c r="I520">
        <v>3.7</v>
      </c>
      <c r="J520">
        <f>IF(MONTH(calls[[#This Row],[Date of Call]])&lt;=6, YEAR(calls[[#This Row],[Date of Call]]), YEAR(calls[[#This Row],[Date of Call]])+1)</f>
        <v>2023</v>
      </c>
      <c r="K520" t="str">
        <f>TEXT(calls[[#This Row],[Date of Call]],"DDDD")</f>
        <v>Wednesday</v>
      </c>
      <c r="L520" t="str" cm="1">
        <f t="array" ref="L520">_xlfn.IFS(calls[[#This Row],[Duration]]&lt;=10,"under 10 mins",calls[[#This Row],[Duration]]&lt;=30,"10 to 30mins",calls[[#This Row],[Duration]]&lt;=60,"60 to 30mins",calls[[#This Row],[Duration]]&lt;=120,"1 to 2hrs",TRUE,"More than 2 hrs")</f>
        <v>1 to 2hrs</v>
      </c>
      <c r="M520">
        <f>ROUND(calls[[#This Row],[Satisfaction Rating]],0)</f>
        <v>4</v>
      </c>
      <c r="N520">
        <f>COUNTIF(calls[Customer ID], calls[[#This Row],[Customer ID]])</f>
        <v>60</v>
      </c>
      <c r="O520">
        <f>SUMIF(calls[Customer ID], calls[[#This Row],[Customer ID]], calls[Purchase Amount])</f>
        <v>5404</v>
      </c>
      <c r="P520">
        <f>calls[[#This Row],[call count]]/calls[[#This Row],[Purchase Amount]]</f>
        <v>0.6</v>
      </c>
      <c r="Q520">
        <f>COUNTIF(calls[Customer ID],calls[[#This Row],[Customer ID]])</f>
        <v>60</v>
      </c>
      <c r="R520">
        <f>calls[[#This Row],[call count]]/calls[[#This Row],[Purchase Amount]]</f>
        <v>0.6</v>
      </c>
    </row>
    <row r="521" spans="1:18" x14ac:dyDescent="0.4">
      <c r="A521" t="s">
        <v>551</v>
      </c>
      <c r="B521" t="s">
        <v>11</v>
      </c>
      <c r="C521">
        <v>51</v>
      </c>
      <c r="D521" s="4" t="s">
        <v>9</v>
      </c>
      <c r="E521" s="5">
        <v>45078</v>
      </c>
      <c r="F521">
        <v>108</v>
      </c>
      <c r="G521">
        <f>AVERAGEIF(calls[Representative], calls[[#This Row],[Representative]], calls[Satisfaction Rating])</f>
        <v>3.8706422018348627</v>
      </c>
      <c r="H521" t="str">
        <f>IF(AVERAGEIF(calls[Representative],calls[[#This Row],[Representative]],calls[Satisfaction Rating])&lt;3.5,"Needs Training","OK")</f>
        <v>OK</v>
      </c>
      <c r="I521">
        <v>4.5</v>
      </c>
      <c r="J521">
        <f>IF(MONTH(calls[[#This Row],[Date of Call]])&lt;=6, YEAR(calls[[#This Row],[Date of Call]]), YEAR(calls[[#This Row],[Date of Call]])+1)</f>
        <v>2023</v>
      </c>
      <c r="K521" t="str">
        <f>TEXT(calls[[#This Row],[Date of Call]],"DDDD")</f>
        <v>Thursday</v>
      </c>
      <c r="L521" t="str" cm="1">
        <f t="array" ref="L521">_xlfn.IFS(calls[[#This Row],[Duration]]&lt;=10,"under 10 mins",calls[[#This Row],[Duration]]&lt;=30,"10 to 30mins",calls[[#This Row],[Duration]]&lt;=60,"60 to 30mins",calls[[#This Row],[Duration]]&lt;=120,"1 to 2hrs",TRUE,"More than 2 hrs")</f>
        <v>60 to 30mins</v>
      </c>
      <c r="M521">
        <f>ROUND(calls[[#This Row],[Satisfaction Rating]],0)</f>
        <v>5</v>
      </c>
      <c r="N521">
        <f>COUNTIF(calls[Customer ID], calls[[#This Row],[Customer ID]])</f>
        <v>60</v>
      </c>
      <c r="O521">
        <f>SUMIF(calls[Customer ID], calls[[#This Row],[Customer ID]], calls[Purchase Amount])</f>
        <v>5404</v>
      </c>
      <c r="P521">
        <f>calls[[#This Row],[call count]]/calls[[#This Row],[Purchase Amount]]</f>
        <v>0.55555555555555558</v>
      </c>
      <c r="Q521">
        <f>COUNTIF(calls[Customer ID],calls[[#This Row],[Customer ID]])</f>
        <v>60</v>
      </c>
      <c r="R521">
        <f>calls[[#This Row],[call count]]/calls[[#This Row],[Purchase Amount]]</f>
        <v>0.55555555555555558</v>
      </c>
    </row>
    <row r="522" spans="1:18" x14ac:dyDescent="0.4">
      <c r="A522" t="s">
        <v>552</v>
      </c>
      <c r="B522" t="s">
        <v>84</v>
      </c>
      <c r="C522">
        <v>39</v>
      </c>
      <c r="D522" s="4" t="s">
        <v>9</v>
      </c>
      <c r="E522" s="5">
        <v>45078</v>
      </c>
      <c r="F522">
        <v>46</v>
      </c>
      <c r="G522">
        <f>AVERAGEIF(calls[Representative], calls[[#This Row],[Representative]], calls[Satisfaction Rating])</f>
        <v>3.8706422018348627</v>
      </c>
      <c r="H522" t="str">
        <f>IF(AVERAGEIF(calls[Representative],calls[[#This Row],[Representative]],calls[Satisfaction Rating])&lt;3.5,"Needs Training","OK")</f>
        <v>OK</v>
      </c>
      <c r="I522">
        <v>4.5999999999999996</v>
      </c>
      <c r="J522">
        <f>IF(MONTH(calls[[#This Row],[Date of Call]])&lt;=6, YEAR(calls[[#This Row],[Date of Call]]), YEAR(calls[[#This Row],[Date of Call]])+1)</f>
        <v>2023</v>
      </c>
      <c r="K522" t="str">
        <f>TEXT(calls[[#This Row],[Date of Call]],"DDDD")</f>
        <v>Thursday</v>
      </c>
      <c r="L522" t="str" cm="1">
        <f t="array" ref="L522">_xlfn.IFS(calls[[#This Row],[Duration]]&lt;=10,"under 10 mins",calls[[#This Row],[Duration]]&lt;=30,"10 to 30mins",calls[[#This Row],[Duration]]&lt;=60,"60 to 30mins",calls[[#This Row],[Duration]]&lt;=120,"1 to 2hrs",TRUE,"More than 2 hrs")</f>
        <v>60 to 30mins</v>
      </c>
      <c r="M522">
        <f>ROUND(calls[[#This Row],[Satisfaction Rating]],0)</f>
        <v>5</v>
      </c>
      <c r="N522">
        <f>COUNTIF(calls[Customer ID], calls[[#This Row],[Customer ID]])</f>
        <v>59</v>
      </c>
      <c r="O522">
        <f>SUMIF(calls[Customer ID], calls[[#This Row],[Customer ID]], calls[Purchase Amount])</f>
        <v>5009</v>
      </c>
      <c r="P522">
        <f>calls[[#This Row],[call count]]/calls[[#This Row],[Purchase Amount]]</f>
        <v>1.2826086956521738</v>
      </c>
      <c r="Q522">
        <f>COUNTIF(calls[Customer ID],calls[[#This Row],[Customer ID]])</f>
        <v>59</v>
      </c>
      <c r="R522">
        <f>calls[[#This Row],[call count]]/calls[[#This Row],[Purchase Amount]]</f>
        <v>1.2826086956521738</v>
      </c>
    </row>
    <row r="523" spans="1:18" x14ac:dyDescent="0.4">
      <c r="A523" t="s">
        <v>553</v>
      </c>
      <c r="B523" t="s">
        <v>30</v>
      </c>
      <c r="C523">
        <v>111</v>
      </c>
      <c r="D523" s="4" t="s">
        <v>27</v>
      </c>
      <c r="E523" s="5">
        <v>45078</v>
      </c>
      <c r="F523">
        <v>210</v>
      </c>
      <c r="G523">
        <f>AVERAGEIF(calls[Representative], calls[[#This Row],[Representative]], calls[Satisfaction Rating])</f>
        <v>3.8589371980676304</v>
      </c>
      <c r="H523" t="str">
        <f>IF(AVERAGEIF(calls[Representative],calls[[#This Row],[Representative]],calls[Satisfaction Rating])&lt;3.5,"Needs Training","OK")</f>
        <v>OK</v>
      </c>
      <c r="I523">
        <v>4.3</v>
      </c>
      <c r="J523">
        <f>IF(MONTH(calls[[#This Row],[Date of Call]])&lt;=6, YEAR(calls[[#This Row],[Date of Call]]), YEAR(calls[[#This Row],[Date of Call]])+1)</f>
        <v>2023</v>
      </c>
      <c r="K523" t="str">
        <f>TEXT(calls[[#This Row],[Date of Call]],"DDDD")</f>
        <v>Thursday</v>
      </c>
      <c r="L523" t="str" cm="1">
        <f t="array" ref="L523">_xlfn.IFS(calls[[#This Row],[Duration]]&lt;=10,"under 10 mins",calls[[#This Row],[Duration]]&lt;=30,"10 to 30mins",calls[[#This Row],[Duration]]&lt;=60,"60 to 30mins",calls[[#This Row],[Duration]]&lt;=120,"1 to 2hrs",TRUE,"More than 2 hrs")</f>
        <v>1 to 2hrs</v>
      </c>
      <c r="M523">
        <f>ROUND(calls[[#This Row],[Satisfaction Rating]],0)</f>
        <v>4</v>
      </c>
      <c r="N523">
        <f>COUNTIF(calls[Customer ID], calls[[#This Row],[Customer ID]])</f>
        <v>69</v>
      </c>
      <c r="O523">
        <f>SUMIF(calls[Customer ID], calls[[#This Row],[Customer ID]], calls[Purchase Amount])</f>
        <v>7230</v>
      </c>
      <c r="P523">
        <f>calls[[#This Row],[call count]]/calls[[#This Row],[Purchase Amount]]</f>
        <v>0.32857142857142857</v>
      </c>
      <c r="Q523">
        <f>COUNTIF(calls[Customer ID],calls[[#This Row],[Customer ID]])</f>
        <v>69</v>
      </c>
      <c r="R523">
        <f>calls[[#This Row],[call count]]/calls[[#This Row],[Purchase Amount]]</f>
        <v>0.32857142857142857</v>
      </c>
    </row>
    <row r="524" spans="1:18" x14ac:dyDescent="0.4">
      <c r="A524" t="s">
        <v>554</v>
      </c>
      <c r="B524" t="s">
        <v>54</v>
      </c>
      <c r="C524">
        <v>141</v>
      </c>
      <c r="D524" s="4" t="s">
        <v>14</v>
      </c>
      <c r="E524" s="5">
        <v>45080</v>
      </c>
      <c r="F524">
        <v>54</v>
      </c>
      <c r="G524">
        <f>AVERAGEIF(calls[Representative], calls[[#This Row],[Representative]], calls[Satisfaction Rating])</f>
        <v>3.9227513227513247</v>
      </c>
      <c r="H524" t="str">
        <f>IF(AVERAGEIF(calls[Representative],calls[[#This Row],[Representative]],calls[Satisfaction Rating])&lt;3.5,"Needs Training","OK")</f>
        <v>OK</v>
      </c>
      <c r="I524">
        <v>4.8</v>
      </c>
      <c r="J524">
        <f>IF(MONTH(calls[[#This Row],[Date of Call]])&lt;=6, YEAR(calls[[#This Row],[Date of Call]]), YEAR(calls[[#This Row],[Date of Call]])+1)</f>
        <v>2023</v>
      </c>
      <c r="K524" t="str">
        <f>TEXT(calls[[#This Row],[Date of Call]],"DDDD")</f>
        <v>Saturday</v>
      </c>
      <c r="L524" t="str" cm="1">
        <f t="array" ref="L524">_xlfn.IFS(calls[[#This Row],[Duration]]&lt;=10,"under 10 mins",calls[[#This Row],[Duration]]&lt;=30,"10 to 30mins",calls[[#This Row],[Duration]]&lt;=60,"60 to 30mins",calls[[#This Row],[Duration]]&lt;=120,"1 to 2hrs",TRUE,"More than 2 hrs")</f>
        <v>More than 2 hrs</v>
      </c>
      <c r="M524">
        <f>ROUND(calls[[#This Row],[Satisfaction Rating]],0)</f>
        <v>5</v>
      </c>
      <c r="N524">
        <f>COUNTIF(calls[Customer ID], calls[[#This Row],[Customer ID]])</f>
        <v>70</v>
      </c>
      <c r="O524">
        <f>SUMIF(calls[Customer ID], calls[[#This Row],[Customer ID]], calls[Purchase Amount])</f>
        <v>6819</v>
      </c>
      <c r="P524">
        <f>calls[[#This Row],[call count]]/calls[[#This Row],[Purchase Amount]]</f>
        <v>1.2962962962962963</v>
      </c>
      <c r="Q524">
        <f>COUNTIF(calls[Customer ID],calls[[#This Row],[Customer ID]])</f>
        <v>70</v>
      </c>
      <c r="R524">
        <f>calls[[#This Row],[call count]]/calls[[#This Row],[Purchase Amount]]</f>
        <v>1.2962962962962963</v>
      </c>
    </row>
    <row r="525" spans="1:18" x14ac:dyDescent="0.4">
      <c r="A525" t="s">
        <v>555</v>
      </c>
      <c r="B525" t="s">
        <v>21</v>
      </c>
      <c r="C525">
        <v>147</v>
      </c>
      <c r="D525" s="4" t="s">
        <v>27</v>
      </c>
      <c r="E525" s="5">
        <v>45080</v>
      </c>
      <c r="F525">
        <v>115</v>
      </c>
      <c r="G525">
        <f>AVERAGEIF(calls[Representative], calls[[#This Row],[Representative]], calls[Satisfaction Rating])</f>
        <v>3.8589371980676304</v>
      </c>
      <c r="H525" t="str">
        <f>IF(AVERAGEIF(calls[Representative],calls[[#This Row],[Representative]],calls[Satisfaction Rating])&lt;3.5,"Needs Training","OK")</f>
        <v>OK</v>
      </c>
      <c r="I525">
        <v>4.7</v>
      </c>
      <c r="J525">
        <f>IF(MONTH(calls[[#This Row],[Date of Call]])&lt;=6, YEAR(calls[[#This Row],[Date of Call]]), YEAR(calls[[#This Row],[Date of Call]])+1)</f>
        <v>2023</v>
      </c>
      <c r="K525" t="str">
        <f>TEXT(calls[[#This Row],[Date of Call]],"DDDD")</f>
        <v>Saturday</v>
      </c>
      <c r="L525" t="str" cm="1">
        <f t="array" ref="L525">_xlfn.IFS(calls[[#This Row],[Duration]]&lt;=10,"under 10 mins",calls[[#This Row],[Duration]]&lt;=30,"10 to 30mins",calls[[#This Row],[Duration]]&lt;=60,"60 to 30mins",calls[[#This Row],[Duration]]&lt;=120,"1 to 2hrs",TRUE,"More than 2 hrs")</f>
        <v>More than 2 hrs</v>
      </c>
      <c r="M525">
        <f>ROUND(calls[[#This Row],[Satisfaction Rating]],0)</f>
        <v>5</v>
      </c>
      <c r="N525">
        <f>COUNTIF(calls[Customer ID], calls[[#This Row],[Customer ID]])</f>
        <v>67</v>
      </c>
      <c r="O525">
        <f>SUMIF(calls[Customer ID], calls[[#This Row],[Customer ID]], calls[Purchase Amount])</f>
        <v>7216</v>
      </c>
      <c r="P525">
        <f>calls[[#This Row],[call count]]/calls[[#This Row],[Purchase Amount]]</f>
        <v>0.58260869565217388</v>
      </c>
      <c r="Q525">
        <f>COUNTIF(calls[Customer ID],calls[[#This Row],[Customer ID]])</f>
        <v>67</v>
      </c>
      <c r="R525">
        <f>calls[[#This Row],[call count]]/calls[[#This Row],[Purchase Amount]]</f>
        <v>0.58260869565217388</v>
      </c>
    </row>
    <row r="526" spans="1:18" x14ac:dyDescent="0.4">
      <c r="A526" t="s">
        <v>556</v>
      </c>
      <c r="B526" t="s">
        <v>51</v>
      </c>
      <c r="C526">
        <v>49</v>
      </c>
      <c r="D526" s="4" t="s">
        <v>9</v>
      </c>
      <c r="E526" s="5">
        <v>45081</v>
      </c>
      <c r="F526">
        <v>100</v>
      </c>
      <c r="G526">
        <f>AVERAGEIF(calls[Representative], calls[[#This Row],[Representative]], calls[Satisfaction Rating])</f>
        <v>3.8706422018348627</v>
      </c>
      <c r="H526" t="str">
        <f>IF(AVERAGEIF(calls[Representative],calls[[#This Row],[Representative]],calls[Satisfaction Rating])&lt;3.5,"Needs Training","OK")</f>
        <v>OK</v>
      </c>
      <c r="I526">
        <v>2.2000000000000002</v>
      </c>
      <c r="J526">
        <f>IF(MONTH(calls[[#This Row],[Date of Call]])&lt;=6, YEAR(calls[[#This Row],[Date of Call]]), YEAR(calls[[#This Row],[Date of Call]])+1)</f>
        <v>2023</v>
      </c>
      <c r="K526" t="str">
        <f>TEXT(calls[[#This Row],[Date of Call]],"DDDD")</f>
        <v>Sunday</v>
      </c>
      <c r="L526" t="str" cm="1">
        <f t="array" ref="L526">_xlfn.IFS(calls[[#This Row],[Duration]]&lt;=10,"under 10 mins",calls[[#This Row],[Duration]]&lt;=30,"10 to 30mins",calls[[#This Row],[Duration]]&lt;=60,"60 to 30mins",calls[[#This Row],[Duration]]&lt;=120,"1 to 2hrs",TRUE,"More than 2 hrs")</f>
        <v>60 to 30mins</v>
      </c>
      <c r="M526">
        <f>ROUND(calls[[#This Row],[Satisfaction Rating]],0)</f>
        <v>2</v>
      </c>
      <c r="N526">
        <f>COUNTIF(calls[Customer ID], calls[[#This Row],[Customer ID]])</f>
        <v>59</v>
      </c>
      <c r="O526">
        <f>SUMIF(calls[Customer ID], calls[[#This Row],[Customer ID]], calls[Purchase Amount])</f>
        <v>6518</v>
      </c>
      <c r="P526">
        <f>calls[[#This Row],[call count]]/calls[[#This Row],[Purchase Amount]]</f>
        <v>0.59</v>
      </c>
      <c r="Q526">
        <f>COUNTIF(calls[Customer ID],calls[[#This Row],[Customer ID]])</f>
        <v>59</v>
      </c>
      <c r="R526">
        <f>calls[[#This Row],[call count]]/calls[[#This Row],[Purchase Amount]]</f>
        <v>0.59</v>
      </c>
    </row>
    <row r="527" spans="1:18" x14ac:dyDescent="0.4">
      <c r="A527" t="s">
        <v>557</v>
      </c>
      <c r="B527" t="s">
        <v>8</v>
      </c>
      <c r="C527">
        <v>75</v>
      </c>
      <c r="D527" s="4" t="s">
        <v>27</v>
      </c>
      <c r="E527" s="5">
        <v>45081</v>
      </c>
      <c r="F527">
        <v>38</v>
      </c>
      <c r="G527">
        <f>AVERAGEIF(calls[Representative], calls[[#This Row],[Representative]], calls[Satisfaction Rating])</f>
        <v>3.8589371980676304</v>
      </c>
      <c r="H527" t="str">
        <f>IF(AVERAGEIF(calls[Representative],calls[[#This Row],[Representative]],calls[Satisfaction Rating])&lt;3.5,"Needs Training","OK")</f>
        <v>OK</v>
      </c>
      <c r="I527">
        <v>4.4000000000000004</v>
      </c>
      <c r="J527">
        <f>IF(MONTH(calls[[#This Row],[Date of Call]])&lt;=6, YEAR(calls[[#This Row],[Date of Call]]), YEAR(calls[[#This Row],[Date of Call]])+1)</f>
        <v>2023</v>
      </c>
      <c r="K527" t="str">
        <f>TEXT(calls[[#This Row],[Date of Call]],"DDDD")</f>
        <v>Sunday</v>
      </c>
      <c r="L527" t="str" cm="1">
        <f t="array" ref="L527">_xlfn.IFS(calls[[#This Row],[Duration]]&lt;=10,"under 10 mins",calls[[#This Row],[Duration]]&lt;=30,"10 to 30mins",calls[[#This Row],[Duration]]&lt;=60,"60 to 30mins",calls[[#This Row],[Duration]]&lt;=120,"1 to 2hrs",TRUE,"More than 2 hrs")</f>
        <v>1 to 2hrs</v>
      </c>
      <c r="M527">
        <f>ROUND(calls[[#This Row],[Satisfaction Rating]],0)</f>
        <v>4</v>
      </c>
      <c r="N527">
        <f>COUNTIF(calls[Customer ID], calls[[#This Row],[Customer ID]])</f>
        <v>79</v>
      </c>
      <c r="O527">
        <f>SUMIF(calls[Customer ID], calls[[#This Row],[Customer ID]], calls[Purchase Amount])</f>
        <v>7747</v>
      </c>
      <c r="P527">
        <f>calls[[#This Row],[call count]]/calls[[#This Row],[Purchase Amount]]</f>
        <v>2.0789473684210527</v>
      </c>
      <c r="Q527">
        <f>COUNTIF(calls[Customer ID],calls[[#This Row],[Customer ID]])</f>
        <v>79</v>
      </c>
      <c r="R527">
        <f>calls[[#This Row],[call count]]/calls[[#This Row],[Purchase Amount]]</f>
        <v>2.0789473684210527</v>
      </c>
    </row>
    <row r="528" spans="1:18" x14ac:dyDescent="0.4">
      <c r="A528" t="s">
        <v>558</v>
      </c>
      <c r="B528" t="s">
        <v>54</v>
      </c>
      <c r="C528">
        <v>48</v>
      </c>
      <c r="D528" s="4" t="s">
        <v>14</v>
      </c>
      <c r="E528" s="5">
        <v>45082</v>
      </c>
      <c r="F528">
        <v>120</v>
      </c>
      <c r="G528">
        <f>AVERAGEIF(calls[Representative], calls[[#This Row],[Representative]], calls[Satisfaction Rating])</f>
        <v>3.9227513227513247</v>
      </c>
      <c r="H528" t="str">
        <f>IF(AVERAGEIF(calls[Representative],calls[[#This Row],[Representative]],calls[Satisfaction Rating])&lt;3.5,"Needs Training","OK")</f>
        <v>OK</v>
      </c>
      <c r="I528">
        <v>4.0999999999999996</v>
      </c>
      <c r="J528">
        <f>IF(MONTH(calls[[#This Row],[Date of Call]])&lt;=6, YEAR(calls[[#This Row],[Date of Call]]), YEAR(calls[[#This Row],[Date of Call]])+1)</f>
        <v>2023</v>
      </c>
      <c r="K528" t="str">
        <f>TEXT(calls[[#This Row],[Date of Call]],"DDDD")</f>
        <v>Monday</v>
      </c>
      <c r="L528" t="str" cm="1">
        <f t="array" ref="L528">_xlfn.IFS(calls[[#This Row],[Duration]]&lt;=10,"under 10 mins",calls[[#This Row],[Duration]]&lt;=30,"10 to 30mins",calls[[#This Row],[Duration]]&lt;=60,"60 to 30mins",calls[[#This Row],[Duration]]&lt;=120,"1 to 2hrs",TRUE,"More than 2 hrs")</f>
        <v>60 to 30mins</v>
      </c>
      <c r="M528">
        <f>ROUND(calls[[#This Row],[Satisfaction Rating]],0)</f>
        <v>4</v>
      </c>
      <c r="N528">
        <f>COUNTIF(calls[Customer ID], calls[[#This Row],[Customer ID]])</f>
        <v>70</v>
      </c>
      <c r="O528">
        <f>SUMIF(calls[Customer ID], calls[[#This Row],[Customer ID]], calls[Purchase Amount])</f>
        <v>6819</v>
      </c>
      <c r="P528">
        <f>calls[[#This Row],[call count]]/calls[[#This Row],[Purchase Amount]]</f>
        <v>0.58333333333333337</v>
      </c>
      <c r="Q528">
        <f>COUNTIF(calls[Customer ID],calls[[#This Row],[Customer ID]])</f>
        <v>70</v>
      </c>
      <c r="R528">
        <f>calls[[#This Row],[call count]]/calls[[#This Row],[Purchase Amount]]</f>
        <v>0.58333333333333337</v>
      </c>
    </row>
    <row r="529" spans="1:18" x14ac:dyDescent="0.4">
      <c r="A529" t="s">
        <v>559</v>
      </c>
      <c r="B529" t="s">
        <v>40</v>
      </c>
      <c r="C529">
        <v>48</v>
      </c>
      <c r="D529" s="4" t="s">
        <v>14</v>
      </c>
      <c r="E529" s="5">
        <v>45082</v>
      </c>
      <c r="F529">
        <v>120</v>
      </c>
      <c r="G529">
        <f>AVERAGEIF(calls[Representative], calls[[#This Row],[Representative]], calls[Satisfaction Rating])</f>
        <v>3.9227513227513247</v>
      </c>
      <c r="H529" t="str">
        <f>IF(AVERAGEIF(calls[Representative],calls[[#This Row],[Representative]],calls[Satisfaction Rating])&lt;3.5,"Needs Training","OK")</f>
        <v>OK</v>
      </c>
      <c r="I529">
        <v>4.0999999999999996</v>
      </c>
      <c r="J529">
        <f>IF(MONTH(calls[[#This Row],[Date of Call]])&lt;=6, YEAR(calls[[#This Row],[Date of Call]]), YEAR(calls[[#This Row],[Date of Call]])+1)</f>
        <v>2023</v>
      </c>
      <c r="K529" t="str">
        <f>TEXT(calls[[#This Row],[Date of Call]],"DDDD")</f>
        <v>Monday</v>
      </c>
      <c r="L529" t="str" cm="1">
        <f t="array" ref="L529">_xlfn.IFS(calls[[#This Row],[Duration]]&lt;=10,"under 10 mins",calls[[#This Row],[Duration]]&lt;=30,"10 to 30mins",calls[[#This Row],[Duration]]&lt;=60,"60 to 30mins",calls[[#This Row],[Duration]]&lt;=120,"1 to 2hrs",TRUE,"More than 2 hrs")</f>
        <v>60 to 30mins</v>
      </c>
      <c r="M529">
        <f>ROUND(calls[[#This Row],[Satisfaction Rating]],0)</f>
        <v>4</v>
      </c>
      <c r="N529">
        <f>COUNTIF(calls[Customer ID], calls[[#This Row],[Customer ID]])</f>
        <v>69</v>
      </c>
      <c r="O529">
        <f>SUMIF(calls[Customer ID], calls[[#This Row],[Customer ID]], calls[Purchase Amount])</f>
        <v>6601</v>
      </c>
      <c r="P529">
        <f>calls[[#This Row],[call count]]/calls[[#This Row],[Purchase Amount]]</f>
        <v>0.57499999999999996</v>
      </c>
      <c r="Q529">
        <f>COUNTIF(calls[Customer ID],calls[[#This Row],[Customer ID]])</f>
        <v>69</v>
      </c>
      <c r="R529">
        <f>calls[[#This Row],[call count]]/calls[[#This Row],[Purchase Amount]]</f>
        <v>0.57499999999999996</v>
      </c>
    </row>
    <row r="530" spans="1:18" x14ac:dyDescent="0.4">
      <c r="A530" t="s">
        <v>560</v>
      </c>
      <c r="B530" t="s">
        <v>6</v>
      </c>
      <c r="C530">
        <v>138</v>
      </c>
      <c r="D530" s="4" t="s">
        <v>9</v>
      </c>
      <c r="E530" s="5">
        <v>45082</v>
      </c>
      <c r="F530">
        <v>29</v>
      </c>
      <c r="G530">
        <f>AVERAGEIF(calls[Representative], calls[[#This Row],[Representative]], calls[Satisfaction Rating])</f>
        <v>3.8706422018348627</v>
      </c>
      <c r="H530" t="str">
        <f>IF(AVERAGEIF(calls[Representative],calls[[#This Row],[Representative]],calls[Satisfaction Rating])&lt;3.5,"Needs Training","OK")</f>
        <v>OK</v>
      </c>
      <c r="I530">
        <v>4.4000000000000004</v>
      </c>
      <c r="J530">
        <f>IF(MONTH(calls[[#This Row],[Date of Call]])&lt;=6, YEAR(calls[[#This Row],[Date of Call]]), YEAR(calls[[#This Row],[Date of Call]])+1)</f>
        <v>2023</v>
      </c>
      <c r="K530" t="str">
        <f>TEXT(calls[[#This Row],[Date of Call]],"DDDD")</f>
        <v>Monday</v>
      </c>
      <c r="L530" t="str" cm="1">
        <f t="array" ref="L530">_xlfn.IFS(calls[[#This Row],[Duration]]&lt;=10,"under 10 mins",calls[[#This Row],[Duration]]&lt;=30,"10 to 30mins",calls[[#This Row],[Duration]]&lt;=60,"60 to 30mins",calls[[#This Row],[Duration]]&lt;=120,"1 to 2hrs",TRUE,"More than 2 hrs")</f>
        <v>More than 2 hrs</v>
      </c>
      <c r="M530">
        <f>ROUND(calls[[#This Row],[Satisfaction Rating]],0)</f>
        <v>4</v>
      </c>
      <c r="N530">
        <f>COUNTIF(calls[Customer ID], calls[[#This Row],[Customer ID]])</f>
        <v>82</v>
      </c>
      <c r="O530">
        <f>SUMIF(calls[Customer ID], calls[[#This Row],[Customer ID]], calls[Purchase Amount])</f>
        <v>7689</v>
      </c>
      <c r="P530">
        <f>calls[[#This Row],[call count]]/calls[[#This Row],[Purchase Amount]]</f>
        <v>2.8275862068965516</v>
      </c>
      <c r="Q530">
        <f>COUNTIF(calls[Customer ID],calls[[#This Row],[Customer ID]])</f>
        <v>82</v>
      </c>
      <c r="R530">
        <f>calls[[#This Row],[call count]]/calls[[#This Row],[Purchase Amount]]</f>
        <v>2.8275862068965516</v>
      </c>
    </row>
    <row r="531" spans="1:18" x14ac:dyDescent="0.4">
      <c r="A531" t="s">
        <v>561</v>
      </c>
      <c r="B531" t="s">
        <v>44</v>
      </c>
      <c r="C531">
        <v>144</v>
      </c>
      <c r="D531" s="4" t="s">
        <v>9</v>
      </c>
      <c r="E531" s="5">
        <v>45083</v>
      </c>
      <c r="F531">
        <v>25</v>
      </c>
      <c r="G531">
        <f>AVERAGEIF(calls[Representative], calls[[#This Row],[Representative]], calls[Satisfaction Rating])</f>
        <v>3.8706422018348627</v>
      </c>
      <c r="H531" t="str">
        <f>IF(AVERAGEIF(calls[Representative],calls[[#This Row],[Representative]],calls[Satisfaction Rating])&lt;3.5,"Needs Training","OK")</f>
        <v>OK</v>
      </c>
      <c r="I531">
        <v>3.7</v>
      </c>
      <c r="J531">
        <f>IF(MONTH(calls[[#This Row],[Date of Call]])&lt;=6, YEAR(calls[[#This Row],[Date of Call]]), YEAR(calls[[#This Row],[Date of Call]])+1)</f>
        <v>2023</v>
      </c>
      <c r="K531" t="str">
        <f>TEXT(calls[[#This Row],[Date of Call]],"DDDD")</f>
        <v>Tuesday</v>
      </c>
      <c r="L531" t="str" cm="1">
        <f t="array" ref="L531">_xlfn.IFS(calls[[#This Row],[Duration]]&lt;=10,"under 10 mins",calls[[#This Row],[Duration]]&lt;=30,"10 to 30mins",calls[[#This Row],[Duration]]&lt;=60,"60 to 30mins",calls[[#This Row],[Duration]]&lt;=120,"1 to 2hrs",TRUE,"More than 2 hrs")</f>
        <v>More than 2 hrs</v>
      </c>
      <c r="M531">
        <f>ROUND(calls[[#This Row],[Satisfaction Rating]],0)</f>
        <v>4</v>
      </c>
      <c r="N531">
        <f>COUNTIF(calls[Customer ID], calls[[#This Row],[Customer ID]])</f>
        <v>62</v>
      </c>
      <c r="O531">
        <f>SUMIF(calls[Customer ID], calls[[#This Row],[Customer ID]], calls[Purchase Amount])</f>
        <v>6176</v>
      </c>
      <c r="P531">
        <f>calls[[#This Row],[call count]]/calls[[#This Row],[Purchase Amount]]</f>
        <v>2.48</v>
      </c>
      <c r="Q531">
        <f>COUNTIF(calls[Customer ID],calls[[#This Row],[Customer ID]])</f>
        <v>62</v>
      </c>
      <c r="R531">
        <f>calls[[#This Row],[call count]]/calls[[#This Row],[Purchase Amount]]</f>
        <v>2.48</v>
      </c>
    </row>
    <row r="532" spans="1:18" x14ac:dyDescent="0.4">
      <c r="A532" t="s">
        <v>562</v>
      </c>
      <c r="B532" t="s">
        <v>64</v>
      </c>
      <c r="C532">
        <v>119</v>
      </c>
      <c r="D532" s="4" t="s">
        <v>27</v>
      </c>
      <c r="E532" s="5">
        <v>45084</v>
      </c>
      <c r="F532">
        <v>116</v>
      </c>
      <c r="G532">
        <f>AVERAGEIF(calls[Representative], calls[[#This Row],[Representative]], calls[Satisfaction Rating])</f>
        <v>3.8589371980676304</v>
      </c>
      <c r="H532" t="str">
        <f>IF(AVERAGEIF(calls[Representative],calls[[#This Row],[Representative]],calls[Satisfaction Rating])&lt;3.5,"Needs Training","OK")</f>
        <v>OK</v>
      </c>
      <c r="I532">
        <v>3.8</v>
      </c>
      <c r="J532">
        <f>IF(MONTH(calls[[#This Row],[Date of Call]])&lt;=6, YEAR(calls[[#This Row],[Date of Call]]), YEAR(calls[[#This Row],[Date of Call]])+1)</f>
        <v>2023</v>
      </c>
      <c r="K532" t="str">
        <f>TEXT(calls[[#This Row],[Date of Call]],"DDDD")</f>
        <v>Wednesday</v>
      </c>
      <c r="L532" t="str" cm="1">
        <f t="array" ref="L532">_xlfn.IFS(calls[[#This Row],[Duration]]&lt;=10,"under 10 mins",calls[[#This Row],[Duration]]&lt;=30,"10 to 30mins",calls[[#This Row],[Duration]]&lt;=60,"60 to 30mins",calls[[#This Row],[Duration]]&lt;=120,"1 to 2hrs",TRUE,"More than 2 hrs")</f>
        <v>1 to 2hrs</v>
      </c>
      <c r="M532">
        <f>ROUND(calls[[#This Row],[Satisfaction Rating]],0)</f>
        <v>4</v>
      </c>
      <c r="N532">
        <f>COUNTIF(calls[Customer ID], calls[[#This Row],[Customer ID]])</f>
        <v>65</v>
      </c>
      <c r="O532">
        <f>SUMIF(calls[Customer ID], calls[[#This Row],[Customer ID]], calls[Purchase Amount])</f>
        <v>6785</v>
      </c>
      <c r="P532">
        <f>calls[[#This Row],[call count]]/calls[[#This Row],[Purchase Amount]]</f>
        <v>0.56034482758620685</v>
      </c>
      <c r="Q532">
        <f>COUNTIF(calls[Customer ID],calls[[#This Row],[Customer ID]])</f>
        <v>65</v>
      </c>
      <c r="R532">
        <f>calls[[#This Row],[call count]]/calls[[#This Row],[Purchase Amount]]</f>
        <v>0.56034482758620685</v>
      </c>
    </row>
    <row r="533" spans="1:18" x14ac:dyDescent="0.4">
      <c r="A533" t="s">
        <v>563</v>
      </c>
      <c r="B533" t="s">
        <v>6</v>
      </c>
      <c r="C533">
        <v>101</v>
      </c>
      <c r="D533" s="4" t="s">
        <v>14</v>
      </c>
      <c r="E533" s="5">
        <v>45085</v>
      </c>
      <c r="F533">
        <v>132</v>
      </c>
      <c r="G533">
        <f>AVERAGEIF(calls[Representative], calls[[#This Row],[Representative]], calls[Satisfaction Rating])</f>
        <v>3.9227513227513247</v>
      </c>
      <c r="H533" t="str">
        <f>IF(AVERAGEIF(calls[Representative],calls[[#This Row],[Representative]],calls[Satisfaction Rating])&lt;3.5,"Needs Training","OK")</f>
        <v>OK</v>
      </c>
      <c r="I533">
        <v>4.3</v>
      </c>
      <c r="J533">
        <f>IF(MONTH(calls[[#This Row],[Date of Call]])&lt;=6, YEAR(calls[[#This Row],[Date of Call]]), YEAR(calls[[#This Row],[Date of Call]])+1)</f>
        <v>2023</v>
      </c>
      <c r="K533" t="str">
        <f>TEXT(calls[[#This Row],[Date of Call]],"DDDD")</f>
        <v>Thursday</v>
      </c>
      <c r="L533" t="str" cm="1">
        <f t="array" ref="L533">_xlfn.IFS(calls[[#This Row],[Duration]]&lt;=10,"under 10 mins",calls[[#This Row],[Duration]]&lt;=30,"10 to 30mins",calls[[#This Row],[Duration]]&lt;=60,"60 to 30mins",calls[[#This Row],[Duration]]&lt;=120,"1 to 2hrs",TRUE,"More than 2 hrs")</f>
        <v>1 to 2hrs</v>
      </c>
      <c r="M533">
        <f>ROUND(calls[[#This Row],[Satisfaction Rating]],0)</f>
        <v>4</v>
      </c>
      <c r="N533">
        <f>COUNTIF(calls[Customer ID], calls[[#This Row],[Customer ID]])</f>
        <v>82</v>
      </c>
      <c r="O533">
        <f>SUMIF(calls[Customer ID], calls[[#This Row],[Customer ID]], calls[Purchase Amount])</f>
        <v>7689</v>
      </c>
      <c r="P533">
        <f>calls[[#This Row],[call count]]/calls[[#This Row],[Purchase Amount]]</f>
        <v>0.62121212121212122</v>
      </c>
      <c r="Q533">
        <f>COUNTIF(calls[Customer ID],calls[[#This Row],[Customer ID]])</f>
        <v>82</v>
      </c>
      <c r="R533">
        <f>calls[[#This Row],[call count]]/calls[[#This Row],[Purchase Amount]]</f>
        <v>0.62121212121212122</v>
      </c>
    </row>
    <row r="534" spans="1:18" x14ac:dyDescent="0.4">
      <c r="A534" t="s">
        <v>564</v>
      </c>
      <c r="B534" t="s">
        <v>44</v>
      </c>
      <c r="C534">
        <v>59</v>
      </c>
      <c r="D534" s="4" t="s">
        <v>27</v>
      </c>
      <c r="E534" s="5">
        <v>45086</v>
      </c>
      <c r="F534">
        <v>90</v>
      </c>
      <c r="G534">
        <f>AVERAGEIF(calls[Representative], calls[[#This Row],[Representative]], calls[Satisfaction Rating])</f>
        <v>3.8589371980676304</v>
      </c>
      <c r="H534" t="str">
        <f>IF(AVERAGEIF(calls[Representative],calls[[#This Row],[Representative]],calls[Satisfaction Rating])&lt;3.5,"Needs Training","OK")</f>
        <v>OK</v>
      </c>
      <c r="I534">
        <v>3.5</v>
      </c>
      <c r="J534">
        <f>IF(MONTH(calls[[#This Row],[Date of Call]])&lt;=6, YEAR(calls[[#This Row],[Date of Call]]), YEAR(calls[[#This Row],[Date of Call]])+1)</f>
        <v>2023</v>
      </c>
      <c r="K534" t="str">
        <f>TEXT(calls[[#This Row],[Date of Call]],"DDDD")</f>
        <v>Friday</v>
      </c>
      <c r="L534" t="str" cm="1">
        <f t="array" ref="L534">_xlfn.IFS(calls[[#This Row],[Duration]]&lt;=10,"under 10 mins",calls[[#This Row],[Duration]]&lt;=30,"10 to 30mins",calls[[#This Row],[Duration]]&lt;=60,"60 to 30mins",calls[[#This Row],[Duration]]&lt;=120,"1 to 2hrs",TRUE,"More than 2 hrs")</f>
        <v>60 to 30mins</v>
      </c>
      <c r="M534">
        <f>ROUND(calls[[#This Row],[Satisfaction Rating]],0)</f>
        <v>4</v>
      </c>
      <c r="N534">
        <f>COUNTIF(calls[Customer ID], calls[[#This Row],[Customer ID]])</f>
        <v>62</v>
      </c>
      <c r="O534">
        <f>SUMIF(calls[Customer ID], calls[[#This Row],[Customer ID]], calls[Purchase Amount])</f>
        <v>6176</v>
      </c>
      <c r="P534">
        <f>calls[[#This Row],[call count]]/calls[[#This Row],[Purchase Amount]]</f>
        <v>0.68888888888888888</v>
      </c>
      <c r="Q534">
        <f>COUNTIF(calls[Customer ID],calls[[#This Row],[Customer ID]])</f>
        <v>62</v>
      </c>
      <c r="R534">
        <f>calls[[#This Row],[call count]]/calls[[#This Row],[Purchase Amount]]</f>
        <v>0.68888888888888888</v>
      </c>
    </row>
    <row r="535" spans="1:18" x14ac:dyDescent="0.4">
      <c r="A535" t="s">
        <v>565</v>
      </c>
      <c r="B535" t="s">
        <v>30</v>
      </c>
      <c r="C535">
        <v>125</v>
      </c>
      <c r="D535" s="4" t="s">
        <v>2</v>
      </c>
      <c r="E535" s="5">
        <v>45086</v>
      </c>
      <c r="F535">
        <v>87</v>
      </c>
      <c r="G535">
        <f>AVERAGEIF(calls[Representative], calls[[#This Row],[Representative]], calls[Satisfaction Rating])</f>
        <v>3.8824999999999998</v>
      </c>
      <c r="H535" t="str">
        <f>IF(AVERAGEIF(calls[Representative],calls[[#This Row],[Representative]],calls[Satisfaction Rating])&lt;3.5,"Needs Training","OK")</f>
        <v>OK</v>
      </c>
      <c r="I535">
        <v>4.0999999999999996</v>
      </c>
      <c r="J535">
        <f>IF(MONTH(calls[[#This Row],[Date of Call]])&lt;=6, YEAR(calls[[#This Row],[Date of Call]]), YEAR(calls[[#This Row],[Date of Call]])+1)</f>
        <v>2023</v>
      </c>
      <c r="K535" t="str">
        <f>TEXT(calls[[#This Row],[Date of Call]],"DDDD")</f>
        <v>Friday</v>
      </c>
      <c r="L535" t="str" cm="1">
        <f t="array" ref="L535">_xlfn.IFS(calls[[#This Row],[Duration]]&lt;=10,"under 10 mins",calls[[#This Row],[Duration]]&lt;=30,"10 to 30mins",calls[[#This Row],[Duration]]&lt;=60,"60 to 30mins",calls[[#This Row],[Duration]]&lt;=120,"1 to 2hrs",TRUE,"More than 2 hrs")</f>
        <v>More than 2 hrs</v>
      </c>
      <c r="M535">
        <f>ROUND(calls[[#This Row],[Satisfaction Rating]],0)</f>
        <v>4</v>
      </c>
      <c r="N535">
        <f>COUNTIF(calls[Customer ID], calls[[#This Row],[Customer ID]])</f>
        <v>69</v>
      </c>
      <c r="O535">
        <f>SUMIF(calls[Customer ID], calls[[#This Row],[Customer ID]], calls[Purchase Amount])</f>
        <v>7230</v>
      </c>
      <c r="P535">
        <f>calls[[#This Row],[call count]]/calls[[#This Row],[Purchase Amount]]</f>
        <v>0.7931034482758621</v>
      </c>
      <c r="Q535">
        <f>COUNTIF(calls[Customer ID],calls[[#This Row],[Customer ID]])</f>
        <v>69</v>
      </c>
      <c r="R535">
        <f>calls[[#This Row],[call count]]/calls[[#This Row],[Purchase Amount]]</f>
        <v>0.7931034482758621</v>
      </c>
    </row>
    <row r="536" spans="1:18" x14ac:dyDescent="0.4">
      <c r="A536" t="s">
        <v>566</v>
      </c>
      <c r="B536" t="s">
        <v>26</v>
      </c>
      <c r="C536">
        <v>147</v>
      </c>
      <c r="D536" s="4" t="s">
        <v>27</v>
      </c>
      <c r="E536" s="5">
        <v>45086</v>
      </c>
      <c r="F536">
        <v>140</v>
      </c>
      <c r="G536">
        <f>AVERAGEIF(calls[Representative], calls[[#This Row],[Representative]], calls[Satisfaction Rating])</f>
        <v>3.8589371980676304</v>
      </c>
      <c r="H536" t="str">
        <f>IF(AVERAGEIF(calls[Representative],calls[[#This Row],[Representative]],calls[Satisfaction Rating])&lt;3.5,"Needs Training","OK")</f>
        <v>OK</v>
      </c>
      <c r="I536">
        <v>4.2</v>
      </c>
      <c r="J536">
        <f>IF(MONTH(calls[[#This Row],[Date of Call]])&lt;=6, YEAR(calls[[#This Row],[Date of Call]]), YEAR(calls[[#This Row],[Date of Call]])+1)</f>
        <v>2023</v>
      </c>
      <c r="K536" t="str">
        <f>TEXT(calls[[#This Row],[Date of Call]],"DDDD")</f>
        <v>Friday</v>
      </c>
      <c r="L536" t="str" cm="1">
        <f t="array" ref="L536">_xlfn.IFS(calls[[#This Row],[Duration]]&lt;=10,"under 10 mins",calls[[#This Row],[Duration]]&lt;=30,"10 to 30mins",calls[[#This Row],[Duration]]&lt;=60,"60 to 30mins",calls[[#This Row],[Duration]]&lt;=120,"1 to 2hrs",TRUE,"More than 2 hrs")</f>
        <v>More than 2 hrs</v>
      </c>
      <c r="M536">
        <f>ROUND(calls[[#This Row],[Satisfaction Rating]],0)</f>
        <v>4</v>
      </c>
      <c r="N536">
        <f>COUNTIF(calls[Customer ID], calls[[#This Row],[Customer ID]])</f>
        <v>72</v>
      </c>
      <c r="O536">
        <f>SUMIF(calls[Customer ID], calls[[#This Row],[Customer ID]], calls[Purchase Amount])</f>
        <v>6242</v>
      </c>
      <c r="P536">
        <f>calls[[#This Row],[call count]]/calls[[#This Row],[Purchase Amount]]</f>
        <v>0.51428571428571423</v>
      </c>
      <c r="Q536">
        <f>COUNTIF(calls[Customer ID],calls[[#This Row],[Customer ID]])</f>
        <v>72</v>
      </c>
      <c r="R536">
        <f>calls[[#This Row],[call count]]/calls[[#This Row],[Purchase Amount]]</f>
        <v>0.51428571428571423</v>
      </c>
    </row>
    <row r="537" spans="1:18" x14ac:dyDescent="0.4">
      <c r="A537" t="s">
        <v>567</v>
      </c>
      <c r="B537" t="s">
        <v>32</v>
      </c>
      <c r="C537">
        <v>76</v>
      </c>
      <c r="D537" s="4" t="s">
        <v>27</v>
      </c>
      <c r="E537" s="5">
        <v>45086</v>
      </c>
      <c r="F537">
        <v>164</v>
      </c>
      <c r="G537">
        <f>AVERAGEIF(calls[Representative], calls[[#This Row],[Representative]], calls[Satisfaction Rating])</f>
        <v>3.8589371980676304</v>
      </c>
      <c r="H537" t="str">
        <f>IF(AVERAGEIF(calls[Representative],calls[[#This Row],[Representative]],calls[Satisfaction Rating])&lt;3.5,"Needs Training","OK")</f>
        <v>OK</v>
      </c>
      <c r="I537">
        <v>4.5</v>
      </c>
      <c r="J537">
        <f>IF(MONTH(calls[[#This Row],[Date of Call]])&lt;=6, YEAR(calls[[#This Row],[Date of Call]]), YEAR(calls[[#This Row],[Date of Call]])+1)</f>
        <v>2023</v>
      </c>
      <c r="K537" t="str">
        <f>TEXT(calls[[#This Row],[Date of Call]],"DDDD")</f>
        <v>Friday</v>
      </c>
      <c r="L537" t="str" cm="1">
        <f t="array" ref="L537">_xlfn.IFS(calls[[#This Row],[Duration]]&lt;=10,"under 10 mins",calls[[#This Row],[Duration]]&lt;=30,"10 to 30mins",calls[[#This Row],[Duration]]&lt;=60,"60 to 30mins",calls[[#This Row],[Duration]]&lt;=120,"1 to 2hrs",TRUE,"More than 2 hrs")</f>
        <v>1 to 2hrs</v>
      </c>
      <c r="M537">
        <f>ROUND(calls[[#This Row],[Satisfaction Rating]],0)</f>
        <v>5</v>
      </c>
      <c r="N537">
        <f>COUNTIF(calls[Customer ID], calls[[#This Row],[Customer ID]])</f>
        <v>63</v>
      </c>
      <c r="O537">
        <f>SUMIF(calls[Customer ID], calls[[#This Row],[Customer ID]], calls[Purchase Amount])</f>
        <v>5634</v>
      </c>
      <c r="P537">
        <f>calls[[#This Row],[call count]]/calls[[#This Row],[Purchase Amount]]</f>
        <v>0.38414634146341464</v>
      </c>
      <c r="Q537">
        <f>COUNTIF(calls[Customer ID],calls[[#This Row],[Customer ID]])</f>
        <v>63</v>
      </c>
      <c r="R537">
        <f>calls[[#This Row],[call count]]/calls[[#This Row],[Purchase Amount]]</f>
        <v>0.38414634146341464</v>
      </c>
    </row>
    <row r="538" spans="1:18" x14ac:dyDescent="0.4">
      <c r="A538" t="s">
        <v>568</v>
      </c>
      <c r="B538" t="s">
        <v>21</v>
      </c>
      <c r="C538">
        <v>99</v>
      </c>
      <c r="D538" s="4" t="s">
        <v>14</v>
      </c>
      <c r="E538" s="5">
        <v>45087</v>
      </c>
      <c r="F538">
        <v>180</v>
      </c>
      <c r="G538">
        <f>AVERAGEIF(calls[Representative], calls[[#This Row],[Representative]], calls[Satisfaction Rating])</f>
        <v>3.9227513227513247</v>
      </c>
      <c r="H538" t="str">
        <f>IF(AVERAGEIF(calls[Representative],calls[[#This Row],[Representative]],calls[Satisfaction Rating])&lt;3.5,"Needs Training","OK")</f>
        <v>OK</v>
      </c>
      <c r="I538">
        <v>3.8</v>
      </c>
      <c r="J538">
        <f>IF(MONTH(calls[[#This Row],[Date of Call]])&lt;=6, YEAR(calls[[#This Row],[Date of Call]]), YEAR(calls[[#This Row],[Date of Call]])+1)</f>
        <v>2023</v>
      </c>
      <c r="K538" t="str">
        <f>TEXT(calls[[#This Row],[Date of Call]],"DDDD")</f>
        <v>Saturday</v>
      </c>
      <c r="L538" t="str" cm="1">
        <f t="array" ref="L538">_xlfn.IFS(calls[[#This Row],[Duration]]&lt;=10,"under 10 mins",calls[[#This Row],[Duration]]&lt;=30,"10 to 30mins",calls[[#This Row],[Duration]]&lt;=60,"60 to 30mins",calls[[#This Row],[Duration]]&lt;=120,"1 to 2hrs",TRUE,"More than 2 hrs")</f>
        <v>1 to 2hrs</v>
      </c>
      <c r="M538">
        <f>ROUND(calls[[#This Row],[Satisfaction Rating]],0)</f>
        <v>4</v>
      </c>
      <c r="N538">
        <f>COUNTIF(calls[Customer ID], calls[[#This Row],[Customer ID]])</f>
        <v>67</v>
      </c>
      <c r="O538">
        <f>SUMIF(calls[Customer ID], calls[[#This Row],[Customer ID]], calls[Purchase Amount])</f>
        <v>7216</v>
      </c>
      <c r="P538">
        <f>calls[[#This Row],[call count]]/calls[[#This Row],[Purchase Amount]]</f>
        <v>0.37222222222222223</v>
      </c>
      <c r="Q538">
        <f>COUNTIF(calls[Customer ID],calls[[#This Row],[Customer ID]])</f>
        <v>67</v>
      </c>
      <c r="R538">
        <f>calls[[#This Row],[call count]]/calls[[#This Row],[Purchase Amount]]</f>
        <v>0.37222222222222223</v>
      </c>
    </row>
    <row r="539" spans="1:18" x14ac:dyDescent="0.4">
      <c r="A539" t="s">
        <v>569</v>
      </c>
      <c r="B539" t="s">
        <v>84</v>
      </c>
      <c r="C539">
        <v>111</v>
      </c>
      <c r="D539" s="4" t="s">
        <v>23</v>
      </c>
      <c r="E539" s="5">
        <v>45088</v>
      </c>
      <c r="F539">
        <v>22</v>
      </c>
      <c r="G539">
        <f>AVERAGEIF(calls[Representative], calls[[#This Row],[Representative]], calls[Satisfaction Rating])</f>
        <v>3.8973118279569863</v>
      </c>
      <c r="H539" t="str">
        <f>IF(AVERAGEIF(calls[Representative],calls[[#This Row],[Representative]],calls[Satisfaction Rating])&lt;3.5,"Needs Training","OK")</f>
        <v>OK</v>
      </c>
      <c r="I539">
        <v>4.0999999999999996</v>
      </c>
      <c r="J539">
        <f>IF(MONTH(calls[[#This Row],[Date of Call]])&lt;=6, YEAR(calls[[#This Row],[Date of Call]]), YEAR(calls[[#This Row],[Date of Call]])+1)</f>
        <v>2023</v>
      </c>
      <c r="K539" t="str">
        <f>TEXT(calls[[#This Row],[Date of Call]],"DDDD")</f>
        <v>Sunday</v>
      </c>
      <c r="L539" t="str" cm="1">
        <f t="array" ref="L539">_xlfn.IFS(calls[[#This Row],[Duration]]&lt;=10,"under 10 mins",calls[[#This Row],[Duration]]&lt;=30,"10 to 30mins",calls[[#This Row],[Duration]]&lt;=60,"60 to 30mins",calls[[#This Row],[Duration]]&lt;=120,"1 to 2hrs",TRUE,"More than 2 hrs")</f>
        <v>1 to 2hrs</v>
      </c>
      <c r="M539">
        <f>ROUND(calls[[#This Row],[Satisfaction Rating]],0)</f>
        <v>4</v>
      </c>
      <c r="N539">
        <f>COUNTIF(calls[Customer ID], calls[[#This Row],[Customer ID]])</f>
        <v>59</v>
      </c>
      <c r="O539">
        <f>SUMIF(calls[Customer ID], calls[[#This Row],[Customer ID]], calls[Purchase Amount])</f>
        <v>5009</v>
      </c>
      <c r="P539">
        <f>calls[[#This Row],[call count]]/calls[[#This Row],[Purchase Amount]]</f>
        <v>2.6818181818181817</v>
      </c>
      <c r="Q539">
        <f>COUNTIF(calls[Customer ID],calls[[#This Row],[Customer ID]])</f>
        <v>59</v>
      </c>
      <c r="R539">
        <f>calls[[#This Row],[call count]]/calls[[#This Row],[Purchase Amount]]</f>
        <v>2.6818181818181817</v>
      </c>
    </row>
    <row r="540" spans="1:18" x14ac:dyDescent="0.4">
      <c r="A540" t="s">
        <v>570</v>
      </c>
      <c r="B540" t="s">
        <v>13</v>
      </c>
      <c r="C540">
        <v>147</v>
      </c>
      <c r="D540" s="4" t="s">
        <v>2</v>
      </c>
      <c r="E540" s="5">
        <v>45088</v>
      </c>
      <c r="F540">
        <v>82</v>
      </c>
      <c r="G540">
        <f>AVERAGEIF(calls[Representative], calls[[#This Row],[Representative]], calls[Satisfaction Rating])</f>
        <v>3.8824999999999998</v>
      </c>
      <c r="H540" t="str">
        <f>IF(AVERAGEIF(calls[Representative],calls[[#This Row],[Representative]],calls[Satisfaction Rating])&lt;3.5,"Needs Training","OK")</f>
        <v>OK</v>
      </c>
      <c r="I540">
        <v>4.4000000000000004</v>
      </c>
      <c r="J540">
        <f>IF(MONTH(calls[[#This Row],[Date of Call]])&lt;=6, YEAR(calls[[#This Row],[Date of Call]]), YEAR(calls[[#This Row],[Date of Call]])+1)</f>
        <v>2023</v>
      </c>
      <c r="K540" t="str">
        <f>TEXT(calls[[#This Row],[Date of Call]],"DDDD")</f>
        <v>Sunday</v>
      </c>
      <c r="L540" t="str" cm="1">
        <f t="array" ref="L540">_xlfn.IFS(calls[[#This Row],[Duration]]&lt;=10,"under 10 mins",calls[[#This Row],[Duration]]&lt;=30,"10 to 30mins",calls[[#This Row],[Duration]]&lt;=60,"60 to 30mins",calls[[#This Row],[Duration]]&lt;=120,"1 to 2hrs",TRUE,"More than 2 hrs")</f>
        <v>More than 2 hrs</v>
      </c>
      <c r="M540">
        <f>ROUND(calls[[#This Row],[Satisfaction Rating]],0)</f>
        <v>4</v>
      </c>
      <c r="N540">
        <f>COUNTIF(calls[Customer ID], calls[[#This Row],[Customer ID]])</f>
        <v>74</v>
      </c>
      <c r="O540">
        <f>SUMIF(calls[Customer ID], calls[[#This Row],[Customer ID]], calls[Purchase Amount])</f>
        <v>6749</v>
      </c>
      <c r="P540">
        <f>calls[[#This Row],[call count]]/calls[[#This Row],[Purchase Amount]]</f>
        <v>0.90243902439024393</v>
      </c>
      <c r="Q540">
        <f>COUNTIF(calls[Customer ID],calls[[#This Row],[Customer ID]])</f>
        <v>74</v>
      </c>
      <c r="R540">
        <f>calls[[#This Row],[call count]]/calls[[#This Row],[Purchase Amount]]</f>
        <v>0.90243902439024393</v>
      </c>
    </row>
    <row r="541" spans="1:18" x14ac:dyDescent="0.4">
      <c r="A541" t="s">
        <v>571</v>
      </c>
      <c r="B541" t="s">
        <v>1</v>
      </c>
      <c r="C541">
        <v>141</v>
      </c>
      <c r="D541" s="4" t="s">
        <v>14</v>
      </c>
      <c r="E541" s="5">
        <v>45088</v>
      </c>
      <c r="F541">
        <v>100</v>
      </c>
      <c r="G541">
        <f>AVERAGEIF(calls[Representative], calls[[#This Row],[Representative]], calls[Satisfaction Rating])</f>
        <v>3.9227513227513247</v>
      </c>
      <c r="H541" t="str">
        <f>IF(AVERAGEIF(calls[Representative],calls[[#This Row],[Representative]],calls[Satisfaction Rating])&lt;3.5,"Needs Training","OK")</f>
        <v>OK</v>
      </c>
      <c r="I541">
        <v>4.5999999999999996</v>
      </c>
      <c r="J541">
        <f>IF(MONTH(calls[[#This Row],[Date of Call]])&lt;=6, YEAR(calls[[#This Row],[Date of Call]]), YEAR(calls[[#This Row],[Date of Call]])+1)</f>
        <v>2023</v>
      </c>
      <c r="K541" t="str">
        <f>TEXT(calls[[#This Row],[Date of Call]],"DDDD")</f>
        <v>Sunday</v>
      </c>
      <c r="L541" t="str" cm="1">
        <f t="array" ref="L541">_xlfn.IFS(calls[[#This Row],[Duration]]&lt;=10,"under 10 mins",calls[[#This Row],[Duration]]&lt;=30,"10 to 30mins",calls[[#This Row],[Duration]]&lt;=60,"60 to 30mins",calls[[#This Row],[Duration]]&lt;=120,"1 to 2hrs",TRUE,"More than 2 hrs")</f>
        <v>More than 2 hrs</v>
      </c>
      <c r="M541">
        <f>ROUND(calls[[#This Row],[Satisfaction Rating]],0)</f>
        <v>5</v>
      </c>
      <c r="N541">
        <f>COUNTIF(calls[Customer ID], calls[[#This Row],[Customer ID]])</f>
        <v>50</v>
      </c>
      <c r="O541">
        <f>SUMIF(calls[Customer ID], calls[[#This Row],[Customer ID]], calls[Purchase Amount])</f>
        <v>4804</v>
      </c>
      <c r="P541">
        <f>calls[[#This Row],[call count]]/calls[[#This Row],[Purchase Amount]]</f>
        <v>0.5</v>
      </c>
      <c r="Q541">
        <f>COUNTIF(calls[Customer ID],calls[[#This Row],[Customer ID]])</f>
        <v>50</v>
      </c>
      <c r="R541">
        <f>calls[[#This Row],[call count]]/calls[[#This Row],[Purchase Amount]]</f>
        <v>0.5</v>
      </c>
    </row>
    <row r="542" spans="1:18" x14ac:dyDescent="0.4">
      <c r="A542" t="s">
        <v>572</v>
      </c>
      <c r="B542" t="s">
        <v>32</v>
      </c>
      <c r="C542">
        <v>71</v>
      </c>
      <c r="D542" s="4" t="s">
        <v>27</v>
      </c>
      <c r="E542" s="5">
        <v>45089</v>
      </c>
      <c r="F542">
        <v>52</v>
      </c>
      <c r="G542">
        <f>AVERAGEIF(calls[Representative], calls[[#This Row],[Representative]], calls[Satisfaction Rating])</f>
        <v>3.8589371980676304</v>
      </c>
      <c r="H542" t="str">
        <f>IF(AVERAGEIF(calls[Representative],calls[[#This Row],[Representative]],calls[Satisfaction Rating])&lt;3.5,"Needs Training","OK")</f>
        <v>OK</v>
      </c>
      <c r="I542">
        <v>3.4</v>
      </c>
      <c r="J542">
        <f>IF(MONTH(calls[[#This Row],[Date of Call]])&lt;=6, YEAR(calls[[#This Row],[Date of Call]]), YEAR(calls[[#This Row],[Date of Call]])+1)</f>
        <v>2023</v>
      </c>
      <c r="K542" t="str">
        <f>TEXT(calls[[#This Row],[Date of Call]],"DDDD")</f>
        <v>Monday</v>
      </c>
      <c r="L542" t="str" cm="1">
        <f t="array" ref="L542">_xlfn.IFS(calls[[#This Row],[Duration]]&lt;=10,"under 10 mins",calls[[#This Row],[Duration]]&lt;=30,"10 to 30mins",calls[[#This Row],[Duration]]&lt;=60,"60 to 30mins",calls[[#This Row],[Duration]]&lt;=120,"1 to 2hrs",TRUE,"More than 2 hrs")</f>
        <v>1 to 2hrs</v>
      </c>
      <c r="M542">
        <f>ROUND(calls[[#This Row],[Satisfaction Rating]],0)</f>
        <v>3</v>
      </c>
      <c r="N542">
        <f>COUNTIF(calls[Customer ID], calls[[#This Row],[Customer ID]])</f>
        <v>63</v>
      </c>
      <c r="O542">
        <f>SUMIF(calls[Customer ID], calls[[#This Row],[Customer ID]], calls[Purchase Amount])</f>
        <v>5634</v>
      </c>
      <c r="P542">
        <f>calls[[#This Row],[call count]]/calls[[#This Row],[Purchase Amount]]</f>
        <v>1.2115384615384615</v>
      </c>
      <c r="Q542">
        <f>COUNTIF(calls[Customer ID],calls[[#This Row],[Customer ID]])</f>
        <v>63</v>
      </c>
      <c r="R542">
        <f>calls[[#This Row],[call count]]/calls[[#This Row],[Purchase Amount]]</f>
        <v>1.2115384615384615</v>
      </c>
    </row>
    <row r="543" spans="1:18" x14ac:dyDescent="0.4">
      <c r="A543" t="s">
        <v>573</v>
      </c>
      <c r="B543" t="s">
        <v>32</v>
      </c>
      <c r="C543">
        <v>121</v>
      </c>
      <c r="D543" s="4" t="s">
        <v>2</v>
      </c>
      <c r="E543" s="5">
        <v>45090</v>
      </c>
      <c r="F543">
        <v>84</v>
      </c>
      <c r="G543">
        <f>AVERAGEIF(calls[Representative], calls[[#This Row],[Representative]], calls[Satisfaction Rating])</f>
        <v>3.8824999999999998</v>
      </c>
      <c r="H543" t="str">
        <f>IF(AVERAGEIF(calls[Representative],calls[[#This Row],[Representative]],calls[Satisfaction Rating])&lt;3.5,"Needs Training","OK")</f>
        <v>OK</v>
      </c>
      <c r="I543">
        <v>4.5999999999999996</v>
      </c>
      <c r="J543">
        <f>IF(MONTH(calls[[#This Row],[Date of Call]])&lt;=6, YEAR(calls[[#This Row],[Date of Call]]), YEAR(calls[[#This Row],[Date of Call]])+1)</f>
        <v>2023</v>
      </c>
      <c r="K543" t="str">
        <f>TEXT(calls[[#This Row],[Date of Call]],"DDDD")</f>
        <v>Tuesday</v>
      </c>
      <c r="L543" t="str" cm="1">
        <f t="array" ref="L543">_xlfn.IFS(calls[[#This Row],[Duration]]&lt;=10,"under 10 mins",calls[[#This Row],[Duration]]&lt;=30,"10 to 30mins",calls[[#This Row],[Duration]]&lt;=60,"60 to 30mins",calls[[#This Row],[Duration]]&lt;=120,"1 to 2hrs",TRUE,"More than 2 hrs")</f>
        <v>More than 2 hrs</v>
      </c>
      <c r="M543">
        <f>ROUND(calls[[#This Row],[Satisfaction Rating]],0)</f>
        <v>5</v>
      </c>
      <c r="N543">
        <f>COUNTIF(calls[Customer ID], calls[[#This Row],[Customer ID]])</f>
        <v>63</v>
      </c>
      <c r="O543">
        <f>SUMIF(calls[Customer ID], calls[[#This Row],[Customer ID]], calls[Purchase Amount])</f>
        <v>5634</v>
      </c>
      <c r="P543">
        <f>calls[[#This Row],[call count]]/calls[[#This Row],[Purchase Amount]]</f>
        <v>0.75</v>
      </c>
      <c r="Q543">
        <f>COUNTIF(calls[Customer ID],calls[[#This Row],[Customer ID]])</f>
        <v>63</v>
      </c>
      <c r="R543">
        <f>calls[[#This Row],[call count]]/calls[[#This Row],[Purchase Amount]]</f>
        <v>0.75</v>
      </c>
    </row>
    <row r="544" spans="1:18" x14ac:dyDescent="0.4">
      <c r="A544" t="s">
        <v>574</v>
      </c>
      <c r="B544" t="s">
        <v>32</v>
      </c>
      <c r="C544">
        <v>60</v>
      </c>
      <c r="D544" s="4" t="s">
        <v>2</v>
      </c>
      <c r="E544" s="5">
        <v>45090</v>
      </c>
      <c r="F544">
        <v>37</v>
      </c>
      <c r="G544">
        <f>AVERAGEIF(calls[Representative], calls[[#This Row],[Representative]], calls[Satisfaction Rating])</f>
        <v>3.8824999999999998</v>
      </c>
      <c r="H544" t="str">
        <f>IF(AVERAGEIF(calls[Representative],calls[[#This Row],[Representative]],calls[Satisfaction Rating])&lt;3.5,"Needs Training","OK")</f>
        <v>OK</v>
      </c>
      <c r="I544">
        <v>3.9</v>
      </c>
      <c r="J544">
        <f>IF(MONTH(calls[[#This Row],[Date of Call]])&lt;=6, YEAR(calls[[#This Row],[Date of Call]]), YEAR(calls[[#This Row],[Date of Call]])+1)</f>
        <v>2023</v>
      </c>
      <c r="K544" t="str">
        <f>TEXT(calls[[#This Row],[Date of Call]],"DDDD")</f>
        <v>Tuesday</v>
      </c>
      <c r="L544" t="str" cm="1">
        <f t="array" ref="L544">_xlfn.IFS(calls[[#This Row],[Duration]]&lt;=10,"under 10 mins",calls[[#This Row],[Duration]]&lt;=30,"10 to 30mins",calls[[#This Row],[Duration]]&lt;=60,"60 to 30mins",calls[[#This Row],[Duration]]&lt;=120,"1 to 2hrs",TRUE,"More than 2 hrs")</f>
        <v>60 to 30mins</v>
      </c>
      <c r="M544">
        <f>ROUND(calls[[#This Row],[Satisfaction Rating]],0)</f>
        <v>4</v>
      </c>
      <c r="N544">
        <f>COUNTIF(calls[Customer ID], calls[[#This Row],[Customer ID]])</f>
        <v>63</v>
      </c>
      <c r="O544">
        <f>SUMIF(calls[Customer ID], calls[[#This Row],[Customer ID]], calls[Purchase Amount])</f>
        <v>5634</v>
      </c>
      <c r="P544">
        <f>calls[[#This Row],[call count]]/calls[[#This Row],[Purchase Amount]]</f>
        <v>1.7027027027027026</v>
      </c>
      <c r="Q544">
        <f>COUNTIF(calls[Customer ID],calls[[#This Row],[Customer ID]])</f>
        <v>63</v>
      </c>
      <c r="R544">
        <f>calls[[#This Row],[call count]]/calls[[#This Row],[Purchase Amount]]</f>
        <v>1.7027027027027026</v>
      </c>
    </row>
    <row r="545" spans="1:18" x14ac:dyDescent="0.4">
      <c r="A545" t="s">
        <v>575</v>
      </c>
      <c r="B545" t="s">
        <v>51</v>
      </c>
      <c r="C545">
        <v>158</v>
      </c>
      <c r="D545" s="4" t="s">
        <v>14</v>
      </c>
      <c r="E545" s="5">
        <v>45091</v>
      </c>
      <c r="F545">
        <v>190</v>
      </c>
      <c r="G545">
        <f>AVERAGEIF(calls[Representative], calls[[#This Row],[Representative]], calls[Satisfaction Rating])</f>
        <v>3.9227513227513247</v>
      </c>
      <c r="H545" t="str">
        <f>IF(AVERAGEIF(calls[Representative],calls[[#This Row],[Representative]],calls[Satisfaction Rating])&lt;3.5,"Needs Training","OK")</f>
        <v>OK</v>
      </c>
      <c r="I545">
        <v>4</v>
      </c>
      <c r="J545">
        <f>IF(MONTH(calls[[#This Row],[Date of Call]])&lt;=6, YEAR(calls[[#This Row],[Date of Call]]), YEAR(calls[[#This Row],[Date of Call]])+1)</f>
        <v>2023</v>
      </c>
      <c r="K545" t="str">
        <f>TEXT(calls[[#This Row],[Date of Call]],"DDDD")</f>
        <v>Wednesday</v>
      </c>
      <c r="L545" t="str" cm="1">
        <f t="array" ref="L545">_xlfn.IFS(calls[[#This Row],[Duration]]&lt;=10,"under 10 mins",calls[[#This Row],[Duration]]&lt;=30,"10 to 30mins",calls[[#This Row],[Duration]]&lt;=60,"60 to 30mins",calls[[#This Row],[Duration]]&lt;=120,"1 to 2hrs",TRUE,"More than 2 hrs")</f>
        <v>More than 2 hrs</v>
      </c>
      <c r="M545">
        <f>ROUND(calls[[#This Row],[Satisfaction Rating]],0)</f>
        <v>4</v>
      </c>
      <c r="N545">
        <f>COUNTIF(calls[Customer ID], calls[[#This Row],[Customer ID]])</f>
        <v>59</v>
      </c>
      <c r="O545">
        <f>SUMIF(calls[Customer ID], calls[[#This Row],[Customer ID]], calls[Purchase Amount])</f>
        <v>6518</v>
      </c>
      <c r="P545">
        <f>calls[[#This Row],[call count]]/calls[[#This Row],[Purchase Amount]]</f>
        <v>0.31052631578947371</v>
      </c>
      <c r="Q545">
        <f>COUNTIF(calls[Customer ID],calls[[#This Row],[Customer ID]])</f>
        <v>59</v>
      </c>
      <c r="R545">
        <f>calls[[#This Row],[call count]]/calls[[#This Row],[Purchase Amount]]</f>
        <v>0.31052631578947371</v>
      </c>
    </row>
    <row r="546" spans="1:18" x14ac:dyDescent="0.4">
      <c r="A546" t="s">
        <v>576</v>
      </c>
      <c r="B546" t="s">
        <v>26</v>
      </c>
      <c r="C546">
        <v>159</v>
      </c>
      <c r="D546" s="4" t="s">
        <v>9</v>
      </c>
      <c r="E546" s="5">
        <v>45091</v>
      </c>
      <c r="F546">
        <v>66</v>
      </c>
      <c r="G546">
        <f>AVERAGEIF(calls[Representative], calls[[#This Row],[Representative]], calls[Satisfaction Rating])</f>
        <v>3.8706422018348627</v>
      </c>
      <c r="H546" t="str">
        <f>IF(AVERAGEIF(calls[Representative],calls[[#This Row],[Representative]],calls[Satisfaction Rating])&lt;3.5,"Needs Training","OK")</f>
        <v>OK</v>
      </c>
      <c r="I546">
        <v>3.4</v>
      </c>
      <c r="J546">
        <f>IF(MONTH(calls[[#This Row],[Date of Call]])&lt;=6, YEAR(calls[[#This Row],[Date of Call]]), YEAR(calls[[#This Row],[Date of Call]])+1)</f>
        <v>2023</v>
      </c>
      <c r="K546" t="str">
        <f>TEXT(calls[[#This Row],[Date of Call]],"DDDD")</f>
        <v>Wednesday</v>
      </c>
      <c r="L546" t="str" cm="1">
        <f t="array" ref="L546">_xlfn.IFS(calls[[#This Row],[Duration]]&lt;=10,"under 10 mins",calls[[#This Row],[Duration]]&lt;=30,"10 to 30mins",calls[[#This Row],[Duration]]&lt;=60,"60 to 30mins",calls[[#This Row],[Duration]]&lt;=120,"1 to 2hrs",TRUE,"More than 2 hrs")</f>
        <v>More than 2 hrs</v>
      </c>
      <c r="M546">
        <f>ROUND(calls[[#This Row],[Satisfaction Rating]],0)</f>
        <v>3</v>
      </c>
      <c r="N546">
        <f>COUNTIF(calls[Customer ID], calls[[#This Row],[Customer ID]])</f>
        <v>72</v>
      </c>
      <c r="O546">
        <f>SUMIF(calls[Customer ID], calls[[#This Row],[Customer ID]], calls[Purchase Amount])</f>
        <v>6242</v>
      </c>
      <c r="P546">
        <f>calls[[#This Row],[call count]]/calls[[#This Row],[Purchase Amount]]</f>
        <v>1.0909090909090908</v>
      </c>
      <c r="Q546">
        <f>COUNTIF(calls[Customer ID],calls[[#This Row],[Customer ID]])</f>
        <v>72</v>
      </c>
      <c r="R546">
        <f>calls[[#This Row],[call count]]/calls[[#This Row],[Purchase Amount]]</f>
        <v>1.0909090909090908</v>
      </c>
    </row>
    <row r="547" spans="1:18" x14ac:dyDescent="0.4">
      <c r="A547" t="s">
        <v>577</v>
      </c>
      <c r="B547" t="s">
        <v>6</v>
      </c>
      <c r="C547">
        <v>70</v>
      </c>
      <c r="D547" s="4" t="s">
        <v>27</v>
      </c>
      <c r="E547" s="5">
        <v>45092</v>
      </c>
      <c r="F547">
        <v>116</v>
      </c>
      <c r="G547">
        <f>AVERAGEIF(calls[Representative], calls[[#This Row],[Representative]], calls[Satisfaction Rating])</f>
        <v>3.8589371980676304</v>
      </c>
      <c r="H547" t="str">
        <f>IF(AVERAGEIF(calls[Representative],calls[[#This Row],[Representative]],calls[Satisfaction Rating])&lt;3.5,"Needs Training","OK")</f>
        <v>OK</v>
      </c>
      <c r="I547">
        <v>3.2</v>
      </c>
      <c r="J547">
        <f>IF(MONTH(calls[[#This Row],[Date of Call]])&lt;=6, YEAR(calls[[#This Row],[Date of Call]]), YEAR(calls[[#This Row],[Date of Call]])+1)</f>
        <v>2023</v>
      </c>
      <c r="K547" t="str">
        <f>TEXT(calls[[#This Row],[Date of Call]],"DDDD")</f>
        <v>Thursday</v>
      </c>
      <c r="L547" t="str" cm="1">
        <f t="array" ref="L547">_xlfn.IFS(calls[[#This Row],[Duration]]&lt;=10,"under 10 mins",calls[[#This Row],[Duration]]&lt;=30,"10 to 30mins",calls[[#This Row],[Duration]]&lt;=60,"60 to 30mins",calls[[#This Row],[Duration]]&lt;=120,"1 to 2hrs",TRUE,"More than 2 hrs")</f>
        <v>1 to 2hrs</v>
      </c>
      <c r="M547">
        <f>ROUND(calls[[#This Row],[Satisfaction Rating]],0)</f>
        <v>3</v>
      </c>
      <c r="N547">
        <f>COUNTIF(calls[Customer ID], calls[[#This Row],[Customer ID]])</f>
        <v>82</v>
      </c>
      <c r="O547">
        <f>SUMIF(calls[Customer ID], calls[[#This Row],[Customer ID]], calls[Purchase Amount])</f>
        <v>7689</v>
      </c>
      <c r="P547">
        <f>calls[[#This Row],[call count]]/calls[[#This Row],[Purchase Amount]]</f>
        <v>0.7068965517241379</v>
      </c>
      <c r="Q547">
        <f>COUNTIF(calls[Customer ID],calls[[#This Row],[Customer ID]])</f>
        <v>82</v>
      </c>
      <c r="R547">
        <f>calls[[#This Row],[call count]]/calls[[#This Row],[Purchase Amount]]</f>
        <v>0.7068965517241379</v>
      </c>
    </row>
    <row r="548" spans="1:18" x14ac:dyDescent="0.4">
      <c r="A548" t="s">
        <v>578</v>
      </c>
      <c r="B548" t="s">
        <v>54</v>
      </c>
      <c r="C548">
        <v>78</v>
      </c>
      <c r="D548" s="4" t="s">
        <v>23</v>
      </c>
      <c r="E548" s="5">
        <v>45092</v>
      </c>
      <c r="F548">
        <v>28</v>
      </c>
      <c r="G548">
        <f>AVERAGEIF(calls[Representative], calls[[#This Row],[Representative]], calls[Satisfaction Rating])</f>
        <v>3.8973118279569863</v>
      </c>
      <c r="H548" t="str">
        <f>IF(AVERAGEIF(calls[Representative],calls[[#This Row],[Representative]],calls[Satisfaction Rating])&lt;3.5,"Needs Training","OK")</f>
        <v>OK</v>
      </c>
      <c r="I548">
        <v>3.9</v>
      </c>
      <c r="J548">
        <f>IF(MONTH(calls[[#This Row],[Date of Call]])&lt;=6, YEAR(calls[[#This Row],[Date of Call]]), YEAR(calls[[#This Row],[Date of Call]])+1)</f>
        <v>2023</v>
      </c>
      <c r="K548" t="str">
        <f>TEXT(calls[[#This Row],[Date of Call]],"DDDD")</f>
        <v>Thursday</v>
      </c>
      <c r="L548" t="str" cm="1">
        <f t="array" ref="L548">_xlfn.IFS(calls[[#This Row],[Duration]]&lt;=10,"under 10 mins",calls[[#This Row],[Duration]]&lt;=30,"10 to 30mins",calls[[#This Row],[Duration]]&lt;=60,"60 to 30mins",calls[[#This Row],[Duration]]&lt;=120,"1 to 2hrs",TRUE,"More than 2 hrs")</f>
        <v>1 to 2hrs</v>
      </c>
      <c r="M548">
        <f>ROUND(calls[[#This Row],[Satisfaction Rating]],0)</f>
        <v>4</v>
      </c>
      <c r="N548">
        <f>COUNTIF(calls[Customer ID], calls[[#This Row],[Customer ID]])</f>
        <v>70</v>
      </c>
      <c r="O548">
        <f>SUMIF(calls[Customer ID], calls[[#This Row],[Customer ID]], calls[Purchase Amount])</f>
        <v>6819</v>
      </c>
      <c r="P548">
        <f>calls[[#This Row],[call count]]/calls[[#This Row],[Purchase Amount]]</f>
        <v>2.5</v>
      </c>
      <c r="Q548">
        <f>COUNTIF(calls[Customer ID],calls[[#This Row],[Customer ID]])</f>
        <v>70</v>
      </c>
      <c r="R548">
        <f>calls[[#This Row],[call count]]/calls[[#This Row],[Purchase Amount]]</f>
        <v>2.5</v>
      </c>
    </row>
    <row r="549" spans="1:18" x14ac:dyDescent="0.4">
      <c r="A549" t="s">
        <v>579</v>
      </c>
      <c r="B549" t="s">
        <v>13</v>
      </c>
      <c r="C549">
        <v>103</v>
      </c>
      <c r="D549" s="4" t="s">
        <v>27</v>
      </c>
      <c r="E549" s="5">
        <v>45092</v>
      </c>
      <c r="F549">
        <v>120</v>
      </c>
      <c r="G549">
        <f>AVERAGEIF(calls[Representative], calls[[#This Row],[Representative]], calls[Satisfaction Rating])</f>
        <v>3.8589371980676304</v>
      </c>
      <c r="H549" t="str">
        <f>IF(AVERAGEIF(calls[Representative],calls[[#This Row],[Representative]],calls[Satisfaction Rating])&lt;3.5,"Needs Training","OK")</f>
        <v>OK</v>
      </c>
      <c r="I549">
        <v>5</v>
      </c>
      <c r="J549">
        <f>IF(MONTH(calls[[#This Row],[Date of Call]])&lt;=6, YEAR(calls[[#This Row],[Date of Call]]), YEAR(calls[[#This Row],[Date of Call]])+1)</f>
        <v>2023</v>
      </c>
      <c r="K549" t="str">
        <f>TEXT(calls[[#This Row],[Date of Call]],"DDDD")</f>
        <v>Thursday</v>
      </c>
      <c r="L549" t="str" cm="1">
        <f t="array" ref="L549">_xlfn.IFS(calls[[#This Row],[Duration]]&lt;=10,"under 10 mins",calls[[#This Row],[Duration]]&lt;=30,"10 to 30mins",calls[[#This Row],[Duration]]&lt;=60,"60 to 30mins",calls[[#This Row],[Duration]]&lt;=120,"1 to 2hrs",TRUE,"More than 2 hrs")</f>
        <v>1 to 2hrs</v>
      </c>
      <c r="M549">
        <f>ROUND(calls[[#This Row],[Satisfaction Rating]],0)</f>
        <v>5</v>
      </c>
      <c r="N549">
        <f>COUNTIF(calls[Customer ID], calls[[#This Row],[Customer ID]])</f>
        <v>74</v>
      </c>
      <c r="O549">
        <f>SUMIF(calls[Customer ID], calls[[#This Row],[Customer ID]], calls[Purchase Amount])</f>
        <v>6749</v>
      </c>
      <c r="P549">
        <f>calls[[#This Row],[call count]]/calls[[#This Row],[Purchase Amount]]</f>
        <v>0.6166666666666667</v>
      </c>
      <c r="Q549">
        <f>COUNTIF(calls[Customer ID],calls[[#This Row],[Customer ID]])</f>
        <v>74</v>
      </c>
      <c r="R549">
        <f>calls[[#This Row],[call count]]/calls[[#This Row],[Purchase Amount]]</f>
        <v>0.6166666666666667</v>
      </c>
    </row>
    <row r="550" spans="1:18" x14ac:dyDescent="0.4">
      <c r="A550" t="s">
        <v>580</v>
      </c>
      <c r="B550" t="s">
        <v>8</v>
      </c>
      <c r="C550">
        <v>108</v>
      </c>
      <c r="D550" s="4" t="s">
        <v>14</v>
      </c>
      <c r="E550" s="5">
        <v>45092</v>
      </c>
      <c r="F550">
        <v>56</v>
      </c>
      <c r="G550">
        <f>AVERAGEIF(calls[Representative], calls[[#This Row],[Representative]], calls[Satisfaction Rating])</f>
        <v>3.9227513227513247</v>
      </c>
      <c r="H550" t="str">
        <f>IF(AVERAGEIF(calls[Representative],calls[[#This Row],[Representative]],calls[Satisfaction Rating])&lt;3.5,"Needs Training","OK")</f>
        <v>OK</v>
      </c>
      <c r="I550">
        <v>3.5</v>
      </c>
      <c r="J550">
        <f>IF(MONTH(calls[[#This Row],[Date of Call]])&lt;=6, YEAR(calls[[#This Row],[Date of Call]]), YEAR(calls[[#This Row],[Date of Call]])+1)</f>
        <v>2023</v>
      </c>
      <c r="K550" t="str">
        <f>TEXT(calls[[#This Row],[Date of Call]],"DDDD")</f>
        <v>Thursday</v>
      </c>
      <c r="L550" t="str" cm="1">
        <f t="array" ref="L550">_xlfn.IFS(calls[[#This Row],[Duration]]&lt;=10,"under 10 mins",calls[[#This Row],[Duration]]&lt;=30,"10 to 30mins",calls[[#This Row],[Duration]]&lt;=60,"60 to 30mins",calls[[#This Row],[Duration]]&lt;=120,"1 to 2hrs",TRUE,"More than 2 hrs")</f>
        <v>1 to 2hrs</v>
      </c>
      <c r="M550">
        <f>ROUND(calls[[#This Row],[Satisfaction Rating]],0)</f>
        <v>4</v>
      </c>
      <c r="N550">
        <f>COUNTIF(calls[Customer ID], calls[[#This Row],[Customer ID]])</f>
        <v>79</v>
      </c>
      <c r="O550">
        <f>SUMIF(calls[Customer ID], calls[[#This Row],[Customer ID]], calls[Purchase Amount])</f>
        <v>7747</v>
      </c>
      <c r="P550">
        <f>calls[[#This Row],[call count]]/calls[[#This Row],[Purchase Amount]]</f>
        <v>1.4107142857142858</v>
      </c>
      <c r="Q550">
        <f>COUNTIF(calls[Customer ID],calls[[#This Row],[Customer ID]])</f>
        <v>79</v>
      </c>
      <c r="R550">
        <f>calls[[#This Row],[call count]]/calls[[#This Row],[Purchase Amount]]</f>
        <v>1.4107142857142858</v>
      </c>
    </row>
    <row r="551" spans="1:18" x14ac:dyDescent="0.4">
      <c r="A551" t="s">
        <v>581</v>
      </c>
      <c r="B551" t="s">
        <v>8</v>
      </c>
      <c r="C551">
        <v>44</v>
      </c>
      <c r="D551" s="4" t="s">
        <v>2</v>
      </c>
      <c r="E551" s="5">
        <v>45092</v>
      </c>
      <c r="F551">
        <v>170</v>
      </c>
      <c r="G551">
        <f>AVERAGEIF(calls[Representative], calls[[#This Row],[Representative]], calls[Satisfaction Rating])</f>
        <v>3.8824999999999998</v>
      </c>
      <c r="H551" t="str">
        <f>IF(AVERAGEIF(calls[Representative],calls[[#This Row],[Representative]],calls[Satisfaction Rating])&lt;3.5,"Needs Training","OK")</f>
        <v>OK</v>
      </c>
      <c r="I551">
        <v>3.8</v>
      </c>
      <c r="J551">
        <f>IF(MONTH(calls[[#This Row],[Date of Call]])&lt;=6, YEAR(calls[[#This Row],[Date of Call]]), YEAR(calls[[#This Row],[Date of Call]])+1)</f>
        <v>2023</v>
      </c>
      <c r="K551" t="str">
        <f>TEXT(calls[[#This Row],[Date of Call]],"DDDD")</f>
        <v>Thursday</v>
      </c>
      <c r="L551" t="str" cm="1">
        <f t="array" ref="L551">_xlfn.IFS(calls[[#This Row],[Duration]]&lt;=10,"under 10 mins",calls[[#This Row],[Duration]]&lt;=30,"10 to 30mins",calls[[#This Row],[Duration]]&lt;=60,"60 to 30mins",calls[[#This Row],[Duration]]&lt;=120,"1 to 2hrs",TRUE,"More than 2 hrs")</f>
        <v>60 to 30mins</v>
      </c>
      <c r="M551">
        <f>ROUND(calls[[#This Row],[Satisfaction Rating]],0)</f>
        <v>4</v>
      </c>
      <c r="N551">
        <f>COUNTIF(calls[Customer ID], calls[[#This Row],[Customer ID]])</f>
        <v>79</v>
      </c>
      <c r="O551">
        <f>SUMIF(calls[Customer ID], calls[[#This Row],[Customer ID]], calls[Purchase Amount])</f>
        <v>7747</v>
      </c>
      <c r="P551">
        <f>calls[[#This Row],[call count]]/calls[[#This Row],[Purchase Amount]]</f>
        <v>0.46470588235294119</v>
      </c>
      <c r="Q551">
        <f>COUNTIF(calls[Customer ID],calls[[#This Row],[Customer ID]])</f>
        <v>79</v>
      </c>
      <c r="R551">
        <f>calls[[#This Row],[call count]]/calls[[#This Row],[Purchase Amount]]</f>
        <v>0.46470588235294119</v>
      </c>
    </row>
    <row r="552" spans="1:18" x14ac:dyDescent="0.4">
      <c r="A552" t="s">
        <v>582</v>
      </c>
      <c r="B552" t="s">
        <v>54</v>
      </c>
      <c r="C552">
        <v>127</v>
      </c>
      <c r="D552" s="4" t="s">
        <v>14</v>
      </c>
      <c r="E552" s="5">
        <v>45093</v>
      </c>
      <c r="F552">
        <v>200</v>
      </c>
      <c r="G552">
        <f>AVERAGEIF(calls[Representative], calls[[#This Row],[Representative]], calls[Satisfaction Rating])</f>
        <v>3.9227513227513247</v>
      </c>
      <c r="H552" t="str">
        <f>IF(AVERAGEIF(calls[Representative],calls[[#This Row],[Representative]],calls[Satisfaction Rating])&lt;3.5,"Needs Training","OK")</f>
        <v>OK</v>
      </c>
      <c r="I552">
        <v>4.8</v>
      </c>
      <c r="J552">
        <f>IF(MONTH(calls[[#This Row],[Date of Call]])&lt;=6, YEAR(calls[[#This Row],[Date of Call]]), YEAR(calls[[#This Row],[Date of Call]])+1)</f>
        <v>2023</v>
      </c>
      <c r="K552" t="str">
        <f>TEXT(calls[[#This Row],[Date of Call]],"DDDD")</f>
        <v>Friday</v>
      </c>
      <c r="L552" t="str" cm="1">
        <f t="array" ref="L552">_xlfn.IFS(calls[[#This Row],[Duration]]&lt;=10,"under 10 mins",calls[[#This Row],[Duration]]&lt;=30,"10 to 30mins",calls[[#This Row],[Duration]]&lt;=60,"60 to 30mins",calls[[#This Row],[Duration]]&lt;=120,"1 to 2hrs",TRUE,"More than 2 hrs")</f>
        <v>More than 2 hrs</v>
      </c>
      <c r="M552">
        <f>ROUND(calls[[#This Row],[Satisfaction Rating]],0)</f>
        <v>5</v>
      </c>
      <c r="N552">
        <f>COUNTIF(calls[Customer ID], calls[[#This Row],[Customer ID]])</f>
        <v>70</v>
      </c>
      <c r="O552">
        <f>SUMIF(calls[Customer ID], calls[[#This Row],[Customer ID]], calls[Purchase Amount])</f>
        <v>6819</v>
      </c>
      <c r="P552">
        <f>calls[[#This Row],[call count]]/calls[[#This Row],[Purchase Amount]]</f>
        <v>0.35</v>
      </c>
      <c r="Q552">
        <f>COUNTIF(calls[Customer ID],calls[[#This Row],[Customer ID]])</f>
        <v>70</v>
      </c>
      <c r="R552">
        <f>calls[[#This Row],[call count]]/calls[[#This Row],[Purchase Amount]]</f>
        <v>0.35</v>
      </c>
    </row>
    <row r="553" spans="1:18" x14ac:dyDescent="0.4">
      <c r="A553" t="s">
        <v>583</v>
      </c>
      <c r="B553" t="s">
        <v>13</v>
      </c>
      <c r="C553">
        <v>132</v>
      </c>
      <c r="D553" s="4" t="s">
        <v>27</v>
      </c>
      <c r="E553" s="5">
        <v>45094</v>
      </c>
      <c r="F553">
        <v>50</v>
      </c>
      <c r="G553">
        <f>AVERAGEIF(calls[Representative], calls[[#This Row],[Representative]], calls[Satisfaction Rating])</f>
        <v>3.8589371980676304</v>
      </c>
      <c r="H553" t="str">
        <f>IF(AVERAGEIF(calls[Representative],calls[[#This Row],[Representative]],calls[Satisfaction Rating])&lt;3.5,"Needs Training","OK")</f>
        <v>OK</v>
      </c>
      <c r="I553">
        <v>4.2</v>
      </c>
      <c r="J553">
        <f>IF(MONTH(calls[[#This Row],[Date of Call]])&lt;=6, YEAR(calls[[#This Row],[Date of Call]]), YEAR(calls[[#This Row],[Date of Call]])+1)</f>
        <v>2023</v>
      </c>
      <c r="K553" t="str">
        <f>TEXT(calls[[#This Row],[Date of Call]],"DDDD")</f>
        <v>Saturday</v>
      </c>
      <c r="L553" t="str" cm="1">
        <f t="array" ref="L553">_xlfn.IFS(calls[[#This Row],[Duration]]&lt;=10,"under 10 mins",calls[[#This Row],[Duration]]&lt;=30,"10 to 30mins",calls[[#This Row],[Duration]]&lt;=60,"60 to 30mins",calls[[#This Row],[Duration]]&lt;=120,"1 to 2hrs",TRUE,"More than 2 hrs")</f>
        <v>More than 2 hrs</v>
      </c>
      <c r="M553">
        <f>ROUND(calls[[#This Row],[Satisfaction Rating]],0)</f>
        <v>4</v>
      </c>
      <c r="N553">
        <f>COUNTIF(calls[Customer ID], calls[[#This Row],[Customer ID]])</f>
        <v>74</v>
      </c>
      <c r="O553">
        <f>SUMIF(calls[Customer ID], calls[[#This Row],[Customer ID]], calls[Purchase Amount])</f>
        <v>6749</v>
      </c>
      <c r="P553">
        <f>calls[[#This Row],[call count]]/calls[[#This Row],[Purchase Amount]]</f>
        <v>1.48</v>
      </c>
      <c r="Q553">
        <f>COUNTIF(calls[Customer ID],calls[[#This Row],[Customer ID]])</f>
        <v>74</v>
      </c>
      <c r="R553">
        <f>calls[[#This Row],[call count]]/calls[[#This Row],[Purchase Amount]]</f>
        <v>1.48</v>
      </c>
    </row>
    <row r="554" spans="1:18" x14ac:dyDescent="0.4">
      <c r="A554" t="s">
        <v>584</v>
      </c>
      <c r="B554" t="s">
        <v>1</v>
      </c>
      <c r="C554">
        <v>106</v>
      </c>
      <c r="D554" s="4" t="s">
        <v>23</v>
      </c>
      <c r="E554" s="5">
        <v>45094</v>
      </c>
      <c r="F554">
        <v>112</v>
      </c>
      <c r="G554">
        <f>AVERAGEIF(calls[Representative], calls[[#This Row],[Representative]], calls[Satisfaction Rating])</f>
        <v>3.8973118279569863</v>
      </c>
      <c r="H554" t="str">
        <f>IF(AVERAGEIF(calls[Representative],calls[[#This Row],[Representative]],calls[Satisfaction Rating])&lt;3.5,"Needs Training","OK")</f>
        <v>OK</v>
      </c>
      <c r="I554">
        <v>3.7</v>
      </c>
      <c r="J554">
        <f>IF(MONTH(calls[[#This Row],[Date of Call]])&lt;=6, YEAR(calls[[#This Row],[Date of Call]]), YEAR(calls[[#This Row],[Date of Call]])+1)</f>
        <v>2023</v>
      </c>
      <c r="K554" t="str">
        <f>TEXT(calls[[#This Row],[Date of Call]],"DDDD")</f>
        <v>Saturday</v>
      </c>
      <c r="L554" t="str" cm="1">
        <f t="array" ref="L554">_xlfn.IFS(calls[[#This Row],[Duration]]&lt;=10,"under 10 mins",calls[[#This Row],[Duration]]&lt;=30,"10 to 30mins",calls[[#This Row],[Duration]]&lt;=60,"60 to 30mins",calls[[#This Row],[Duration]]&lt;=120,"1 to 2hrs",TRUE,"More than 2 hrs")</f>
        <v>1 to 2hrs</v>
      </c>
      <c r="M554">
        <f>ROUND(calls[[#This Row],[Satisfaction Rating]],0)</f>
        <v>4</v>
      </c>
      <c r="N554">
        <f>COUNTIF(calls[Customer ID], calls[[#This Row],[Customer ID]])</f>
        <v>50</v>
      </c>
      <c r="O554">
        <f>SUMIF(calls[Customer ID], calls[[#This Row],[Customer ID]], calls[Purchase Amount])</f>
        <v>4804</v>
      </c>
      <c r="P554">
        <f>calls[[#This Row],[call count]]/calls[[#This Row],[Purchase Amount]]</f>
        <v>0.44642857142857145</v>
      </c>
      <c r="Q554">
        <f>COUNTIF(calls[Customer ID],calls[[#This Row],[Customer ID]])</f>
        <v>50</v>
      </c>
      <c r="R554">
        <f>calls[[#This Row],[call count]]/calls[[#This Row],[Purchase Amount]]</f>
        <v>0.44642857142857145</v>
      </c>
    </row>
    <row r="555" spans="1:18" x14ac:dyDescent="0.4">
      <c r="A555" t="s">
        <v>585</v>
      </c>
      <c r="B555" t="s">
        <v>84</v>
      </c>
      <c r="C555">
        <v>107</v>
      </c>
      <c r="D555" s="4" t="s">
        <v>27</v>
      </c>
      <c r="E555" s="5">
        <v>45095</v>
      </c>
      <c r="F555">
        <v>39</v>
      </c>
      <c r="G555">
        <f>AVERAGEIF(calls[Representative], calls[[#This Row],[Representative]], calls[Satisfaction Rating])</f>
        <v>3.8589371980676304</v>
      </c>
      <c r="H555" t="str">
        <f>IF(AVERAGEIF(calls[Representative],calls[[#This Row],[Representative]],calls[Satisfaction Rating])&lt;3.5,"Needs Training","OK")</f>
        <v>OK</v>
      </c>
      <c r="I555">
        <v>4.8</v>
      </c>
      <c r="J555">
        <f>IF(MONTH(calls[[#This Row],[Date of Call]])&lt;=6, YEAR(calls[[#This Row],[Date of Call]]), YEAR(calls[[#This Row],[Date of Call]])+1)</f>
        <v>2023</v>
      </c>
      <c r="K555" t="str">
        <f>TEXT(calls[[#This Row],[Date of Call]],"DDDD")</f>
        <v>Sunday</v>
      </c>
      <c r="L555" t="str" cm="1">
        <f t="array" ref="L555">_xlfn.IFS(calls[[#This Row],[Duration]]&lt;=10,"under 10 mins",calls[[#This Row],[Duration]]&lt;=30,"10 to 30mins",calls[[#This Row],[Duration]]&lt;=60,"60 to 30mins",calls[[#This Row],[Duration]]&lt;=120,"1 to 2hrs",TRUE,"More than 2 hrs")</f>
        <v>1 to 2hrs</v>
      </c>
      <c r="M555">
        <f>ROUND(calls[[#This Row],[Satisfaction Rating]],0)</f>
        <v>5</v>
      </c>
      <c r="N555">
        <f>COUNTIF(calls[Customer ID], calls[[#This Row],[Customer ID]])</f>
        <v>59</v>
      </c>
      <c r="O555">
        <f>SUMIF(calls[Customer ID], calls[[#This Row],[Customer ID]], calls[Purchase Amount])</f>
        <v>5009</v>
      </c>
      <c r="P555">
        <f>calls[[#This Row],[call count]]/calls[[#This Row],[Purchase Amount]]</f>
        <v>1.5128205128205128</v>
      </c>
      <c r="Q555">
        <f>COUNTIF(calls[Customer ID],calls[[#This Row],[Customer ID]])</f>
        <v>59</v>
      </c>
      <c r="R555">
        <f>calls[[#This Row],[call count]]/calls[[#This Row],[Purchase Amount]]</f>
        <v>1.5128205128205128</v>
      </c>
    </row>
    <row r="556" spans="1:18" x14ac:dyDescent="0.4">
      <c r="A556" t="s">
        <v>586</v>
      </c>
      <c r="B556" t="s">
        <v>26</v>
      </c>
      <c r="C556">
        <v>85</v>
      </c>
      <c r="D556" s="4" t="s">
        <v>23</v>
      </c>
      <c r="E556" s="5">
        <v>45095</v>
      </c>
      <c r="F556">
        <v>38</v>
      </c>
      <c r="G556">
        <f>AVERAGEIF(calls[Representative], calls[[#This Row],[Representative]], calls[Satisfaction Rating])</f>
        <v>3.8973118279569863</v>
      </c>
      <c r="H556" t="str">
        <f>IF(AVERAGEIF(calls[Representative],calls[[#This Row],[Representative]],calls[Satisfaction Rating])&lt;3.5,"Needs Training","OK")</f>
        <v>OK</v>
      </c>
      <c r="I556">
        <v>4.8</v>
      </c>
      <c r="J556">
        <f>IF(MONTH(calls[[#This Row],[Date of Call]])&lt;=6, YEAR(calls[[#This Row],[Date of Call]]), YEAR(calls[[#This Row],[Date of Call]])+1)</f>
        <v>2023</v>
      </c>
      <c r="K556" t="str">
        <f>TEXT(calls[[#This Row],[Date of Call]],"DDDD")</f>
        <v>Sunday</v>
      </c>
      <c r="L556" t="str" cm="1">
        <f t="array" ref="L556">_xlfn.IFS(calls[[#This Row],[Duration]]&lt;=10,"under 10 mins",calls[[#This Row],[Duration]]&lt;=30,"10 to 30mins",calls[[#This Row],[Duration]]&lt;=60,"60 to 30mins",calls[[#This Row],[Duration]]&lt;=120,"1 to 2hrs",TRUE,"More than 2 hrs")</f>
        <v>1 to 2hrs</v>
      </c>
      <c r="M556">
        <f>ROUND(calls[[#This Row],[Satisfaction Rating]],0)</f>
        <v>5</v>
      </c>
      <c r="N556">
        <f>COUNTIF(calls[Customer ID], calls[[#This Row],[Customer ID]])</f>
        <v>72</v>
      </c>
      <c r="O556">
        <f>SUMIF(calls[Customer ID], calls[[#This Row],[Customer ID]], calls[Purchase Amount])</f>
        <v>6242</v>
      </c>
      <c r="P556">
        <f>calls[[#This Row],[call count]]/calls[[#This Row],[Purchase Amount]]</f>
        <v>1.8947368421052631</v>
      </c>
      <c r="Q556">
        <f>COUNTIF(calls[Customer ID],calls[[#This Row],[Customer ID]])</f>
        <v>72</v>
      </c>
      <c r="R556">
        <f>calls[[#This Row],[call count]]/calls[[#This Row],[Purchase Amount]]</f>
        <v>1.8947368421052631</v>
      </c>
    </row>
    <row r="557" spans="1:18" x14ac:dyDescent="0.4">
      <c r="A557" t="s">
        <v>587</v>
      </c>
      <c r="B557" t="s">
        <v>21</v>
      </c>
      <c r="C557">
        <v>49</v>
      </c>
      <c r="D557" s="4" t="s">
        <v>27</v>
      </c>
      <c r="E557" s="5">
        <v>45096</v>
      </c>
      <c r="F557">
        <v>84</v>
      </c>
      <c r="G557">
        <f>AVERAGEIF(calls[Representative], calls[[#This Row],[Representative]], calls[Satisfaction Rating])</f>
        <v>3.8589371980676304</v>
      </c>
      <c r="H557" t="str">
        <f>IF(AVERAGEIF(calls[Representative],calls[[#This Row],[Representative]],calls[Satisfaction Rating])&lt;3.5,"Needs Training","OK")</f>
        <v>OK</v>
      </c>
      <c r="I557">
        <v>2.9</v>
      </c>
      <c r="J557">
        <f>IF(MONTH(calls[[#This Row],[Date of Call]])&lt;=6, YEAR(calls[[#This Row],[Date of Call]]), YEAR(calls[[#This Row],[Date of Call]])+1)</f>
        <v>2023</v>
      </c>
      <c r="K557" t="str">
        <f>TEXT(calls[[#This Row],[Date of Call]],"DDDD")</f>
        <v>Monday</v>
      </c>
      <c r="L557" t="str" cm="1">
        <f t="array" ref="L557">_xlfn.IFS(calls[[#This Row],[Duration]]&lt;=10,"under 10 mins",calls[[#This Row],[Duration]]&lt;=30,"10 to 30mins",calls[[#This Row],[Duration]]&lt;=60,"60 to 30mins",calls[[#This Row],[Duration]]&lt;=120,"1 to 2hrs",TRUE,"More than 2 hrs")</f>
        <v>60 to 30mins</v>
      </c>
      <c r="M557">
        <f>ROUND(calls[[#This Row],[Satisfaction Rating]],0)</f>
        <v>3</v>
      </c>
      <c r="N557">
        <f>COUNTIF(calls[Customer ID], calls[[#This Row],[Customer ID]])</f>
        <v>67</v>
      </c>
      <c r="O557">
        <f>SUMIF(calls[Customer ID], calls[[#This Row],[Customer ID]], calls[Purchase Amount])</f>
        <v>7216</v>
      </c>
      <c r="P557">
        <f>calls[[#This Row],[call count]]/calls[[#This Row],[Purchase Amount]]</f>
        <v>0.79761904761904767</v>
      </c>
      <c r="Q557">
        <f>COUNTIF(calls[Customer ID],calls[[#This Row],[Customer ID]])</f>
        <v>67</v>
      </c>
      <c r="R557">
        <f>calls[[#This Row],[call count]]/calls[[#This Row],[Purchase Amount]]</f>
        <v>0.79761904761904767</v>
      </c>
    </row>
    <row r="558" spans="1:18" x14ac:dyDescent="0.4">
      <c r="A558" t="s">
        <v>588</v>
      </c>
      <c r="B558" t="s">
        <v>32</v>
      </c>
      <c r="C558">
        <v>117</v>
      </c>
      <c r="D558" s="4" t="s">
        <v>14</v>
      </c>
      <c r="E558" s="5">
        <v>45097</v>
      </c>
      <c r="F558">
        <v>82</v>
      </c>
      <c r="G558">
        <f>AVERAGEIF(calls[Representative], calls[[#This Row],[Representative]], calls[Satisfaction Rating])</f>
        <v>3.9227513227513247</v>
      </c>
      <c r="H558" t="str">
        <f>IF(AVERAGEIF(calls[Representative],calls[[#This Row],[Representative]],calls[Satisfaction Rating])&lt;3.5,"Needs Training","OK")</f>
        <v>OK</v>
      </c>
      <c r="I558">
        <v>3.5</v>
      </c>
      <c r="J558">
        <f>IF(MONTH(calls[[#This Row],[Date of Call]])&lt;=6, YEAR(calls[[#This Row],[Date of Call]]), YEAR(calls[[#This Row],[Date of Call]])+1)</f>
        <v>2023</v>
      </c>
      <c r="K558" t="str">
        <f>TEXT(calls[[#This Row],[Date of Call]],"DDDD")</f>
        <v>Tuesday</v>
      </c>
      <c r="L558" t="str" cm="1">
        <f t="array" ref="L558">_xlfn.IFS(calls[[#This Row],[Duration]]&lt;=10,"under 10 mins",calls[[#This Row],[Duration]]&lt;=30,"10 to 30mins",calls[[#This Row],[Duration]]&lt;=60,"60 to 30mins",calls[[#This Row],[Duration]]&lt;=120,"1 to 2hrs",TRUE,"More than 2 hrs")</f>
        <v>1 to 2hrs</v>
      </c>
      <c r="M558">
        <f>ROUND(calls[[#This Row],[Satisfaction Rating]],0)</f>
        <v>4</v>
      </c>
      <c r="N558">
        <f>COUNTIF(calls[Customer ID], calls[[#This Row],[Customer ID]])</f>
        <v>63</v>
      </c>
      <c r="O558">
        <f>SUMIF(calls[Customer ID], calls[[#This Row],[Customer ID]], calls[Purchase Amount])</f>
        <v>5634</v>
      </c>
      <c r="P558">
        <f>calls[[#This Row],[call count]]/calls[[#This Row],[Purchase Amount]]</f>
        <v>0.76829268292682928</v>
      </c>
      <c r="Q558">
        <f>COUNTIF(calls[Customer ID],calls[[#This Row],[Customer ID]])</f>
        <v>63</v>
      </c>
      <c r="R558">
        <f>calls[[#This Row],[call count]]/calls[[#This Row],[Purchase Amount]]</f>
        <v>0.76829268292682928</v>
      </c>
    </row>
    <row r="559" spans="1:18" x14ac:dyDescent="0.4">
      <c r="A559" t="s">
        <v>589</v>
      </c>
      <c r="B559" t="s">
        <v>84</v>
      </c>
      <c r="C559">
        <v>136</v>
      </c>
      <c r="D559" s="4" t="s">
        <v>23</v>
      </c>
      <c r="E559" s="5">
        <v>45097</v>
      </c>
      <c r="F559">
        <v>37</v>
      </c>
      <c r="G559">
        <f>AVERAGEIF(calls[Representative], calls[[#This Row],[Representative]], calls[Satisfaction Rating])</f>
        <v>3.8973118279569863</v>
      </c>
      <c r="H559" t="str">
        <f>IF(AVERAGEIF(calls[Representative],calls[[#This Row],[Representative]],calls[Satisfaction Rating])&lt;3.5,"Needs Training","OK")</f>
        <v>OK</v>
      </c>
      <c r="I559">
        <v>0.9</v>
      </c>
      <c r="J559">
        <f>IF(MONTH(calls[[#This Row],[Date of Call]])&lt;=6, YEAR(calls[[#This Row],[Date of Call]]), YEAR(calls[[#This Row],[Date of Call]])+1)</f>
        <v>2023</v>
      </c>
      <c r="K559" t="str">
        <f>TEXT(calls[[#This Row],[Date of Call]],"DDDD")</f>
        <v>Tuesday</v>
      </c>
      <c r="L559" t="str" cm="1">
        <f t="array" ref="L559">_xlfn.IFS(calls[[#This Row],[Duration]]&lt;=10,"under 10 mins",calls[[#This Row],[Duration]]&lt;=30,"10 to 30mins",calls[[#This Row],[Duration]]&lt;=60,"60 to 30mins",calls[[#This Row],[Duration]]&lt;=120,"1 to 2hrs",TRUE,"More than 2 hrs")</f>
        <v>More than 2 hrs</v>
      </c>
      <c r="M559">
        <f>ROUND(calls[[#This Row],[Satisfaction Rating]],0)</f>
        <v>1</v>
      </c>
      <c r="N559">
        <f>COUNTIF(calls[Customer ID], calls[[#This Row],[Customer ID]])</f>
        <v>59</v>
      </c>
      <c r="O559">
        <f>SUMIF(calls[Customer ID], calls[[#This Row],[Customer ID]], calls[Purchase Amount])</f>
        <v>5009</v>
      </c>
      <c r="P559">
        <f>calls[[#This Row],[call count]]/calls[[#This Row],[Purchase Amount]]</f>
        <v>1.5945945945945945</v>
      </c>
      <c r="Q559">
        <f>COUNTIF(calls[Customer ID],calls[[#This Row],[Customer ID]])</f>
        <v>59</v>
      </c>
      <c r="R559">
        <f>calls[[#This Row],[call count]]/calls[[#This Row],[Purchase Amount]]</f>
        <v>1.5945945945945945</v>
      </c>
    </row>
    <row r="560" spans="1:18" x14ac:dyDescent="0.4">
      <c r="A560" t="s">
        <v>590</v>
      </c>
      <c r="B560" t="s">
        <v>8</v>
      </c>
      <c r="C560">
        <v>130</v>
      </c>
      <c r="D560" s="4" t="s">
        <v>9</v>
      </c>
      <c r="E560" s="5">
        <v>45098</v>
      </c>
      <c r="F560">
        <v>87</v>
      </c>
      <c r="G560">
        <f>AVERAGEIF(calls[Representative], calls[[#This Row],[Representative]], calls[Satisfaction Rating])</f>
        <v>3.8706422018348627</v>
      </c>
      <c r="H560" t="str">
        <f>IF(AVERAGEIF(calls[Representative],calls[[#This Row],[Representative]],calls[Satisfaction Rating])&lt;3.5,"Needs Training","OK")</f>
        <v>OK</v>
      </c>
      <c r="I560">
        <v>3.4</v>
      </c>
      <c r="J560">
        <f>IF(MONTH(calls[[#This Row],[Date of Call]])&lt;=6, YEAR(calls[[#This Row],[Date of Call]]), YEAR(calls[[#This Row],[Date of Call]])+1)</f>
        <v>2023</v>
      </c>
      <c r="K560" t="str">
        <f>TEXT(calls[[#This Row],[Date of Call]],"DDDD")</f>
        <v>Wednesday</v>
      </c>
      <c r="L560" t="str" cm="1">
        <f t="array" ref="L560">_xlfn.IFS(calls[[#This Row],[Duration]]&lt;=10,"under 10 mins",calls[[#This Row],[Duration]]&lt;=30,"10 to 30mins",calls[[#This Row],[Duration]]&lt;=60,"60 to 30mins",calls[[#This Row],[Duration]]&lt;=120,"1 to 2hrs",TRUE,"More than 2 hrs")</f>
        <v>More than 2 hrs</v>
      </c>
      <c r="M560">
        <f>ROUND(calls[[#This Row],[Satisfaction Rating]],0)</f>
        <v>3</v>
      </c>
      <c r="N560">
        <f>COUNTIF(calls[Customer ID], calls[[#This Row],[Customer ID]])</f>
        <v>79</v>
      </c>
      <c r="O560">
        <f>SUMIF(calls[Customer ID], calls[[#This Row],[Customer ID]], calls[Purchase Amount])</f>
        <v>7747</v>
      </c>
      <c r="P560">
        <f>calls[[#This Row],[call count]]/calls[[#This Row],[Purchase Amount]]</f>
        <v>0.90804597701149425</v>
      </c>
      <c r="Q560">
        <f>COUNTIF(calls[Customer ID],calls[[#This Row],[Customer ID]])</f>
        <v>79</v>
      </c>
      <c r="R560">
        <f>calls[[#This Row],[call count]]/calls[[#This Row],[Purchase Amount]]</f>
        <v>0.90804597701149425</v>
      </c>
    </row>
    <row r="561" spans="1:18" x14ac:dyDescent="0.4">
      <c r="A561" t="s">
        <v>591</v>
      </c>
      <c r="B561" t="s">
        <v>8</v>
      </c>
      <c r="C561">
        <v>73</v>
      </c>
      <c r="D561" s="4" t="s">
        <v>9</v>
      </c>
      <c r="E561" s="5">
        <v>45098</v>
      </c>
      <c r="F561">
        <v>75</v>
      </c>
      <c r="G561">
        <f>AVERAGEIF(calls[Representative], calls[[#This Row],[Representative]], calls[Satisfaction Rating])</f>
        <v>3.8706422018348627</v>
      </c>
      <c r="H561" t="str">
        <f>IF(AVERAGEIF(calls[Representative],calls[[#This Row],[Representative]],calls[Satisfaction Rating])&lt;3.5,"Needs Training","OK")</f>
        <v>OK</v>
      </c>
      <c r="I561">
        <v>2.7</v>
      </c>
      <c r="J561">
        <f>IF(MONTH(calls[[#This Row],[Date of Call]])&lt;=6, YEAR(calls[[#This Row],[Date of Call]]), YEAR(calls[[#This Row],[Date of Call]])+1)</f>
        <v>2023</v>
      </c>
      <c r="K561" t="str">
        <f>TEXT(calls[[#This Row],[Date of Call]],"DDDD")</f>
        <v>Wednesday</v>
      </c>
      <c r="L561" t="str" cm="1">
        <f t="array" ref="L561">_xlfn.IFS(calls[[#This Row],[Duration]]&lt;=10,"under 10 mins",calls[[#This Row],[Duration]]&lt;=30,"10 to 30mins",calls[[#This Row],[Duration]]&lt;=60,"60 to 30mins",calls[[#This Row],[Duration]]&lt;=120,"1 to 2hrs",TRUE,"More than 2 hrs")</f>
        <v>1 to 2hrs</v>
      </c>
      <c r="M561">
        <f>ROUND(calls[[#This Row],[Satisfaction Rating]],0)</f>
        <v>3</v>
      </c>
      <c r="N561">
        <f>COUNTIF(calls[Customer ID], calls[[#This Row],[Customer ID]])</f>
        <v>79</v>
      </c>
      <c r="O561">
        <f>SUMIF(calls[Customer ID], calls[[#This Row],[Customer ID]], calls[Purchase Amount])</f>
        <v>7747</v>
      </c>
      <c r="P561">
        <f>calls[[#This Row],[call count]]/calls[[#This Row],[Purchase Amount]]</f>
        <v>1.0533333333333332</v>
      </c>
      <c r="Q561">
        <f>COUNTIF(calls[Customer ID],calls[[#This Row],[Customer ID]])</f>
        <v>79</v>
      </c>
      <c r="R561">
        <f>calls[[#This Row],[call count]]/calls[[#This Row],[Purchase Amount]]</f>
        <v>1.0533333333333332</v>
      </c>
    </row>
    <row r="562" spans="1:18" x14ac:dyDescent="0.4">
      <c r="A562" t="s">
        <v>592</v>
      </c>
      <c r="B562" t="s">
        <v>21</v>
      </c>
      <c r="C562">
        <v>80</v>
      </c>
      <c r="D562" s="4" t="s">
        <v>27</v>
      </c>
      <c r="E562" s="5">
        <v>45098</v>
      </c>
      <c r="F562">
        <v>32</v>
      </c>
      <c r="G562">
        <f>AVERAGEIF(calls[Representative], calls[[#This Row],[Representative]], calls[Satisfaction Rating])</f>
        <v>3.8589371980676304</v>
      </c>
      <c r="H562" t="str">
        <f>IF(AVERAGEIF(calls[Representative],calls[[#This Row],[Representative]],calls[Satisfaction Rating])&lt;3.5,"Needs Training","OK")</f>
        <v>OK</v>
      </c>
      <c r="I562">
        <v>4.7</v>
      </c>
      <c r="J562">
        <f>IF(MONTH(calls[[#This Row],[Date of Call]])&lt;=6, YEAR(calls[[#This Row],[Date of Call]]), YEAR(calls[[#This Row],[Date of Call]])+1)</f>
        <v>2023</v>
      </c>
      <c r="K562" t="str">
        <f>TEXT(calls[[#This Row],[Date of Call]],"DDDD")</f>
        <v>Wednesday</v>
      </c>
      <c r="L562" t="str" cm="1">
        <f t="array" ref="L562">_xlfn.IFS(calls[[#This Row],[Duration]]&lt;=10,"under 10 mins",calls[[#This Row],[Duration]]&lt;=30,"10 to 30mins",calls[[#This Row],[Duration]]&lt;=60,"60 to 30mins",calls[[#This Row],[Duration]]&lt;=120,"1 to 2hrs",TRUE,"More than 2 hrs")</f>
        <v>1 to 2hrs</v>
      </c>
      <c r="M562">
        <f>ROUND(calls[[#This Row],[Satisfaction Rating]],0)</f>
        <v>5</v>
      </c>
      <c r="N562">
        <f>COUNTIF(calls[Customer ID], calls[[#This Row],[Customer ID]])</f>
        <v>67</v>
      </c>
      <c r="O562">
        <f>SUMIF(calls[Customer ID], calls[[#This Row],[Customer ID]], calls[Purchase Amount])</f>
        <v>7216</v>
      </c>
      <c r="P562">
        <f>calls[[#This Row],[call count]]/calls[[#This Row],[Purchase Amount]]</f>
        <v>2.09375</v>
      </c>
      <c r="Q562">
        <f>COUNTIF(calls[Customer ID],calls[[#This Row],[Customer ID]])</f>
        <v>67</v>
      </c>
      <c r="R562">
        <f>calls[[#This Row],[call count]]/calls[[#This Row],[Purchase Amount]]</f>
        <v>2.09375</v>
      </c>
    </row>
    <row r="563" spans="1:18" x14ac:dyDescent="0.4">
      <c r="A563" t="s">
        <v>593</v>
      </c>
      <c r="B563" t="s">
        <v>64</v>
      </c>
      <c r="C563">
        <v>44</v>
      </c>
      <c r="D563" s="4" t="s">
        <v>14</v>
      </c>
      <c r="E563" s="5">
        <v>45098</v>
      </c>
      <c r="F563">
        <v>33</v>
      </c>
      <c r="G563">
        <f>AVERAGEIF(calls[Representative], calls[[#This Row],[Representative]], calls[Satisfaction Rating])</f>
        <v>3.9227513227513247</v>
      </c>
      <c r="H563" t="str">
        <f>IF(AVERAGEIF(calls[Representative],calls[[#This Row],[Representative]],calls[Satisfaction Rating])&lt;3.5,"Needs Training","OK")</f>
        <v>OK</v>
      </c>
      <c r="I563">
        <v>3</v>
      </c>
      <c r="J563">
        <f>IF(MONTH(calls[[#This Row],[Date of Call]])&lt;=6, YEAR(calls[[#This Row],[Date of Call]]), YEAR(calls[[#This Row],[Date of Call]])+1)</f>
        <v>2023</v>
      </c>
      <c r="K563" t="str">
        <f>TEXT(calls[[#This Row],[Date of Call]],"DDDD")</f>
        <v>Wednesday</v>
      </c>
      <c r="L563" t="str" cm="1">
        <f t="array" ref="L563">_xlfn.IFS(calls[[#This Row],[Duration]]&lt;=10,"under 10 mins",calls[[#This Row],[Duration]]&lt;=30,"10 to 30mins",calls[[#This Row],[Duration]]&lt;=60,"60 to 30mins",calls[[#This Row],[Duration]]&lt;=120,"1 to 2hrs",TRUE,"More than 2 hrs")</f>
        <v>60 to 30mins</v>
      </c>
      <c r="M563">
        <f>ROUND(calls[[#This Row],[Satisfaction Rating]],0)</f>
        <v>3</v>
      </c>
      <c r="N563">
        <f>COUNTIF(calls[Customer ID], calls[[#This Row],[Customer ID]])</f>
        <v>65</v>
      </c>
      <c r="O563">
        <f>SUMIF(calls[Customer ID], calls[[#This Row],[Customer ID]], calls[Purchase Amount])</f>
        <v>6785</v>
      </c>
      <c r="P563">
        <f>calls[[#This Row],[call count]]/calls[[#This Row],[Purchase Amount]]</f>
        <v>1.9696969696969697</v>
      </c>
      <c r="Q563">
        <f>COUNTIF(calls[Customer ID],calls[[#This Row],[Customer ID]])</f>
        <v>65</v>
      </c>
      <c r="R563">
        <f>calls[[#This Row],[call count]]/calls[[#This Row],[Purchase Amount]]</f>
        <v>1.9696969696969697</v>
      </c>
    </row>
    <row r="564" spans="1:18" x14ac:dyDescent="0.4">
      <c r="A564" t="s">
        <v>594</v>
      </c>
      <c r="B564" t="s">
        <v>64</v>
      </c>
      <c r="C564">
        <v>102</v>
      </c>
      <c r="D564" s="4" t="s">
        <v>2</v>
      </c>
      <c r="E564" s="5">
        <v>45098</v>
      </c>
      <c r="F564">
        <v>76</v>
      </c>
      <c r="G564">
        <f>AVERAGEIF(calls[Representative], calls[[#This Row],[Representative]], calls[Satisfaction Rating])</f>
        <v>3.8824999999999998</v>
      </c>
      <c r="H564" t="str">
        <f>IF(AVERAGEIF(calls[Representative],calls[[#This Row],[Representative]],calls[Satisfaction Rating])&lt;3.5,"Needs Training","OK")</f>
        <v>OK</v>
      </c>
      <c r="I564">
        <v>4.2</v>
      </c>
      <c r="J564">
        <f>IF(MONTH(calls[[#This Row],[Date of Call]])&lt;=6, YEAR(calls[[#This Row],[Date of Call]]), YEAR(calls[[#This Row],[Date of Call]])+1)</f>
        <v>2023</v>
      </c>
      <c r="K564" t="str">
        <f>TEXT(calls[[#This Row],[Date of Call]],"DDDD")</f>
        <v>Wednesday</v>
      </c>
      <c r="L564" t="str" cm="1">
        <f t="array" ref="L564">_xlfn.IFS(calls[[#This Row],[Duration]]&lt;=10,"under 10 mins",calls[[#This Row],[Duration]]&lt;=30,"10 to 30mins",calls[[#This Row],[Duration]]&lt;=60,"60 to 30mins",calls[[#This Row],[Duration]]&lt;=120,"1 to 2hrs",TRUE,"More than 2 hrs")</f>
        <v>1 to 2hrs</v>
      </c>
      <c r="M564">
        <f>ROUND(calls[[#This Row],[Satisfaction Rating]],0)</f>
        <v>4</v>
      </c>
      <c r="N564">
        <f>COUNTIF(calls[Customer ID], calls[[#This Row],[Customer ID]])</f>
        <v>65</v>
      </c>
      <c r="O564">
        <f>SUMIF(calls[Customer ID], calls[[#This Row],[Customer ID]], calls[Purchase Amount])</f>
        <v>6785</v>
      </c>
      <c r="P564">
        <f>calls[[#This Row],[call count]]/calls[[#This Row],[Purchase Amount]]</f>
        <v>0.85526315789473684</v>
      </c>
      <c r="Q564">
        <f>COUNTIF(calls[Customer ID],calls[[#This Row],[Customer ID]])</f>
        <v>65</v>
      </c>
      <c r="R564">
        <f>calls[[#This Row],[call count]]/calls[[#This Row],[Purchase Amount]]</f>
        <v>0.85526315789473684</v>
      </c>
    </row>
    <row r="565" spans="1:18" x14ac:dyDescent="0.4">
      <c r="A565" t="s">
        <v>595</v>
      </c>
      <c r="B565" t="s">
        <v>51</v>
      </c>
      <c r="C565">
        <v>74</v>
      </c>
      <c r="D565" s="4" t="s">
        <v>2</v>
      </c>
      <c r="E565" s="5">
        <v>45098</v>
      </c>
      <c r="F565">
        <v>117</v>
      </c>
      <c r="G565">
        <f>AVERAGEIF(calls[Representative], calls[[#This Row],[Representative]], calls[Satisfaction Rating])</f>
        <v>3.8824999999999998</v>
      </c>
      <c r="H565" t="str">
        <f>IF(AVERAGEIF(calls[Representative],calls[[#This Row],[Representative]],calls[Satisfaction Rating])&lt;3.5,"Needs Training","OK")</f>
        <v>OK</v>
      </c>
      <c r="I565">
        <v>4.8</v>
      </c>
      <c r="J565">
        <f>IF(MONTH(calls[[#This Row],[Date of Call]])&lt;=6, YEAR(calls[[#This Row],[Date of Call]]), YEAR(calls[[#This Row],[Date of Call]])+1)</f>
        <v>2023</v>
      </c>
      <c r="K565" t="str">
        <f>TEXT(calls[[#This Row],[Date of Call]],"DDDD")</f>
        <v>Wednesday</v>
      </c>
      <c r="L565" t="str" cm="1">
        <f t="array" ref="L565">_xlfn.IFS(calls[[#This Row],[Duration]]&lt;=10,"under 10 mins",calls[[#This Row],[Duration]]&lt;=30,"10 to 30mins",calls[[#This Row],[Duration]]&lt;=60,"60 to 30mins",calls[[#This Row],[Duration]]&lt;=120,"1 to 2hrs",TRUE,"More than 2 hrs")</f>
        <v>1 to 2hrs</v>
      </c>
      <c r="M565">
        <f>ROUND(calls[[#This Row],[Satisfaction Rating]],0)</f>
        <v>5</v>
      </c>
      <c r="N565">
        <f>COUNTIF(calls[Customer ID], calls[[#This Row],[Customer ID]])</f>
        <v>59</v>
      </c>
      <c r="O565">
        <f>SUMIF(calls[Customer ID], calls[[#This Row],[Customer ID]], calls[Purchase Amount])</f>
        <v>6518</v>
      </c>
      <c r="P565">
        <f>calls[[#This Row],[call count]]/calls[[#This Row],[Purchase Amount]]</f>
        <v>0.50427350427350426</v>
      </c>
      <c r="Q565">
        <f>COUNTIF(calls[Customer ID],calls[[#This Row],[Customer ID]])</f>
        <v>59</v>
      </c>
      <c r="R565">
        <f>calls[[#This Row],[call count]]/calls[[#This Row],[Purchase Amount]]</f>
        <v>0.50427350427350426</v>
      </c>
    </row>
    <row r="566" spans="1:18" x14ac:dyDescent="0.4">
      <c r="A566" t="s">
        <v>596</v>
      </c>
      <c r="B566" t="s">
        <v>21</v>
      </c>
      <c r="C566">
        <v>52</v>
      </c>
      <c r="D566" s="4" t="s">
        <v>14</v>
      </c>
      <c r="E566" s="5">
        <v>45100</v>
      </c>
      <c r="F566">
        <v>70</v>
      </c>
      <c r="G566">
        <f>AVERAGEIF(calls[Representative], calls[[#This Row],[Representative]], calls[Satisfaction Rating])</f>
        <v>3.9227513227513247</v>
      </c>
      <c r="H566" t="str">
        <f>IF(AVERAGEIF(calls[Representative],calls[[#This Row],[Representative]],calls[Satisfaction Rating])&lt;3.5,"Needs Training","OK")</f>
        <v>OK</v>
      </c>
      <c r="I566">
        <v>4.0999999999999996</v>
      </c>
      <c r="J566">
        <f>IF(MONTH(calls[[#This Row],[Date of Call]])&lt;=6, YEAR(calls[[#This Row],[Date of Call]]), YEAR(calls[[#This Row],[Date of Call]])+1)</f>
        <v>2023</v>
      </c>
      <c r="K566" t="str">
        <f>TEXT(calls[[#This Row],[Date of Call]],"DDDD")</f>
        <v>Friday</v>
      </c>
      <c r="L566" t="str" cm="1">
        <f t="array" ref="L566">_xlfn.IFS(calls[[#This Row],[Duration]]&lt;=10,"under 10 mins",calls[[#This Row],[Duration]]&lt;=30,"10 to 30mins",calls[[#This Row],[Duration]]&lt;=60,"60 to 30mins",calls[[#This Row],[Duration]]&lt;=120,"1 to 2hrs",TRUE,"More than 2 hrs")</f>
        <v>60 to 30mins</v>
      </c>
      <c r="M566">
        <f>ROUND(calls[[#This Row],[Satisfaction Rating]],0)</f>
        <v>4</v>
      </c>
      <c r="N566">
        <f>COUNTIF(calls[Customer ID], calls[[#This Row],[Customer ID]])</f>
        <v>67</v>
      </c>
      <c r="O566">
        <f>SUMIF(calls[Customer ID], calls[[#This Row],[Customer ID]], calls[Purchase Amount])</f>
        <v>7216</v>
      </c>
      <c r="P566">
        <f>calls[[#This Row],[call count]]/calls[[#This Row],[Purchase Amount]]</f>
        <v>0.95714285714285718</v>
      </c>
      <c r="Q566">
        <f>COUNTIF(calls[Customer ID],calls[[#This Row],[Customer ID]])</f>
        <v>67</v>
      </c>
      <c r="R566">
        <f>calls[[#This Row],[call count]]/calls[[#This Row],[Purchase Amount]]</f>
        <v>0.95714285714285718</v>
      </c>
    </row>
    <row r="567" spans="1:18" x14ac:dyDescent="0.4">
      <c r="A567" t="s">
        <v>597</v>
      </c>
      <c r="B567" t="s">
        <v>21</v>
      </c>
      <c r="C567">
        <v>74</v>
      </c>
      <c r="D567" s="4" t="s">
        <v>9</v>
      </c>
      <c r="E567" s="5">
        <v>45100</v>
      </c>
      <c r="F567">
        <v>37</v>
      </c>
      <c r="G567">
        <f>AVERAGEIF(calls[Representative], calls[[#This Row],[Representative]], calls[Satisfaction Rating])</f>
        <v>3.8706422018348627</v>
      </c>
      <c r="H567" t="str">
        <f>IF(AVERAGEIF(calls[Representative],calls[[#This Row],[Representative]],calls[Satisfaction Rating])&lt;3.5,"Needs Training","OK")</f>
        <v>OK</v>
      </c>
      <c r="I567">
        <v>2.7</v>
      </c>
      <c r="J567">
        <f>IF(MONTH(calls[[#This Row],[Date of Call]])&lt;=6, YEAR(calls[[#This Row],[Date of Call]]), YEAR(calls[[#This Row],[Date of Call]])+1)</f>
        <v>2023</v>
      </c>
      <c r="K567" t="str">
        <f>TEXT(calls[[#This Row],[Date of Call]],"DDDD")</f>
        <v>Friday</v>
      </c>
      <c r="L567" t="str" cm="1">
        <f t="array" ref="L567">_xlfn.IFS(calls[[#This Row],[Duration]]&lt;=10,"under 10 mins",calls[[#This Row],[Duration]]&lt;=30,"10 to 30mins",calls[[#This Row],[Duration]]&lt;=60,"60 to 30mins",calls[[#This Row],[Duration]]&lt;=120,"1 to 2hrs",TRUE,"More than 2 hrs")</f>
        <v>1 to 2hrs</v>
      </c>
      <c r="M567">
        <f>ROUND(calls[[#This Row],[Satisfaction Rating]],0)</f>
        <v>3</v>
      </c>
      <c r="N567">
        <f>COUNTIF(calls[Customer ID], calls[[#This Row],[Customer ID]])</f>
        <v>67</v>
      </c>
      <c r="O567">
        <f>SUMIF(calls[Customer ID], calls[[#This Row],[Customer ID]], calls[Purchase Amount])</f>
        <v>7216</v>
      </c>
      <c r="P567">
        <f>calls[[#This Row],[call count]]/calls[[#This Row],[Purchase Amount]]</f>
        <v>1.8108108108108107</v>
      </c>
      <c r="Q567">
        <f>COUNTIF(calls[Customer ID],calls[[#This Row],[Customer ID]])</f>
        <v>67</v>
      </c>
      <c r="R567">
        <f>calls[[#This Row],[call count]]/calls[[#This Row],[Purchase Amount]]</f>
        <v>1.8108108108108107</v>
      </c>
    </row>
    <row r="568" spans="1:18" x14ac:dyDescent="0.4">
      <c r="A568" t="s">
        <v>598</v>
      </c>
      <c r="B568" t="s">
        <v>8</v>
      </c>
      <c r="C568">
        <v>96</v>
      </c>
      <c r="D568" s="4" t="s">
        <v>2</v>
      </c>
      <c r="E568" s="5">
        <v>45100</v>
      </c>
      <c r="F568">
        <v>46</v>
      </c>
      <c r="G568">
        <f>AVERAGEIF(calls[Representative], calls[[#This Row],[Representative]], calls[Satisfaction Rating])</f>
        <v>3.8824999999999998</v>
      </c>
      <c r="H568" t="str">
        <f>IF(AVERAGEIF(calls[Representative],calls[[#This Row],[Representative]],calls[Satisfaction Rating])&lt;3.5,"Needs Training","OK")</f>
        <v>OK</v>
      </c>
      <c r="I568">
        <v>2.9</v>
      </c>
      <c r="J568">
        <f>IF(MONTH(calls[[#This Row],[Date of Call]])&lt;=6, YEAR(calls[[#This Row],[Date of Call]]), YEAR(calls[[#This Row],[Date of Call]])+1)</f>
        <v>2023</v>
      </c>
      <c r="K568" t="str">
        <f>TEXT(calls[[#This Row],[Date of Call]],"DDDD")</f>
        <v>Friday</v>
      </c>
      <c r="L568" t="str" cm="1">
        <f t="array" ref="L568">_xlfn.IFS(calls[[#This Row],[Duration]]&lt;=10,"under 10 mins",calls[[#This Row],[Duration]]&lt;=30,"10 to 30mins",calls[[#This Row],[Duration]]&lt;=60,"60 to 30mins",calls[[#This Row],[Duration]]&lt;=120,"1 to 2hrs",TRUE,"More than 2 hrs")</f>
        <v>1 to 2hrs</v>
      </c>
      <c r="M568">
        <f>ROUND(calls[[#This Row],[Satisfaction Rating]],0)</f>
        <v>3</v>
      </c>
      <c r="N568">
        <f>COUNTIF(calls[Customer ID], calls[[#This Row],[Customer ID]])</f>
        <v>79</v>
      </c>
      <c r="O568">
        <f>SUMIF(calls[Customer ID], calls[[#This Row],[Customer ID]], calls[Purchase Amount])</f>
        <v>7747</v>
      </c>
      <c r="P568">
        <f>calls[[#This Row],[call count]]/calls[[#This Row],[Purchase Amount]]</f>
        <v>1.7173913043478262</v>
      </c>
      <c r="Q568">
        <f>COUNTIF(calls[Customer ID],calls[[#This Row],[Customer ID]])</f>
        <v>79</v>
      </c>
      <c r="R568">
        <f>calls[[#This Row],[call count]]/calls[[#This Row],[Purchase Amount]]</f>
        <v>1.7173913043478262</v>
      </c>
    </row>
    <row r="569" spans="1:18" x14ac:dyDescent="0.4">
      <c r="A569" t="s">
        <v>599</v>
      </c>
      <c r="B569" t="s">
        <v>30</v>
      </c>
      <c r="C569">
        <v>104</v>
      </c>
      <c r="D569" s="4" t="s">
        <v>27</v>
      </c>
      <c r="E569" s="5">
        <v>45100</v>
      </c>
      <c r="F569">
        <v>136</v>
      </c>
      <c r="G569">
        <f>AVERAGEIF(calls[Representative], calls[[#This Row],[Representative]], calls[Satisfaction Rating])</f>
        <v>3.8589371980676304</v>
      </c>
      <c r="H569" t="str">
        <f>IF(AVERAGEIF(calls[Representative],calls[[#This Row],[Representative]],calls[Satisfaction Rating])&lt;3.5,"Needs Training","OK")</f>
        <v>OK</v>
      </c>
      <c r="I569">
        <v>5</v>
      </c>
      <c r="J569">
        <f>IF(MONTH(calls[[#This Row],[Date of Call]])&lt;=6, YEAR(calls[[#This Row],[Date of Call]]), YEAR(calls[[#This Row],[Date of Call]])+1)</f>
        <v>2023</v>
      </c>
      <c r="K569" t="str">
        <f>TEXT(calls[[#This Row],[Date of Call]],"DDDD")</f>
        <v>Friday</v>
      </c>
      <c r="L569" t="str" cm="1">
        <f t="array" ref="L569">_xlfn.IFS(calls[[#This Row],[Duration]]&lt;=10,"under 10 mins",calls[[#This Row],[Duration]]&lt;=30,"10 to 30mins",calls[[#This Row],[Duration]]&lt;=60,"60 to 30mins",calls[[#This Row],[Duration]]&lt;=120,"1 to 2hrs",TRUE,"More than 2 hrs")</f>
        <v>1 to 2hrs</v>
      </c>
      <c r="M569">
        <f>ROUND(calls[[#This Row],[Satisfaction Rating]],0)</f>
        <v>5</v>
      </c>
      <c r="N569">
        <f>COUNTIF(calls[Customer ID], calls[[#This Row],[Customer ID]])</f>
        <v>69</v>
      </c>
      <c r="O569">
        <f>SUMIF(calls[Customer ID], calls[[#This Row],[Customer ID]], calls[Purchase Amount])</f>
        <v>7230</v>
      </c>
      <c r="P569">
        <f>calls[[#This Row],[call count]]/calls[[#This Row],[Purchase Amount]]</f>
        <v>0.50735294117647056</v>
      </c>
      <c r="Q569">
        <f>COUNTIF(calls[Customer ID],calls[[#This Row],[Customer ID]])</f>
        <v>69</v>
      </c>
      <c r="R569">
        <f>calls[[#This Row],[call count]]/calls[[#This Row],[Purchase Amount]]</f>
        <v>0.50735294117647056</v>
      </c>
    </row>
    <row r="570" spans="1:18" x14ac:dyDescent="0.4">
      <c r="A570" t="s">
        <v>600</v>
      </c>
      <c r="B570" t="s">
        <v>8</v>
      </c>
      <c r="C570">
        <v>123</v>
      </c>
      <c r="D570" s="4" t="s">
        <v>2</v>
      </c>
      <c r="E570" s="5">
        <v>45101</v>
      </c>
      <c r="F570">
        <v>44</v>
      </c>
      <c r="G570">
        <f>AVERAGEIF(calls[Representative], calls[[#This Row],[Representative]], calls[Satisfaction Rating])</f>
        <v>3.8824999999999998</v>
      </c>
      <c r="H570" t="str">
        <f>IF(AVERAGEIF(calls[Representative],calls[[#This Row],[Representative]],calls[Satisfaction Rating])&lt;3.5,"Needs Training","OK")</f>
        <v>OK</v>
      </c>
      <c r="I570">
        <v>4.5999999999999996</v>
      </c>
      <c r="J570">
        <f>IF(MONTH(calls[[#This Row],[Date of Call]])&lt;=6, YEAR(calls[[#This Row],[Date of Call]]), YEAR(calls[[#This Row],[Date of Call]])+1)</f>
        <v>2023</v>
      </c>
      <c r="K570" t="str">
        <f>TEXT(calls[[#This Row],[Date of Call]],"DDDD")</f>
        <v>Saturday</v>
      </c>
      <c r="L570" t="str" cm="1">
        <f t="array" ref="L570">_xlfn.IFS(calls[[#This Row],[Duration]]&lt;=10,"under 10 mins",calls[[#This Row],[Duration]]&lt;=30,"10 to 30mins",calls[[#This Row],[Duration]]&lt;=60,"60 to 30mins",calls[[#This Row],[Duration]]&lt;=120,"1 to 2hrs",TRUE,"More than 2 hrs")</f>
        <v>More than 2 hrs</v>
      </c>
      <c r="M570">
        <f>ROUND(calls[[#This Row],[Satisfaction Rating]],0)</f>
        <v>5</v>
      </c>
      <c r="N570">
        <f>COUNTIF(calls[Customer ID], calls[[#This Row],[Customer ID]])</f>
        <v>79</v>
      </c>
      <c r="O570">
        <f>SUMIF(calls[Customer ID], calls[[#This Row],[Customer ID]], calls[Purchase Amount])</f>
        <v>7747</v>
      </c>
      <c r="P570">
        <f>calls[[#This Row],[call count]]/calls[[#This Row],[Purchase Amount]]</f>
        <v>1.7954545454545454</v>
      </c>
      <c r="Q570">
        <f>COUNTIF(calls[Customer ID],calls[[#This Row],[Customer ID]])</f>
        <v>79</v>
      </c>
      <c r="R570">
        <f>calls[[#This Row],[call count]]/calls[[#This Row],[Purchase Amount]]</f>
        <v>1.7954545454545454</v>
      </c>
    </row>
    <row r="571" spans="1:18" x14ac:dyDescent="0.4">
      <c r="A571" t="s">
        <v>601</v>
      </c>
      <c r="B571" t="s">
        <v>40</v>
      </c>
      <c r="C571">
        <v>100</v>
      </c>
      <c r="D571" s="4" t="s">
        <v>23</v>
      </c>
      <c r="E571" s="5">
        <v>45101</v>
      </c>
      <c r="F571">
        <v>69</v>
      </c>
      <c r="G571">
        <f>AVERAGEIF(calls[Representative], calls[[#This Row],[Representative]], calls[Satisfaction Rating])</f>
        <v>3.8973118279569863</v>
      </c>
      <c r="H571" t="str">
        <f>IF(AVERAGEIF(calls[Representative],calls[[#This Row],[Representative]],calls[Satisfaction Rating])&lt;3.5,"Needs Training","OK")</f>
        <v>OK</v>
      </c>
      <c r="I571">
        <v>3</v>
      </c>
      <c r="J571">
        <f>IF(MONTH(calls[[#This Row],[Date of Call]])&lt;=6, YEAR(calls[[#This Row],[Date of Call]]), YEAR(calls[[#This Row],[Date of Call]])+1)</f>
        <v>2023</v>
      </c>
      <c r="K571" t="str">
        <f>TEXT(calls[[#This Row],[Date of Call]],"DDDD")</f>
        <v>Saturday</v>
      </c>
      <c r="L571" t="str" cm="1">
        <f t="array" ref="L571">_xlfn.IFS(calls[[#This Row],[Duration]]&lt;=10,"under 10 mins",calls[[#This Row],[Duration]]&lt;=30,"10 to 30mins",calls[[#This Row],[Duration]]&lt;=60,"60 to 30mins",calls[[#This Row],[Duration]]&lt;=120,"1 to 2hrs",TRUE,"More than 2 hrs")</f>
        <v>1 to 2hrs</v>
      </c>
      <c r="M571">
        <f>ROUND(calls[[#This Row],[Satisfaction Rating]],0)</f>
        <v>3</v>
      </c>
      <c r="N571">
        <f>COUNTIF(calls[Customer ID], calls[[#This Row],[Customer ID]])</f>
        <v>69</v>
      </c>
      <c r="O571">
        <f>SUMIF(calls[Customer ID], calls[[#This Row],[Customer ID]], calls[Purchase Amount])</f>
        <v>6601</v>
      </c>
      <c r="P571">
        <f>calls[[#This Row],[call count]]/calls[[#This Row],[Purchase Amount]]</f>
        <v>1</v>
      </c>
      <c r="Q571">
        <f>COUNTIF(calls[Customer ID],calls[[#This Row],[Customer ID]])</f>
        <v>69</v>
      </c>
      <c r="R571">
        <f>calls[[#This Row],[call count]]/calls[[#This Row],[Purchase Amount]]</f>
        <v>1</v>
      </c>
    </row>
    <row r="572" spans="1:18" x14ac:dyDescent="0.4">
      <c r="A572" t="s">
        <v>602</v>
      </c>
      <c r="B572" t="s">
        <v>30</v>
      </c>
      <c r="C572">
        <v>35</v>
      </c>
      <c r="D572" s="4" t="s">
        <v>14</v>
      </c>
      <c r="E572" s="5">
        <v>45102</v>
      </c>
      <c r="F572">
        <v>86</v>
      </c>
      <c r="G572">
        <f>AVERAGEIF(calls[Representative], calls[[#This Row],[Representative]], calls[Satisfaction Rating])</f>
        <v>3.9227513227513247</v>
      </c>
      <c r="H572" t="str">
        <f>IF(AVERAGEIF(calls[Representative],calls[[#This Row],[Representative]],calls[Satisfaction Rating])&lt;3.5,"Needs Training","OK")</f>
        <v>OK</v>
      </c>
      <c r="I572">
        <v>4.5999999999999996</v>
      </c>
      <c r="J572">
        <f>IF(MONTH(calls[[#This Row],[Date of Call]])&lt;=6, YEAR(calls[[#This Row],[Date of Call]]), YEAR(calls[[#This Row],[Date of Call]])+1)</f>
        <v>2023</v>
      </c>
      <c r="K572" t="str">
        <f>TEXT(calls[[#This Row],[Date of Call]],"DDDD")</f>
        <v>Sunday</v>
      </c>
      <c r="L572" t="str" cm="1">
        <f t="array" ref="L572">_xlfn.IFS(calls[[#This Row],[Duration]]&lt;=10,"under 10 mins",calls[[#This Row],[Duration]]&lt;=30,"10 to 30mins",calls[[#This Row],[Duration]]&lt;=60,"60 to 30mins",calls[[#This Row],[Duration]]&lt;=120,"1 to 2hrs",TRUE,"More than 2 hrs")</f>
        <v>60 to 30mins</v>
      </c>
      <c r="M572">
        <f>ROUND(calls[[#This Row],[Satisfaction Rating]],0)</f>
        <v>5</v>
      </c>
      <c r="N572">
        <f>COUNTIF(calls[Customer ID], calls[[#This Row],[Customer ID]])</f>
        <v>69</v>
      </c>
      <c r="O572">
        <f>SUMIF(calls[Customer ID], calls[[#This Row],[Customer ID]], calls[Purchase Amount])</f>
        <v>7230</v>
      </c>
      <c r="P572">
        <f>calls[[#This Row],[call count]]/calls[[#This Row],[Purchase Amount]]</f>
        <v>0.80232558139534882</v>
      </c>
      <c r="Q572">
        <f>COUNTIF(calls[Customer ID],calls[[#This Row],[Customer ID]])</f>
        <v>69</v>
      </c>
      <c r="R572">
        <f>calls[[#This Row],[call count]]/calls[[#This Row],[Purchase Amount]]</f>
        <v>0.80232558139534882</v>
      </c>
    </row>
    <row r="573" spans="1:18" x14ac:dyDescent="0.4">
      <c r="A573" t="s">
        <v>603</v>
      </c>
      <c r="B573" t="s">
        <v>21</v>
      </c>
      <c r="C573">
        <v>123</v>
      </c>
      <c r="D573" s="4" t="s">
        <v>27</v>
      </c>
      <c r="E573" s="5">
        <v>45102</v>
      </c>
      <c r="F573">
        <v>68</v>
      </c>
      <c r="G573">
        <f>AVERAGEIF(calls[Representative], calls[[#This Row],[Representative]], calls[Satisfaction Rating])</f>
        <v>3.8589371980676304</v>
      </c>
      <c r="H573" t="str">
        <f>IF(AVERAGEIF(calls[Representative],calls[[#This Row],[Representative]],calls[Satisfaction Rating])&lt;3.5,"Needs Training","OK")</f>
        <v>OK</v>
      </c>
      <c r="I573">
        <v>4.5</v>
      </c>
      <c r="J573">
        <f>IF(MONTH(calls[[#This Row],[Date of Call]])&lt;=6, YEAR(calls[[#This Row],[Date of Call]]), YEAR(calls[[#This Row],[Date of Call]])+1)</f>
        <v>2023</v>
      </c>
      <c r="K573" t="str">
        <f>TEXT(calls[[#This Row],[Date of Call]],"DDDD")</f>
        <v>Sunday</v>
      </c>
      <c r="L573" t="str" cm="1">
        <f t="array" ref="L573">_xlfn.IFS(calls[[#This Row],[Duration]]&lt;=10,"under 10 mins",calls[[#This Row],[Duration]]&lt;=30,"10 to 30mins",calls[[#This Row],[Duration]]&lt;=60,"60 to 30mins",calls[[#This Row],[Duration]]&lt;=120,"1 to 2hrs",TRUE,"More than 2 hrs")</f>
        <v>More than 2 hrs</v>
      </c>
      <c r="M573">
        <f>ROUND(calls[[#This Row],[Satisfaction Rating]],0)</f>
        <v>5</v>
      </c>
      <c r="N573">
        <f>COUNTIF(calls[Customer ID], calls[[#This Row],[Customer ID]])</f>
        <v>67</v>
      </c>
      <c r="O573">
        <f>SUMIF(calls[Customer ID], calls[[#This Row],[Customer ID]], calls[Purchase Amount])</f>
        <v>7216</v>
      </c>
      <c r="P573">
        <f>calls[[#This Row],[call count]]/calls[[#This Row],[Purchase Amount]]</f>
        <v>0.98529411764705888</v>
      </c>
      <c r="Q573">
        <f>COUNTIF(calls[Customer ID],calls[[#This Row],[Customer ID]])</f>
        <v>67</v>
      </c>
      <c r="R573">
        <f>calls[[#This Row],[call count]]/calls[[#This Row],[Purchase Amount]]</f>
        <v>0.98529411764705888</v>
      </c>
    </row>
    <row r="574" spans="1:18" x14ac:dyDescent="0.4">
      <c r="A574" t="s">
        <v>604</v>
      </c>
      <c r="B574" t="s">
        <v>32</v>
      </c>
      <c r="C574">
        <v>133</v>
      </c>
      <c r="D574" s="4" t="s">
        <v>14</v>
      </c>
      <c r="E574" s="5">
        <v>45103</v>
      </c>
      <c r="F574">
        <v>21</v>
      </c>
      <c r="G574">
        <f>AVERAGEIF(calls[Representative], calls[[#This Row],[Representative]], calls[Satisfaction Rating])</f>
        <v>3.9227513227513247</v>
      </c>
      <c r="H574" t="str">
        <f>IF(AVERAGEIF(calls[Representative],calls[[#This Row],[Representative]],calls[Satisfaction Rating])&lt;3.5,"Needs Training","OK")</f>
        <v>OK</v>
      </c>
      <c r="I574">
        <v>3.7</v>
      </c>
      <c r="J574">
        <f>IF(MONTH(calls[[#This Row],[Date of Call]])&lt;=6, YEAR(calls[[#This Row],[Date of Call]]), YEAR(calls[[#This Row],[Date of Call]])+1)</f>
        <v>2023</v>
      </c>
      <c r="K574" t="str">
        <f>TEXT(calls[[#This Row],[Date of Call]],"DDDD")</f>
        <v>Monday</v>
      </c>
      <c r="L574" t="str" cm="1">
        <f t="array" ref="L574">_xlfn.IFS(calls[[#This Row],[Duration]]&lt;=10,"under 10 mins",calls[[#This Row],[Duration]]&lt;=30,"10 to 30mins",calls[[#This Row],[Duration]]&lt;=60,"60 to 30mins",calls[[#This Row],[Duration]]&lt;=120,"1 to 2hrs",TRUE,"More than 2 hrs")</f>
        <v>More than 2 hrs</v>
      </c>
      <c r="M574">
        <f>ROUND(calls[[#This Row],[Satisfaction Rating]],0)</f>
        <v>4</v>
      </c>
      <c r="N574">
        <f>COUNTIF(calls[Customer ID], calls[[#This Row],[Customer ID]])</f>
        <v>63</v>
      </c>
      <c r="O574">
        <f>SUMIF(calls[Customer ID], calls[[#This Row],[Customer ID]], calls[Purchase Amount])</f>
        <v>5634</v>
      </c>
      <c r="P574">
        <f>calls[[#This Row],[call count]]/calls[[#This Row],[Purchase Amount]]</f>
        <v>3</v>
      </c>
      <c r="Q574">
        <f>COUNTIF(calls[Customer ID],calls[[#This Row],[Customer ID]])</f>
        <v>63</v>
      </c>
      <c r="R574">
        <f>calls[[#This Row],[call count]]/calls[[#This Row],[Purchase Amount]]</f>
        <v>3</v>
      </c>
    </row>
    <row r="575" spans="1:18" x14ac:dyDescent="0.4">
      <c r="A575" t="s">
        <v>605</v>
      </c>
      <c r="B575" t="s">
        <v>8</v>
      </c>
      <c r="C575">
        <v>126</v>
      </c>
      <c r="D575" s="4" t="s">
        <v>9</v>
      </c>
      <c r="E575" s="5">
        <v>45103</v>
      </c>
      <c r="F575">
        <v>190</v>
      </c>
      <c r="G575">
        <f>AVERAGEIF(calls[Representative], calls[[#This Row],[Representative]], calls[Satisfaction Rating])</f>
        <v>3.8706422018348627</v>
      </c>
      <c r="H575" t="str">
        <f>IF(AVERAGEIF(calls[Representative],calls[[#This Row],[Representative]],calls[Satisfaction Rating])&lt;3.5,"Needs Training","OK")</f>
        <v>OK</v>
      </c>
      <c r="I575">
        <v>2.4</v>
      </c>
      <c r="J575">
        <f>IF(MONTH(calls[[#This Row],[Date of Call]])&lt;=6, YEAR(calls[[#This Row],[Date of Call]]), YEAR(calls[[#This Row],[Date of Call]])+1)</f>
        <v>2023</v>
      </c>
      <c r="K575" t="str">
        <f>TEXT(calls[[#This Row],[Date of Call]],"DDDD")</f>
        <v>Monday</v>
      </c>
      <c r="L575" t="str" cm="1">
        <f t="array" ref="L575">_xlfn.IFS(calls[[#This Row],[Duration]]&lt;=10,"under 10 mins",calls[[#This Row],[Duration]]&lt;=30,"10 to 30mins",calls[[#This Row],[Duration]]&lt;=60,"60 to 30mins",calls[[#This Row],[Duration]]&lt;=120,"1 to 2hrs",TRUE,"More than 2 hrs")</f>
        <v>More than 2 hrs</v>
      </c>
      <c r="M575">
        <f>ROUND(calls[[#This Row],[Satisfaction Rating]],0)</f>
        <v>2</v>
      </c>
      <c r="N575">
        <f>COUNTIF(calls[Customer ID], calls[[#This Row],[Customer ID]])</f>
        <v>79</v>
      </c>
      <c r="O575">
        <f>SUMIF(calls[Customer ID], calls[[#This Row],[Customer ID]], calls[Purchase Amount])</f>
        <v>7747</v>
      </c>
      <c r="P575">
        <f>calls[[#This Row],[call count]]/calls[[#This Row],[Purchase Amount]]</f>
        <v>0.41578947368421054</v>
      </c>
      <c r="Q575">
        <f>COUNTIF(calls[Customer ID],calls[[#This Row],[Customer ID]])</f>
        <v>79</v>
      </c>
      <c r="R575">
        <f>calls[[#This Row],[call count]]/calls[[#This Row],[Purchase Amount]]</f>
        <v>0.41578947368421054</v>
      </c>
    </row>
    <row r="576" spans="1:18" x14ac:dyDescent="0.4">
      <c r="A576" t="s">
        <v>606</v>
      </c>
      <c r="B576" t="s">
        <v>21</v>
      </c>
      <c r="C576">
        <v>39</v>
      </c>
      <c r="D576" s="4" t="s">
        <v>2</v>
      </c>
      <c r="E576" s="5">
        <v>45103</v>
      </c>
      <c r="F576">
        <v>176</v>
      </c>
      <c r="G576">
        <f>AVERAGEIF(calls[Representative], calls[[#This Row],[Representative]], calls[Satisfaction Rating])</f>
        <v>3.8824999999999998</v>
      </c>
      <c r="H576" t="str">
        <f>IF(AVERAGEIF(calls[Representative],calls[[#This Row],[Representative]],calls[Satisfaction Rating])&lt;3.5,"Needs Training","OK")</f>
        <v>OK</v>
      </c>
      <c r="I576">
        <v>4.3</v>
      </c>
      <c r="J576">
        <f>IF(MONTH(calls[[#This Row],[Date of Call]])&lt;=6, YEAR(calls[[#This Row],[Date of Call]]), YEAR(calls[[#This Row],[Date of Call]])+1)</f>
        <v>2023</v>
      </c>
      <c r="K576" t="str">
        <f>TEXT(calls[[#This Row],[Date of Call]],"DDDD")</f>
        <v>Monday</v>
      </c>
      <c r="L576" t="str" cm="1">
        <f t="array" ref="L576">_xlfn.IFS(calls[[#This Row],[Duration]]&lt;=10,"under 10 mins",calls[[#This Row],[Duration]]&lt;=30,"10 to 30mins",calls[[#This Row],[Duration]]&lt;=60,"60 to 30mins",calls[[#This Row],[Duration]]&lt;=120,"1 to 2hrs",TRUE,"More than 2 hrs")</f>
        <v>60 to 30mins</v>
      </c>
      <c r="M576">
        <f>ROUND(calls[[#This Row],[Satisfaction Rating]],0)</f>
        <v>4</v>
      </c>
      <c r="N576">
        <f>COUNTIF(calls[Customer ID], calls[[#This Row],[Customer ID]])</f>
        <v>67</v>
      </c>
      <c r="O576">
        <f>SUMIF(calls[Customer ID], calls[[#This Row],[Customer ID]], calls[Purchase Amount])</f>
        <v>7216</v>
      </c>
      <c r="P576">
        <f>calls[[#This Row],[call count]]/calls[[#This Row],[Purchase Amount]]</f>
        <v>0.38068181818181818</v>
      </c>
      <c r="Q576">
        <f>COUNTIF(calls[Customer ID],calls[[#This Row],[Customer ID]])</f>
        <v>67</v>
      </c>
      <c r="R576">
        <f>calls[[#This Row],[call count]]/calls[[#This Row],[Purchase Amount]]</f>
        <v>0.38068181818181818</v>
      </c>
    </row>
    <row r="577" spans="1:18" x14ac:dyDescent="0.4">
      <c r="A577" t="s">
        <v>607</v>
      </c>
      <c r="B577" t="s">
        <v>51</v>
      </c>
      <c r="C577">
        <v>31</v>
      </c>
      <c r="D577" s="4" t="s">
        <v>27</v>
      </c>
      <c r="E577" s="5">
        <v>45103</v>
      </c>
      <c r="F577">
        <v>172</v>
      </c>
      <c r="G577">
        <f>AVERAGEIF(calls[Representative], calls[[#This Row],[Representative]], calls[Satisfaction Rating])</f>
        <v>3.8589371980676304</v>
      </c>
      <c r="H577" t="str">
        <f>IF(AVERAGEIF(calls[Representative],calls[[#This Row],[Representative]],calls[Satisfaction Rating])&lt;3.5,"Needs Training","OK")</f>
        <v>OK</v>
      </c>
      <c r="I577">
        <v>3.9</v>
      </c>
      <c r="J577">
        <f>IF(MONTH(calls[[#This Row],[Date of Call]])&lt;=6, YEAR(calls[[#This Row],[Date of Call]]), YEAR(calls[[#This Row],[Date of Call]])+1)</f>
        <v>2023</v>
      </c>
      <c r="K577" t="str">
        <f>TEXT(calls[[#This Row],[Date of Call]],"DDDD")</f>
        <v>Monday</v>
      </c>
      <c r="L577" t="str" cm="1">
        <f t="array" ref="L577">_xlfn.IFS(calls[[#This Row],[Duration]]&lt;=10,"under 10 mins",calls[[#This Row],[Duration]]&lt;=30,"10 to 30mins",calls[[#This Row],[Duration]]&lt;=60,"60 to 30mins",calls[[#This Row],[Duration]]&lt;=120,"1 to 2hrs",TRUE,"More than 2 hrs")</f>
        <v>60 to 30mins</v>
      </c>
      <c r="M577">
        <f>ROUND(calls[[#This Row],[Satisfaction Rating]],0)</f>
        <v>4</v>
      </c>
      <c r="N577">
        <f>COUNTIF(calls[Customer ID], calls[[#This Row],[Customer ID]])</f>
        <v>59</v>
      </c>
      <c r="O577">
        <f>SUMIF(calls[Customer ID], calls[[#This Row],[Customer ID]], calls[Purchase Amount])</f>
        <v>6518</v>
      </c>
      <c r="P577">
        <f>calls[[#This Row],[call count]]/calls[[#This Row],[Purchase Amount]]</f>
        <v>0.34302325581395349</v>
      </c>
      <c r="Q577">
        <f>COUNTIF(calls[Customer ID],calls[[#This Row],[Customer ID]])</f>
        <v>59</v>
      </c>
      <c r="R577">
        <f>calls[[#This Row],[call count]]/calls[[#This Row],[Purchase Amount]]</f>
        <v>0.34302325581395349</v>
      </c>
    </row>
    <row r="578" spans="1:18" x14ac:dyDescent="0.4">
      <c r="A578" t="s">
        <v>608</v>
      </c>
      <c r="B578" t="s">
        <v>13</v>
      </c>
      <c r="C578">
        <v>25</v>
      </c>
      <c r="D578" s="4" t="s">
        <v>14</v>
      </c>
      <c r="E578" s="5">
        <v>45103</v>
      </c>
      <c r="F578">
        <v>84</v>
      </c>
      <c r="G578">
        <f>AVERAGEIF(calls[Representative], calls[[#This Row],[Representative]], calls[Satisfaction Rating])</f>
        <v>3.9227513227513247</v>
      </c>
      <c r="H578" t="str">
        <f>IF(AVERAGEIF(calls[Representative],calls[[#This Row],[Representative]],calls[Satisfaction Rating])&lt;3.5,"Needs Training","OK")</f>
        <v>OK</v>
      </c>
      <c r="I578">
        <v>4.5</v>
      </c>
      <c r="J578">
        <f>IF(MONTH(calls[[#This Row],[Date of Call]])&lt;=6, YEAR(calls[[#This Row],[Date of Call]]), YEAR(calls[[#This Row],[Date of Call]])+1)</f>
        <v>2023</v>
      </c>
      <c r="K578" t="str">
        <f>TEXT(calls[[#This Row],[Date of Call]],"DDDD")</f>
        <v>Monday</v>
      </c>
      <c r="L578" t="str" cm="1">
        <f t="array" ref="L578">_xlfn.IFS(calls[[#This Row],[Duration]]&lt;=10,"under 10 mins",calls[[#This Row],[Duration]]&lt;=30,"10 to 30mins",calls[[#This Row],[Duration]]&lt;=60,"60 to 30mins",calls[[#This Row],[Duration]]&lt;=120,"1 to 2hrs",TRUE,"More than 2 hrs")</f>
        <v>10 to 30mins</v>
      </c>
      <c r="M578">
        <f>ROUND(calls[[#This Row],[Satisfaction Rating]],0)</f>
        <v>5</v>
      </c>
      <c r="N578">
        <f>COUNTIF(calls[Customer ID], calls[[#This Row],[Customer ID]])</f>
        <v>74</v>
      </c>
      <c r="O578">
        <f>SUMIF(calls[Customer ID], calls[[#This Row],[Customer ID]], calls[Purchase Amount])</f>
        <v>6749</v>
      </c>
      <c r="P578">
        <f>calls[[#This Row],[call count]]/calls[[#This Row],[Purchase Amount]]</f>
        <v>0.88095238095238093</v>
      </c>
      <c r="Q578">
        <f>COUNTIF(calls[Customer ID],calls[[#This Row],[Customer ID]])</f>
        <v>74</v>
      </c>
      <c r="R578">
        <f>calls[[#This Row],[call count]]/calls[[#This Row],[Purchase Amount]]</f>
        <v>0.88095238095238093</v>
      </c>
    </row>
    <row r="579" spans="1:18" x14ac:dyDescent="0.4">
      <c r="A579" t="s">
        <v>609</v>
      </c>
      <c r="B579" t="s">
        <v>6</v>
      </c>
      <c r="C579">
        <v>132</v>
      </c>
      <c r="D579" s="4" t="s">
        <v>23</v>
      </c>
      <c r="E579" s="5">
        <v>45104</v>
      </c>
      <c r="F579">
        <v>42</v>
      </c>
      <c r="G579">
        <f>AVERAGEIF(calls[Representative], calls[[#This Row],[Representative]], calls[Satisfaction Rating])</f>
        <v>3.8973118279569863</v>
      </c>
      <c r="H579" t="str">
        <f>IF(AVERAGEIF(calls[Representative],calls[[#This Row],[Representative]],calls[Satisfaction Rating])&lt;3.5,"Needs Training","OK")</f>
        <v>OK</v>
      </c>
      <c r="I579">
        <v>5</v>
      </c>
      <c r="J579">
        <f>IF(MONTH(calls[[#This Row],[Date of Call]])&lt;=6, YEAR(calls[[#This Row],[Date of Call]]), YEAR(calls[[#This Row],[Date of Call]])+1)</f>
        <v>2023</v>
      </c>
      <c r="K579" t="str">
        <f>TEXT(calls[[#This Row],[Date of Call]],"DDDD")</f>
        <v>Tuesday</v>
      </c>
      <c r="L579" t="str" cm="1">
        <f t="array" ref="L579">_xlfn.IFS(calls[[#This Row],[Duration]]&lt;=10,"under 10 mins",calls[[#This Row],[Duration]]&lt;=30,"10 to 30mins",calls[[#This Row],[Duration]]&lt;=60,"60 to 30mins",calls[[#This Row],[Duration]]&lt;=120,"1 to 2hrs",TRUE,"More than 2 hrs")</f>
        <v>More than 2 hrs</v>
      </c>
      <c r="M579">
        <f>ROUND(calls[[#This Row],[Satisfaction Rating]],0)</f>
        <v>5</v>
      </c>
      <c r="N579">
        <f>COUNTIF(calls[Customer ID], calls[[#This Row],[Customer ID]])</f>
        <v>82</v>
      </c>
      <c r="O579">
        <f>SUMIF(calls[Customer ID], calls[[#This Row],[Customer ID]], calls[Purchase Amount])</f>
        <v>7689</v>
      </c>
      <c r="P579">
        <f>calls[[#This Row],[call count]]/calls[[#This Row],[Purchase Amount]]</f>
        <v>1.9523809523809523</v>
      </c>
      <c r="Q579">
        <f>COUNTIF(calls[Customer ID],calls[[#This Row],[Customer ID]])</f>
        <v>82</v>
      </c>
      <c r="R579">
        <f>calls[[#This Row],[call count]]/calls[[#This Row],[Purchase Amount]]</f>
        <v>1.9523809523809523</v>
      </c>
    </row>
    <row r="580" spans="1:18" x14ac:dyDescent="0.4">
      <c r="A580" t="s">
        <v>610</v>
      </c>
      <c r="B580" t="s">
        <v>30</v>
      </c>
      <c r="C580">
        <v>63</v>
      </c>
      <c r="D580" s="4" t="s">
        <v>9</v>
      </c>
      <c r="E580" s="5">
        <v>45104</v>
      </c>
      <c r="F580">
        <v>70</v>
      </c>
      <c r="G580">
        <f>AVERAGEIF(calls[Representative], calls[[#This Row],[Representative]], calls[Satisfaction Rating])</f>
        <v>3.8706422018348627</v>
      </c>
      <c r="H580" t="str">
        <f>IF(AVERAGEIF(calls[Representative],calls[[#This Row],[Representative]],calls[Satisfaction Rating])&lt;3.5,"Needs Training","OK")</f>
        <v>OK</v>
      </c>
      <c r="I580">
        <v>1.6</v>
      </c>
      <c r="J580">
        <f>IF(MONTH(calls[[#This Row],[Date of Call]])&lt;=6, YEAR(calls[[#This Row],[Date of Call]]), YEAR(calls[[#This Row],[Date of Call]])+1)</f>
        <v>2023</v>
      </c>
      <c r="K580" t="str">
        <f>TEXT(calls[[#This Row],[Date of Call]],"DDDD")</f>
        <v>Tuesday</v>
      </c>
      <c r="L580" t="str" cm="1">
        <f t="array" ref="L580">_xlfn.IFS(calls[[#This Row],[Duration]]&lt;=10,"under 10 mins",calls[[#This Row],[Duration]]&lt;=30,"10 to 30mins",calls[[#This Row],[Duration]]&lt;=60,"60 to 30mins",calls[[#This Row],[Duration]]&lt;=120,"1 to 2hrs",TRUE,"More than 2 hrs")</f>
        <v>1 to 2hrs</v>
      </c>
      <c r="M580">
        <f>ROUND(calls[[#This Row],[Satisfaction Rating]],0)</f>
        <v>2</v>
      </c>
      <c r="N580">
        <f>COUNTIF(calls[Customer ID], calls[[#This Row],[Customer ID]])</f>
        <v>69</v>
      </c>
      <c r="O580">
        <f>SUMIF(calls[Customer ID], calls[[#This Row],[Customer ID]], calls[Purchase Amount])</f>
        <v>7230</v>
      </c>
      <c r="P580">
        <f>calls[[#This Row],[call count]]/calls[[#This Row],[Purchase Amount]]</f>
        <v>0.98571428571428577</v>
      </c>
      <c r="Q580">
        <f>COUNTIF(calls[Customer ID],calls[[#This Row],[Customer ID]])</f>
        <v>69</v>
      </c>
      <c r="R580">
        <f>calls[[#This Row],[call count]]/calls[[#This Row],[Purchase Amount]]</f>
        <v>0.98571428571428577</v>
      </c>
    </row>
    <row r="581" spans="1:18" x14ac:dyDescent="0.4">
      <c r="A581" t="s">
        <v>611</v>
      </c>
      <c r="B581" t="s">
        <v>40</v>
      </c>
      <c r="C581">
        <v>135</v>
      </c>
      <c r="D581" s="4" t="s">
        <v>23</v>
      </c>
      <c r="E581" s="5">
        <v>45104</v>
      </c>
      <c r="F581">
        <v>60</v>
      </c>
      <c r="G581">
        <f>AVERAGEIF(calls[Representative], calls[[#This Row],[Representative]], calls[Satisfaction Rating])</f>
        <v>3.8973118279569863</v>
      </c>
      <c r="H581" t="str">
        <f>IF(AVERAGEIF(calls[Representative],calls[[#This Row],[Representative]],calls[Satisfaction Rating])&lt;3.5,"Needs Training","OK")</f>
        <v>OK</v>
      </c>
      <c r="I581">
        <v>4.3</v>
      </c>
      <c r="J581">
        <f>IF(MONTH(calls[[#This Row],[Date of Call]])&lt;=6, YEAR(calls[[#This Row],[Date of Call]]), YEAR(calls[[#This Row],[Date of Call]])+1)</f>
        <v>2023</v>
      </c>
      <c r="K581" t="str">
        <f>TEXT(calls[[#This Row],[Date of Call]],"DDDD")</f>
        <v>Tuesday</v>
      </c>
      <c r="L581" t="str" cm="1">
        <f t="array" ref="L581">_xlfn.IFS(calls[[#This Row],[Duration]]&lt;=10,"under 10 mins",calls[[#This Row],[Duration]]&lt;=30,"10 to 30mins",calls[[#This Row],[Duration]]&lt;=60,"60 to 30mins",calls[[#This Row],[Duration]]&lt;=120,"1 to 2hrs",TRUE,"More than 2 hrs")</f>
        <v>More than 2 hrs</v>
      </c>
      <c r="M581">
        <f>ROUND(calls[[#This Row],[Satisfaction Rating]],0)</f>
        <v>4</v>
      </c>
      <c r="N581">
        <f>COUNTIF(calls[Customer ID], calls[[#This Row],[Customer ID]])</f>
        <v>69</v>
      </c>
      <c r="O581">
        <f>SUMIF(calls[Customer ID], calls[[#This Row],[Customer ID]], calls[Purchase Amount])</f>
        <v>6601</v>
      </c>
      <c r="P581">
        <f>calls[[#This Row],[call count]]/calls[[#This Row],[Purchase Amount]]</f>
        <v>1.1499999999999999</v>
      </c>
      <c r="Q581">
        <f>COUNTIF(calls[Customer ID],calls[[#This Row],[Customer ID]])</f>
        <v>69</v>
      </c>
      <c r="R581">
        <f>calls[[#This Row],[call count]]/calls[[#This Row],[Purchase Amount]]</f>
        <v>1.1499999999999999</v>
      </c>
    </row>
    <row r="582" spans="1:18" x14ac:dyDescent="0.4">
      <c r="A582" t="s">
        <v>612</v>
      </c>
      <c r="B582" t="s">
        <v>26</v>
      </c>
      <c r="C582">
        <v>101</v>
      </c>
      <c r="D582" s="4" t="s">
        <v>9</v>
      </c>
      <c r="E582" s="5">
        <v>45104</v>
      </c>
      <c r="F582">
        <v>84</v>
      </c>
      <c r="G582">
        <f>AVERAGEIF(calls[Representative], calls[[#This Row],[Representative]], calls[Satisfaction Rating])</f>
        <v>3.8706422018348627</v>
      </c>
      <c r="H582" t="str">
        <f>IF(AVERAGEIF(calls[Representative],calls[[#This Row],[Representative]],calls[Satisfaction Rating])&lt;3.5,"Needs Training","OK")</f>
        <v>OK</v>
      </c>
      <c r="I582">
        <v>3.5</v>
      </c>
      <c r="J582">
        <f>IF(MONTH(calls[[#This Row],[Date of Call]])&lt;=6, YEAR(calls[[#This Row],[Date of Call]]), YEAR(calls[[#This Row],[Date of Call]])+1)</f>
        <v>2023</v>
      </c>
      <c r="K582" t="str">
        <f>TEXT(calls[[#This Row],[Date of Call]],"DDDD")</f>
        <v>Tuesday</v>
      </c>
      <c r="L582" t="str" cm="1">
        <f t="array" ref="L582">_xlfn.IFS(calls[[#This Row],[Duration]]&lt;=10,"under 10 mins",calls[[#This Row],[Duration]]&lt;=30,"10 to 30mins",calls[[#This Row],[Duration]]&lt;=60,"60 to 30mins",calls[[#This Row],[Duration]]&lt;=120,"1 to 2hrs",TRUE,"More than 2 hrs")</f>
        <v>1 to 2hrs</v>
      </c>
      <c r="M582">
        <f>ROUND(calls[[#This Row],[Satisfaction Rating]],0)</f>
        <v>4</v>
      </c>
      <c r="N582">
        <f>COUNTIF(calls[Customer ID], calls[[#This Row],[Customer ID]])</f>
        <v>72</v>
      </c>
      <c r="O582">
        <f>SUMIF(calls[Customer ID], calls[[#This Row],[Customer ID]], calls[Purchase Amount])</f>
        <v>6242</v>
      </c>
      <c r="P582">
        <f>calls[[#This Row],[call count]]/calls[[#This Row],[Purchase Amount]]</f>
        <v>0.8571428571428571</v>
      </c>
      <c r="Q582">
        <f>COUNTIF(calls[Customer ID],calls[[#This Row],[Customer ID]])</f>
        <v>72</v>
      </c>
      <c r="R582">
        <f>calls[[#This Row],[call count]]/calls[[#This Row],[Purchase Amount]]</f>
        <v>0.8571428571428571</v>
      </c>
    </row>
    <row r="583" spans="1:18" x14ac:dyDescent="0.4">
      <c r="A583" t="s">
        <v>613</v>
      </c>
      <c r="B583" t="s">
        <v>32</v>
      </c>
      <c r="C583">
        <v>80</v>
      </c>
      <c r="D583" s="4" t="s">
        <v>2</v>
      </c>
      <c r="E583" s="5">
        <v>45105</v>
      </c>
      <c r="F583">
        <v>68</v>
      </c>
      <c r="G583">
        <f>AVERAGEIF(calls[Representative], calls[[#This Row],[Representative]], calls[Satisfaction Rating])</f>
        <v>3.8824999999999998</v>
      </c>
      <c r="H583" t="str">
        <f>IF(AVERAGEIF(calls[Representative],calls[[#This Row],[Representative]],calls[Satisfaction Rating])&lt;3.5,"Needs Training","OK")</f>
        <v>OK</v>
      </c>
      <c r="I583">
        <v>3.1</v>
      </c>
      <c r="J583">
        <f>IF(MONTH(calls[[#This Row],[Date of Call]])&lt;=6, YEAR(calls[[#This Row],[Date of Call]]), YEAR(calls[[#This Row],[Date of Call]])+1)</f>
        <v>2023</v>
      </c>
      <c r="K583" t="str">
        <f>TEXT(calls[[#This Row],[Date of Call]],"DDDD")</f>
        <v>Wednesday</v>
      </c>
      <c r="L583" t="str" cm="1">
        <f t="array" ref="L583">_xlfn.IFS(calls[[#This Row],[Duration]]&lt;=10,"under 10 mins",calls[[#This Row],[Duration]]&lt;=30,"10 to 30mins",calls[[#This Row],[Duration]]&lt;=60,"60 to 30mins",calls[[#This Row],[Duration]]&lt;=120,"1 to 2hrs",TRUE,"More than 2 hrs")</f>
        <v>1 to 2hrs</v>
      </c>
      <c r="M583">
        <f>ROUND(calls[[#This Row],[Satisfaction Rating]],0)</f>
        <v>3</v>
      </c>
      <c r="N583">
        <f>COUNTIF(calls[Customer ID], calls[[#This Row],[Customer ID]])</f>
        <v>63</v>
      </c>
      <c r="O583">
        <f>SUMIF(calls[Customer ID], calls[[#This Row],[Customer ID]], calls[Purchase Amount])</f>
        <v>5634</v>
      </c>
      <c r="P583">
        <f>calls[[#This Row],[call count]]/calls[[#This Row],[Purchase Amount]]</f>
        <v>0.92647058823529416</v>
      </c>
      <c r="Q583">
        <f>COUNTIF(calls[Customer ID],calls[[#This Row],[Customer ID]])</f>
        <v>63</v>
      </c>
      <c r="R583">
        <f>calls[[#This Row],[call count]]/calls[[#This Row],[Purchase Amount]]</f>
        <v>0.92647058823529416</v>
      </c>
    </row>
    <row r="584" spans="1:18" x14ac:dyDescent="0.4">
      <c r="A584" t="s">
        <v>614</v>
      </c>
      <c r="B584" t="s">
        <v>64</v>
      </c>
      <c r="C584">
        <v>28</v>
      </c>
      <c r="D584" s="4" t="s">
        <v>2</v>
      </c>
      <c r="E584" s="5">
        <v>45105</v>
      </c>
      <c r="F584">
        <v>44</v>
      </c>
      <c r="G584">
        <f>AVERAGEIF(calls[Representative], calls[[#This Row],[Representative]], calls[Satisfaction Rating])</f>
        <v>3.8824999999999998</v>
      </c>
      <c r="H584" t="str">
        <f>IF(AVERAGEIF(calls[Representative],calls[[#This Row],[Representative]],calls[Satisfaction Rating])&lt;3.5,"Needs Training","OK")</f>
        <v>OK</v>
      </c>
      <c r="I584">
        <v>2.9</v>
      </c>
      <c r="J584">
        <f>IF(MONTH(calls[[#This Row],[Date of Call]])&lt;=6, YEAR(calls[[#This Row],[Date of Call]]), YEAR(calls[[#This Row],[Date of Call]])+1)</f>
        <v>2023</v>
      </c>
      <c r="K584" t="str">
        <f>TEXT(calls[[#This Row],[Date of Call]],"DDDD")</f>
        <v>Wednesday</v>
      </c>
      <c r="L584" t="str" cm="1">
        <f t="array" ref="L584">_xlfn.IFS(calls[[#This Row],[Duration]]&lt;=10,"under 10 mins",calls[[#This Row],[Duration]]&lt;=30,"10 to 30mins",calls[[#This Row],[Duration]]&lt;=60,"60 to 30mins",calls[[#This Row],[Duration]]&lt;=120,"1 to 2hrs",TRUE,"More than 2 hrs")</f>
        <v>10 to 30mins</v>
      </c>
      <c r="M584">
        <f>ROUND(calls[[#This Row],[Satisfaction Rating]],0)</f>
        <v>3</v>
      </c>
      <c r="N584">
        <f>COUNTIF(calls[Customer ID], calls[[#This Row],[Customer ID]])</f>
        <v>65</v>
      </c>
      <c r="O584">
        <f>SUMIF(calls[Customer ID], calls[[#This Row],[Customer ID]], calls[Purchase Amount])</f>
        <v>6785</v>
      </c>
      <c r="P584">
        <f>calls[[#This Row],[call count]]/calls[[#This Row],[Purchase Amount]]</f>
        <v>1.4772727272727273</v>
      </c>
      <c r="Q584">
        <f>COUNTIF(calls[Customer ID],calls[[#This Row],[Customer ID]])</f>
        <v>65</v>
      </c>
      <c r="R584">
        <f>calls[[#This Row],[call count]]/calls[[#This Row],[Purchase Amount]]</f>
        <v>1.4772727272727273</v>
      </c>
    </row>
    <row r="585" spans="1:18" x14ac:dyDescent="0.4">
      <c r="A585" t="s">
        <v>615</v>
      </c>
      <c r="B585" t="s">
        <v>26</v>
      </c>
      <c r="C585">
        <v>102</v>
      </c>
      <c r="D585" s="4" t="s">
        <v>23</v>
      </c>
      <c r="E585" s="5">
        <v>45106</v>
      </c>
      <c r="F585">
        <v>99</v>
      </c>
      <c r="G585">
        <f>AVERAGEIF(calls[Representative], calls[[#This Row],[Representative]], calls[Satisfaction Rating])</f>
        <v>3.8973118279569863</v>
      </c>
      <c r="H585" t="str">
        <f>IF(AVERAGEIF(calls[Representative],calls[[#This Row],[Representative]],calls[Satisfaction Rating])&lt;3.5,"Needs Training","OK")</f>
        <v>OK</v>
      </c>
      <c r="I585">
        <v>3.2</v>
      </c>
      <c r="J585">
        <f>IF(MONTH(calls[[#This Row],[Date of Call]])&lt;=6, YEAR(calls[[#This Row],[Date of Call]]), YEAR(calls[[#This Row],[Date of Call]])+1)</f>
        <v>2023</v>
      </c>
      <c r="K585" t="str">
        <f>TEXT(calls[[#This Row],[Date of Call]],"DDDD")</f>
        <v>Thursday</v>
      </c>
      <c r="L585" t="str" cm="1">
        <f t="array" ref="L585">_xlfn.IFS(calls[[#This Row],[Duration]]&lt;=10,"under 10 mins",calls[[#This Row],[Duration]]&lt;=30,"10 to 30mins",calls[[#This Row],[Duration]]&lt;=60,"60 to 30mins",calls[[#This Row],[Duration]]&lt;=120,"1 to 2hrs",TRUE,"More than 2 hrs")</f>
        <v>1 to 2hrs</v>
      </c>
      <c r="M585">
        <f>ROUND(calls[[#This Row],[Satisfaction Rating]],0)</f>
        <v>3</v>
      </c>
      <c r="N585">
        <f>COUNTIF(calls[Customer ID], calls[[#This Row],[Customer ID]])</f>
        <v>72</v>
      </c>
      <c r="O585">
        <f>SUMIF(calls[Customer ID], calls[[#This Row],[Customer ID]], calls[Purchase Amount])</f>
        <v>6242</v>
      </c>
      <c r="P585">
        <f>calls[[#This Row],[call count]]/calls[[#This Row],[Purchase Amount]]</f>
        <v>0.72727272727272729</v>
      </c>
      <c r="Q585">
        <f>COUNTIF(calls[Customer ID],calls[[#This Row],[Customer ID]])</f>
        <v>72</v>
      </c>
      <c r="R585">
        <f>calls[[#This Row],[call count]]/calls[[#This Row],[Purchase Amount]]</f>
        <v>0.72727272727272729</v>
      </c>
    </row>
    <row r="586" spans="1:18" x14ac:dyDescent="0.4">
      <c r="A586" t="s">
        <v>616</v>
      </c>
      <c r="B586" t="s">
        <v>30</v>
      </c>
      <c r="C586">
        <v>60</v>
      </c>
      <c r="D586" s="4" t="s">
        <v>23</v>
      </c>
      <c r="E586" s="5">
        <v>45107</v>
      </c>
      <c r="F586">
        <v>66</v>
      </c>
      <c r="G586">
        <f>AVERAGEIF(calls[Representative], calls[[#This Row],[Representative]], calls[Satisfaction Rating])</f>
        <v>3.8973118279569863</v>
      </c>
      <c r="H586" t="str">
        <f>IF(AVERAGEIF(calls[Representative],calls[[#This Row],[Representative]],calls[Satisfaction Rating])&lt;3.5,"Needs Training","OK")</f>
        <v>OK</v>
      </c>
      <c r="I586">
        <v>3.2</v>
      </c>
      <c r="J586">
        <f>IF(MONTH(calls[[#This Row],[Date of Call]])&lt;=6, YEAR(calls[[#This Row],[Date of Call]]), YEAR(calls[[#This Row],[Date of Call]])+1)</f>
        <v>2023</v>
      </c>
      <c r="K586" t="str">
        <f>TEXT(calls[[#This Row],[Date of Call]],"DDDD")</f>
        <v>Friday</v>
      </c>
      <c r="L586" t="str" cm="1">
        <f t="array" ref="L586">_xlfn.IFS(calls[[#This Row],[Duration]]&lt;=10,"under 10 mins",calls[[#This Row],[Duration]]&lt;=30,"10 to 30mins",calls[[#This Row],[Duration]]&lt;=60,"60 to 30mins",calls[[#This Row],[Duration]]&lt;=120,"1 to 2hrs",TRUE,"More than 2 hrs")</f>
        <v>60 to 30mins</v>
      </c>
      <c r="M586">
        <f>ROUND(calls[[#This Row],[Satisfaction Rating]],0)</f>
        <v>3</v>
      </c>
      <c r="N586">
        <f>COUNTIF(calls[Customer ID], calls[[#This Row],[Customer ID]])</f>
        <v>69</v>
      </c>
      <c r="O586">
        <f>SUMIF(calls[Customer ID], calls[[#This Row],[Customer ID]], calls[Purchase Amount])</f>
        <v>7230</v>
      </c>
      <c r="P586">
        <f>calls[[#This Row],[call count]]/calls[[#This Row],[Purchase Amount]]</f>
        <v>1.0454545454545454</v>
      </c>
      <c r="Q586">
        <f>COUNTIF(calls[Customer ID],calls[[#This Row],[Customer ID]])</f>
        <v>69</v>
      </c>
      <c r="R586">
        <f>calls[[#This Row],[call count]]/calls[[#This Row],[Purchase Amount]]</f>
        <v>1.0454545454545454</v>
      </c>
    </row>
    <row r="587" spans="1:18" x14ac:dyDescent="0.4">
      <c r="A587" t="s">
        <v>617</v>
      </c>
      <c r="B587" t="s">
        <v>11</v>
      </c>
      <c r="C587">
        <v>103</v>
      </c>
      <c r="D587" s="4" t="s">
        <v>23</v>
      </c>
      <c r="E587" s="5">
        <v>45107</v>
      </c>
      <c r="F587">
        <v>102</v>
      </c>
      <c r="G587">
        <f>AVERAGEIF(calls[Representative], calls[[#This Row],[Representative]], calls[Satisfaction Rating])</f>
        <v>3.8973118279569863</v>
      </c>
      <c r="H587" t="str">
        <f>IF(AVERAGEIF(calls[Representative],calls[[#This Row],[Representative]],calls[Satisfaction Rating])&lt;3.5,"Needs Training","OK")</f>
        <v>OK</v>
      </c>
      <c r="I587">
        <v>4.5</v>
      </c>
      <c r="J587">
        <f>IF(MONTH(calls[[#This Row],[Date of Call]])&lt;=6, YEAR(calls[[#This Row],[Date of Call]]), YEAR(calls[[#This Row],[Date of Call]])+1)</f>
        <v>2023</v>
      </c>
      <c r="K587" t="str">
        <f>TEXT(calls[[#This Row],[Date of Call]],"DDDD")</f>
        <v>Friday</v>
      </c>
      <c r="L587" t="str" cm="1">
        <f t="array" ref="L587">_xlfn.IFS(calls[[#This Row],[Duration]]&lt;=10,"under 10 mins",calls[[#This Row],[Duration]]&lt;=30,"10 to 30mins",calls[[#This Row],[Duration]]&lt;=60,"60 to 30mins",calls[[#This Row],[Duration]]&lt;=120,"1 to 2hrs",TRUE,"More than 2 hrs")</f>
        <v>1 to 2hrs</v>
      </c>
      <c r="M587">
        <f>ROUND(calls[[#This Row],[Satisfaction Rating]],0)</f>
        <v>5</v>
      </c>
      <c r="N587">
        <f>COUNTIF(calls[Customer ID], calls[[#This Row],[Customer ID]])</f>
        <v>60</v>
      </c>
      <c r="O587">
        <f>SUMIF(calls[Customer ID], calls[[#This Row],[Customer ID]], calls[Purchase Amount])</f>
        <v>5404</v>
      </c>
      <c r="P587">
        <f>calls[[#This Row],[call count]]/calls[[#This Row],[Purchase Amount]]</f>
        <v>0.58823529411764708</v>
      </c>
      <c r="Q587">
        <f>COUNTIF(calls[Customer ID],calls[[#This Row],[Customer ID]])</f>
        <v>60</v>
      </c>
      <c r="R587">
        <f>calls[[#This Row],[call count]]/calls[[#This Row],[Purchase Amount]]</f>
        <v>0.58823529411764708</v>
      </c>
    </row>
    <row r="588" spans="1:18" x14ac:dyDescent="0.4">
      <c r="A588" t="s">
        <v>618</v>
      </c>
      <c r="B588" t="s">
        <v>32</v>
      </c>
      <c r="C588">
        <v>90</v>
      </c>
      <c r="D588" s="4" t="s">
        <v>2</v>
      </c>
      <c r="E588" s="5">
        <v>45108</v>
      </c>
      <c r="F588">
        <v>129</v>
      </c>
      <c r="G588">
        <f>AVERAGEIF(calls[Representative], calls[[#This Row],[Representative]], calls[Satisfaction Rating])</f>
        <v>3.8824999999999998</v>
      </c>
      <c r="H588" t="str">
        <f>IF(AVERAGEIF(calls[Representative],calls[[#This Row],[Representative]],calls[Satisfaction Rating])&lt;3.5,"Needs Training","OK")</f>
        <v>OK</v>
      </c>
      <c r="I588">
        <v>3.9</v>
      </c>
      <c r="J588">
        <f>IF(MONTH(calls[[#This Row],[Date of Call]])&lt;=6, YEAR(calls[[#This Row],[Date of Call]]), YEAR(calls[[#This Row],[Date of Call]])+1)</f>
        <v>2024</v>
      </c>
      <c r="K588" t="str">
        <f>TEXT(calls[[#This Row],[Date of Call]],"DDDD")</f>
        <v>Saturday</v>
      </c>
      <c r="L588" t="str" cm="1">
        <f t="array" ref="L588">_xlfn.IFS(calls[[#This Row],[Duration]]&lt;=10,"under 10 mins",calls[[#This Row],[Duration]]&lt;=30,"10 to 30mins",calls[[#This Row],[Duration]]&lt;=60,"60 to 30mins",calls[[#This Row],[Duration]]&lt;=120,"1 to 2hrs",TRUE,"More than 2 hrs")</f>
        <v>1 to 2hrs</v>
      </c>
      <c r="M588">
        <f>ROUND(calls[[#This Row],[Satisfaction Rating]],0)</f>
        <v>4</v>
      </c>
      <c r="N588">
        <f>COUNTIF(calls[Customer ID], calls[[#This Row],[Customer ID]])</f>
        <v>63</v>
      </c>
      <c r="O588">
        <f>SUMIF(calls[Customer ID], calls[[#This Row],[Customer ID]], calls[Purchase Amount])</f>
        <v>5634</v>
      </c>
      <c r="P588">
        <f>calls[[#This Row],[call count]]/calls[[#This Row],[Purchase Amount]]</f>
        <v>0.48837209302325579</v>
      </c>
      <c r="Q588">
        <f>COUNTIF(calls[Customer ID],calls[[#This Row],[Customer ID]])</f>
        <v>63</v>
      </c>
      <c r="R588">
        <f>calls[[#This Row],[call count]]/calls[[#This Row],[Purchase Amount]]</f>
        <v>0.48837209302325579</v>
      </c>
    </row>
    <row r="589" spans="1:18" x14ac:dyDescent="0.4">
      <c r="A589" t="s">
        <v>619</v>
      </c>
      <c r="B589" t="s">
        <v>54</v>
      </c>
      <c r="C589">
        <v>88</v>
      </c>
      <c r="D589" s="4" t="s">
        <v>23</v>
      </c>
      <c r="E589" s="5">
        <v>45108</v>
      </c>
      <c r="F589">
        <v>80</v>
      </c>
      <c r="G589">
        <f>AVERAGEIF(calls[Representative], calls[[#This Row],[Representative]], calls[Satisfaction Rating])</f>
        <v>3.8973118279569863</v>
      </c>
      <c r="H589" t="str">
        <f>IF(AVERAGEIF(calls[Representative],calls[[#This Row],[Representative]],calls[Satisfaction Rating])&lt;3.5,"Needs Training","OK")</f>
        <v>OK</v>
      </c>
      <c r="I589">
        <v>4.2</v>
      </c>
      <c r="J589">
        <f>IF(MONTH(calls[[#This Row],[Date of Call]])&lt;=6, YEAR(calls[[#This Row],[Date of Call]]), YEAR(calls[[#This Row],[Date of Call]])+1)</f>
        <v>2024</v>
      </c>
      <c r="K589" t="str">
        <f>TEXT(calls[[#This Row],[Date of Call]],"DDDD")</f>
        <v>Saturday</v>
      </c>
      <c r="L589" t="str" cm="1">
        <f t="array" ref="L589">_xlfn.IFS(calls[[#This Row],[Duration]]&lt;=10,"under 10 mins",calls[[#This Row],[Duration]]&lt;=30,"10 to 30mins",calls[[#This Row],[Duration]]&lt;=60,"60 to 30mins",calls[[#This Row],[Duration]]&lt;=120,"1 to 2hrs",TRUE,"More than 2 hrs")</f>
        <v>1 to 2hrs</v>
      </c>
      <c r="M589">
        <f>ROUND(calls[[#This Row],[Satisfaction Rating]],0)</f>
        <v>4</v>
      </c>
      <c r="N589">
        <f>COUNTIF(calls[Customer ID], calls[[#This Row],[Customer ID]])</f>
        <v>70</v>
      </c>
      <c r="O589">
        <f>SUMIF(calls[Customer ID], calls[[#This Row],[Customer ID]], calls[Purchase Amount])</f>
        <v>6819</v>
      </c>
      <c r="P589">
        <f>calls[[#This Row],[call count]]/calls[[#This Row],[Purchase Amount]]</f>
        <v>0.875</v>
      </c>
      <c r="Q589">
        <f>COUNTIF(calls[Customer ID],calls[[#This Row],[Customer ID]])</f>
        <v>70</v>
      </c>
      <c r="R589">
        <f>calls[[#This Row],[call count]]/calls[[#This Row],[Purchase Amount]]</f>
        <v>0.875</v>
      </c>
    </row>
    <row r="590" spans="1:18" x14ac:dyDescent="0.4">
      <c r="A590" t="s">
        <v>620</v>
      </c>
      <c r="B590" t="s">
        <v>11</v>
      </c>
      <c r="C590">
        <v>37</v>
      </c>
      <c r="D590" s="4" t="s">
        <v>23</v>
      </c>
      <c r="E590" s="5">
        <v>45108</v>
      </c>
      <c r="F590">
        <v>54</v>
      </c>
      <c r="G590">
        <f>AVERAGEIF(calls[Representative], calls[[#This Row],[Representative]], calls[Satisfaction Rating])</f>
        <v>3.8973118279569863</v>
      </c>
      <c r="H590" t="str">
        <f>IF(AVERAGEIF(calls[Representative],calls[[#This Row],[Representative]],calls[Satisfaction Rating])&lt;3.5,"Needs Training","OK")</f>
        <v>OK</v>
      </c>
      <c r="I590">
        <v>1.8</v>
      </c>
      <c r="J590">
        <f>IF(MONTH(calls[[#This Row],[Date of Call]])&lt;=6, YEAR(calls[[#This Row],[Date of Call]]), YEAR(calls[[#This Row],[Date of Call]])+1)</f>
        <v>2024</v>
      </c>
      <c r="K590" t="str">
        <f>TEXT(calls[[#This Row],[Date of Call]],"DDDD")</f>
        <v>Saturday</v>
      </c>
      <c r="L590" t="str" cm="1">
        <f t="array" ref="L590">_xlfn.IFS(calls[[#This Row],[Duration]]&lt;=10,"under 10 mins",calls[[#This Row],[Duration]]&lt;=30,"10 to 30mins",calls[[#This Row],[Duration]]&lt;=60,"60 to 30mins",calls[[#This Row],[Duration]]&lt;=120,"1 to 2hrs",TRUE,"More than 2 hrs")</f>
        <v>60 to 30mins</v>
      </c>
      <c r="M590">
        <f>ROUND(calls[[#This Row],[Satisfaction Rating]],0)</f>
        <v>2</v>
      </c>
      <c r="N590">
        <f>COUNTIF(calls[Customer ID], calls[[#This Row],[Customer ID]])</f>
        <v>60</v>
      </c>
      <c r="O590">
        <f>SUMIF(calls[Customer ID], calls[[#This Row],[Customer ID]], calls[Purchase Amount])</f>
        <v>5404</v>
      </c>
      <c r="P590">
        <f>calls[[#This Row],[call count]]/calls[[#This Row],[Purchase Amount]]</f>
        <v>1.1111111111111112</v>
      </c>
      <c r="Q590">
        <f>COUNTIF(calls[Customer ID],calls[[#This Row],[Customer ID]])</f>
        <v>60</v>
      </c>
      <c r="R590">
        <f>calls[[#This Row],[call count]]/calls[[#This Row],[Purchase Amount]]</f>
        <v>1.1111111111111112</v>
      </c>
    </row>
    <row r="591" spans="1:18" x14ac:dyDescent="0.4">
      <c r="A591" t="s">
        <v>621</v>
      </c>
      <c r="B591" t="s">
        <v>64</v>
      </c>
      <c r="C591">
        <v>142</v>
      </c>
      <c r="D591" s="4" t="s">
        <v>2</v>
      </c>
      <c r="E591" s="5">
        <v>45108</v>
      </c>
      <c r="F591">
        <v>116</v>
      </c>
      <c r="G591">
        <f>AVERAGEIF(calls[Representative], calls[[#This Row],[Representative]], calls[Satisfaction Rating])</f>
        <v>3.8824999999999998</v>
      </c>
      <c r="H591" t="str">
        <f>IF(AVERAGEIF(calls[Representative],calls[[#This Row],[Representative]],calls[Satisfaction Rating])&lt;3.5,"Needs Training","OK")</f>
        <v>OK</v>
      </c>
      <c r="I591">
        <v>4.2</v>
      </c>
      <c r="J591">
        <f>IF(MONTH(calls[[#This Row],[Date of Call]])&lt;=6, YEAR(calls[[#This Row],[Date of Call]]), YEAR(calls[[#This Row],[Date of Call]])+1)</f>
        <v>2024</v>
      </c>
      <c r="K591" t="str">
        <f>TEXT(calls[[#This Row],[Date of Call]],"DDDD")</f>
        <v>Saturday</v>
      </c>
      <c r="L591" t="str" cm="1">
        <f t="array" ref="L591">_xlfn.IFS(calls[[#This Row],[Duration]]&lt;=10,"under 10 mins",calls[[#This Row],[Duration]]&lt;=30,"10 to 30mins",calls[[#This Row],[Duration]]&lt;=60,"60 to 30mins",calls[[#This Row],[Duration]]&lt;=120,"1 to 2hrs",TRUE,"More than 2 hrs")</f>
        <v>More than 2 hrs</v>
      </c>
      <c r="M591">
        <f>ROUND(calls[[#This Row],[Satisfaction Rating]],0)</f>
        <v>4</v>
      </c>
      <c r="N591">
        <f>COUNTIF(calls[Customer ID], calls[[#This Row],[Customer ID]])</f>
        <v>65</v>
      </c>
      <c r="O591">
        <f>SUMIF(calls[Customer ID], calls[[#This Row],[Customer ID]], calls[Purchase Amount])</f>
        <v>6785</v>
      </c>
      <c r="P591">
        <f>calls[[#This Row],[call count]]/calls[[#This Row],[Purchase Amount]]</f>
        <v>0.56034482758620685</v>
      </c>
      <c r="Q591">
        <f>COUNTIF(calls[Customer ID],calls[[#This Row],[Customer ID]])</f>
        <v>65</v>
      </c>
      <c r="R591">
        <f>calls[[#This Row],[call count]]/calls[[#This Row],[Purchase Amount]]</f>
        <v>0.56034482758620685</v>
      </c>
    </row>
    <row r="592" spans="1:18" x14ac:dyDescent="0.4">
      <c r="A592" t="s">
        <v>622</v>
      </c>
      <c r="B592" t="s">
        <v>64</v>
      </c>
      <c r="C592">
        <v>153</v>
      </c>
      <c r="D592" s="4" t="s">
        <v>14</v>
      </c>
      <c r="E592" s="5">
        <v>45108</v>
      </c>
      <c r="F592">
        <v>102</v>
      </c>
      <c r="G592">
        <f>AVERAGEIF(calls[Representative], calls[[#This Row],[Representative]], calls[Satisfaction Rating])</f>
        <v>3.9227513227513247</v>
      </c>
      <c r="H592" t="str">
        <f>IF(AVERAGEIF(calls[Representative],calls[[#This Row],[Representative]],calls[Satisfaction Rating])&lt;3.5,"Needs Training","OK")</f>
        <v>OK</v>
      </c>
      <c r="I592">
        <v>3.1</v>
      </c>
      <c r="J592">
        <f>IF(MONTH(calls[[#This Row],[Date of Call]])&lt;=6, YEAR(calls[[#This Row],[Date of Call]]), YEAR(calls[[#This Row],[Date of Call]])+1)</f>
        <v>2024</v>
      </c>
      <c r="K592" t="str">
        <f>TEXT(calls[[#This Row],[Date of Call]],"DDDD")</f>
        <v>Saturday</v>
      </c>
      <c r="L592" t="str" cm="1">
        <f t="array" ref="L592">_xlfn.IFS(calls[[#This Row],[Duration]]&lt;=10,"under 10 mins",calls[[#This Row],[Duration]]&lt;=30,"10 to 30mins",calls[[#This Row],[Duration]]&lt;=60,"60 to 30mins",calls[[#This Row],[Duration]]&lt;=120,"1 to 2hrs",TRUE,"More than 2 hrs")</f>
        <v>More than 2 hrs</v>
      </c>
      <c r="M592">
        <f>ROUND(calls[[#This Row],[Satisfaction Rating]],0)</f>
        <v>3</v>
      </c>
      <c r="N592">
        <f>COUNTIF(calls[Customer ID], calls[[#This Row],[Customer ID]])</f>
        <v>65</v>
      </c>
      <c r="O592">
        <f>SUMIF(calls[Customer ID], calls[[#This Row],[Customer ID]], calls[Purchase Amount])</f>
        <v>6785</v>
      </c>
      <c r="P592">
        <f>calls[[#This Row],[call count]]/calls[[#This Row],[Purchase Amount]]</f>
        <v>0.63725490196078427</v>
      </c>
      <c r="Q592">
        <f>COUNTIF(calls[Customer ID],calls[[#This Row],[Customer ID]])</f>
        <v>65</v>
      </c>
      <c r="R592">
        <f>calls[[#This Row],[call count]]/calls[[#This Row],[Purchase Amount]]</f>
        <v>0.63725490196078427</v>
      </c>
    </row>
    <row r="593" spans="1:18" x14ac:dyDescent="0.4">
      <c r="A593" t="s">
        <v>623</v>
      </c>
      <c r="B593" t="s">
        <v>44</v>
      </c>
      <c r="C593">
        <v>128</v>
      </c>
      <c r="D593" s="4" t="s">
        <v>9</v>
      </c>
      <c r="E593" s="5">
        <v>45108</v>
      </c>
      <c r="F593">
        <v>140</v>
      </c>
      <c r="G593">
        <f>AVERAGEIF(calls[Representative], calls[[#This Row],[Representative]], calls[Satisfaction Rating])</f>
        <v>3.8706422018348627</v>
      </c>
      <c r="H593" t="str">
        <f>IF(AVERAGEIF(calls[Representative],calls[[#This Row],[Representative]],calls[Satisfaction Rating])&lt;3.5,"Needs Training","OK")</f>
        <v>OK</v>
      </c>
      <c r="I593">
        <v>4.3</v>
      </c>
      <c r="J593">
        <f>IF(MONTH(calls[[#This Row],[Date of Call]])&lt;=6, YEAR(calls[[#This Row],[Date of Call]]), YEAR(calls[[#This Row],[Date of Call]])+1)</f>
        <v>2024</v>
      </c>
      <c r="K593" t="str">
        <f>TEXT(calls[[#This Row],[Date of Call]],"DDDD")</f>
        <v>Saturday</v>
      </c>
      <c r="L593" t="str" cm="1">
        <f t="array" ref="L593">_xlfn.IFS(calls[[#This Row],[Duration]]&lt;=10,"under 10 mins",calls[[#This Row],[Duration]]&lt;=30,"10 to 30mins",calls[[#This Row],[Duration]]&lt;=60,"60 to 30mins",calls[[#This Row],[Duration]]&lt;=120,"1 to 2hrs",TRUE,"More than 2 hrs")</f>
        <v>More than 2 hrs</v>
      </c>
      <c r="M593">
        <f>ROUND(calls[[#This Row],[Satisfaction Rating]],0)</f>
        <v>4</v>
      </c>
      <c r="N593">
        <f>COUNTIF(calls[Customer ID], calls[[#This Row],[Customer ID]])</f>
        <v>62</v>
      </c>
      <c r="O593">
        <f>SUMIF(calls[Customer ID], calls[[#This Row],[Customer ID]], calls[Purchase Amount])</f>
        <v>6176</v>
      </c>
      <c r="P593">
        <f>calls[[#This Row],[call count]]/calls[[#This Row],[Purchase Amount]]</f>
        <v>0.44285714285714284</v>
      </c>
      <c r="Q593">
        <f>COUNTIF(calls[Customer ID],calls[[#This Row],[Customer ID]])</f>
        <v>62</v>
      </c>
      <c r="R593">
        <f>calls[[#This Row],[call count]]/calls[[#This Row],[Purchase Amount]]</f>
        <v>0.44285714285714284</v>
      </c>
    </row>
    <row r="594" spans="1:18" x14ac:dyDescent="0.4">
      <c r="A594" t="s">
        <v>624</v>
      </c>
      <c r="B594" t="s">
        <v>30</v>
      </c>
      <c r="C594">
        <v>110</v>
      </c>
      <c r="D594" s="4" t="s">
        <v>9</v>
      </c>
      <c r="E594" s="5">
        <v>45109</v>
      </c>
      <c r="F594">
        <v>104</v>
      </c>
      <c r="G594">
        <f>AVERAGEIF(calls[Representative], calls[[#This Row],[Representative]], calls[Satisfaction Rating])</f>
        <v>3.8706422018348627</v>
      </c>
      <c r="H594" t="str">
        <f>IF(AVERAGEIF(calls[Representative],calls[[#This Row],[Representative]],calls[Satisfaction Rating])&lt;3.5,"Needs Training","OK")</f>
        <v>OK</v>
      </c>
      <c r="I594">
        <v>4.4000000000000004</v>
      </c>
      <c r="J594">
        <f>IF(MONTH(calls[[#This Row],[Date of Call]])&lt;=6, YEAR(calls[[#This Row],[Date of Call]]), YEAR(calls[[#This Row],[Date of Call]])+1)</f>
        <v>2024</v>
      </c>
      <c r="K594" t="str">
        <f>TEXT(calls[[#This Row],[Date of Call]],"DDDD")</f>
        <v>Sunday</v>
      </c>
      <c r="L594" t="str" cm="1">
        <f t="array" ref="L594">_xlfn.IFS(calls[[#This Row],[Duration]]&lt;=10,"under 10 mins",calls[[#This Row],[Duration]]&lt;=30,"10 to 30mins",calls[[#This Row],[Duration]]&lt;=60,"60 to 30mins",calls[[#This Row],[Duration]]&lt;=120,"1 to 2hrs",TRUE,"More than 2 hrs")</f>
        <v>1 to 2hrs</v>
      </c>
      <c r="M594">
        <f>ROUND(calls[[#This Row],[Satisfaction Rating]],0)</f>
        <v>4</v>
      </c>
      <c r="N594">
        <f>COUNTIF(calls[Customer ID], calls[[#This Row],[Customer ID]])</f>
        <v>69</v>
      </c>
      <c r="O594">
        <f>SUMIF(calls[Customer ID], calls[[#This Row],[Customer ID]], calls[Purchase Amount])</f>
        <v>7230</v>
      </c>
      <c r="P594">
        <f>calls[[#This Row],[call count]]/calls[[#This Row],[Purchase Amount]]</f>
        <v>0.66346153846153844</v>
      </c>
      <c r="Q594">
        <f>COUNTIF(calls[Customer ID],calls[[#This Row],[Customer ID]])</f>
        <v>69</v>
      </c>
      <c r="R594">
        <f>calls[[#This Row],[call count]]/calls[[#This Row],[Purchase Amount]]</f>
        <v>0.66346153846153844</v>
      </c>
    </row>
    <row r="595" spans="1:18" x14ac:dyDescent="0.4">
      <c r="A595" t="s">
        <v>625</v>
      </c>
      <c r="B595" t="s">
        <v>44</v>
      </c>
      <c r="C595">
        <v>139</v>
      </c>
      <c r="D595" s="4" t="s">
        <v>23</v>
      </c>
      <c r="E595" s="5">
        <v>45109</v>
      </c>
      <c r="F595">
        <v>81</v>
      </c>
      <c r="G595">
        <f>AVERAGEIF(calls[Representative], calls[[#This Row],[Representative]], calls[Satisfaction Rating])</f>
        <v>3.8973118279569863</v>
      </c>
      <c r="H595" t="str">
        <f>IF(AVERAGEIF(calls[Representative],calls[[#This Row],[Representative]],calls[Satisfaction Rating])&lt;3.5,"Needs Training","OK")</f>
        <v>OK</v>
      </c>
      <c r="I595">
        <v>4.4000000000000004</v>
      </c>
      <c r="J595">
        <f>IF(MONTH(calls[[#This Row],[Date of Call]])&lt;=6, YEAR(calls[[#This Row],[Date of Call]]), YEAR(calls[[#This Row],[Date of Call]])+1)</f>
        <v>2024</v>
      </c>
      <c r="K595" t="str">
        <f>TEXT(calls[[#This Row],[Date of Call]],"DDDD")</f>
        <v>Sunday</v>
      </c>
      <c r="L595" t="str" cm="1">
        <f t="array" ref="L595">_xlfn.IFS(calls[[#This Row],[Duration]]&lt;=10,"under 10 mins",calls[[#This Row],[Duration]]&lt;=30,"10 to 30mins",calls[[#This Row],[Duration]]&lt;=60,"60 to 30mins",calls[[#This Row],[Duration]]&lt;=120,"1 to 2hrs",TRUE,"More than 2 hrs")</f>
        <v>More than 2 hrs</v>
      </c>
      <c r="M595">
        <f>ROUND(calls[[#This Row],[Satisfaction Rating]],0)</f>
        <v>4</v>
      </c>
      <c r="N595">
        <f>COUNTIF(calls[Customer ID], calls[[#This Row],[Customer ID]])</f>
        <v>62</v>
      </c>
      <c r="O595">
        <f>SUMIF(calls[Customer ID], calls[[#This Row],[Customer ID]], calls[Purchase Amount])</f>
        <v>6176</v>
      </c>
      <c r="P595">
        <f>calls[[#This Row],[call count]]/calls[[#This Row],[Purchase Amount]]</f>
        <v>0.76543209876543206</v>
      </c>
      <c r="Q595">
        <f>COUNTIF(calls[Customer ID],calls[[#This Row],[Customer ID]])</f>
        <v>62</v>
      </c>
      <c r="R595">
        <f>calls[[#This Row],[call count]]/calls[[#This Row],[Purchase Amount]]</f>
        <v>0.76543209876543206</v>
      </c>
    </row>
    <row r="596" spans="1:18" x14ac:dyDescent="0.4">
      <c r="A596" t="s">
        <v>626</v>
      </c>
      <c r="B596" t="s">
        <v>26</v>
      </c>
      <c r="C596">
        <v>109</v>
      </c>
      <c r="D596" s="4" t="s">
        <v>27</v>
      </c>
      <c r="E596" s="5">
        <v>45111</v>
      </c>
      <c r="F596">
        <v>140</v>
      </c>
      <c r="G596">
        <f>AVERAGEIF(calls[Representative], calls[[#This Row],[Representative]], calls[Satisfaction Rating])</f>
        <v>3.8589371980676304</v>
      </c>
      <c r="H596" t="str">
        <f>IF(AVERAGEIF(calls[Representative],calls[[#This Row],[Representative]],calls[Satisfaction Rating])&lt;3.5,"Needs Training","OK")</f>
        <v>OK</v>
      </c>
      <c r="I596">
        <v>2.4</v>
      </c>
      <c r="J596">
        <f>IF(MONTH(calls[[#This Row],[Date of Call]])&lt;=6, YEAR(calls[[#This Row],[Date of Call]]), YEAR(calls[[#This Row],[Date of Call]])+1)</f>
        <v>2024</v>
      </c>
      <c r="K596" t="str">
        <f>TEXT(calls[[#This Row],[Date of Call]],"DDDD")</f>
        <v>Tuesday</v>
      </c>
      <c r="L596" t="str" cm="1">
        <f t="array" ref="L596">_xlfn.IFS(calls[[#This Row],[Duration]]&lt;=10,"under 10 mins",calls[[#This Row],[Duration]]&lt;=30,"10 to 30mins",calls[[#This Row],[Duration]]&lt;=60,"60 to 30mins",calls[[#This Row],[Duration]]&lt;=120,"1 to 2hrs",TRUE,"More than 2 hrs")</f>
        <v>1 to 2hrs</v>
      </c>
      <c r="M596">
        <f>ROUND(calls[[#This Row],[Satisfaction Rating]],0)</f>
        <v>2</v>
      </c>
      <c r="N596">
        <f>COUNTIF(calls[Customer ID], calls[[#This Row],[Customer ID]])</f>
        <v>72</v>
      </c>
      <c r="O596">
        <f>SUMIF(calls[Customer ID], calls[[#This Row],[Customer ID]], calls[Purchase Amount])</f>
        <v>6242</v>
      </c>
      <c r="P596">
        <f>calls[[#This Row],[call count]]/calls[[#This Row],[Purchase Amount]]</f>
        <v>0.51428571428571423</v>
      </c>
      <c r="Q596">
        <f>COUNTIF(calls[Customer ID],calls[[#This Row],[Customer ID]])</f>
        <v>72</v>
      </c>
      <c r="R596">
        <f>calls[[#This Row],[call count]]/calls[[#This Row],[Purchase Amount]]</f>
        <v>0.51428571428571423</v>
      </c>
    </row>
    <row r="597" spans="1:18" x14ac:dyDescent="0.4">
      <c r="A597" t="s">
        <v>627</v>
      </c>
      <c r="B597" t="s">
        <v>6</v>
      </c>
      <c r="C597">
        <v>57</v>
      </c>
      <c r="D597" s="4" t="s">
        <v>2</v>
      </c>
      <c r="E597" s="5">
        <v>45112</v>
      </c>
      <c r="F597">
        <v>120</v>
      </c>
      <c r="G597">
        <f>AVERAGEIF(calls[Representative], calls[[#This Row],[Representative]], calls[Satisfaction Rating])</f>
        <v>3.8824999999999998</v>
      </c>
      <c r="H597" t="str">
        <f>IF(AVERAGEIF(calls[Representative],calls[[#This Row],[Representative]],calls[Satisfaction Rating])&lt;3.5,"Needs Training","OK")</f>
        <v>OK</v>
      </c>
      <c r="I597">
        <v>3.5</v>
      </c>
      <c r="J597">
        <f>IF(MONTH(calls[[#This Row],[Date of Call]])&lt;=6, YEAR(calls[[#This Row],[Date of Call]]), YEAR(calls[[#This Row],[Date of Call]])+1)</f>
        <v>2024</v>
      </c>
      <c r="K597" t="str">
        <f>TEXT(calls[[#This Row],[Date of Call]],"DDDD")</f>
        <v>Wednesday</v>
      </c>
      <c r="L597" t="str" cm="1">
        <f t="array" ref="L597">_xlfn.IFS(calls[[#This Row],[Duration]]&lt;=10,"under 10 mins",calls[[#This Row],[Duration]]&lt;=30,"10 to 30mins",calls[[#This Row],[Duration]]&lt;=60,"60 to 30mins",calls[[#This Row],[Duration]]&lt;=120,"1 to 2hrs",TRUE,"More than 2 hrs")</f>
        <v>60 to 30mins</v>
      </c>
      <c r="M597">
        <f>ROUND(calls[[#This Row],[Satisfaction Rating]],0)</f>
        <v>4</v>
      </c>
      <c r="N597">
        <f>COUNTIF(calls[Customer ID], calls[[#This Row],[Customer ID]])</f>
        <v>82</v>
      </c>
      <c r="O597">
        <f>SUMIF(calls[Customer ID], calls[[#This Row],[Customer ID]], calls[Purchase Amount])</f>
        <v>7689</v>
      </c>
      <c r="P597">
        <f>calls[[#This Row],[call count]]/calls[[#This Row],[Purchase Amount]]</f>
        <v>0.68333333333333335</v>
      </c>
      <c r="Q597">
        <f>COUNTIF(calls[Customer ID],calls[[#This Row],[Customer ID]])</f>
        <v>82</v>
      </c>
      <c r="R597">
        <f>calls[[#This Row],[call count]]/calls[[#This Row],[Purchase Amount]]</f>
        <v>0.68333333333333335</v>
      </c>
    </row>
    <row r="598" spans="1:18" x14ac:dyDescent="0.4">
      <c r="A598" t="s">
        <v>628</v>
      </c>
      <c r="B598" t="s">
        <v>26</v>
      </c>
      <c r="C598">
        <v>68</v>
      </c>
      <c r="D598" s="4" t="s">
        <v>23</v>
      </c>
      <c r="E598" s="5">
        <v>45112</v>
      </c>
      <c r="F598">
        <v>41</v>
      </c>
      <c r="G598">
        <f>AVERAGEIF(calls[Representative], calls[[#This Row],[Representative]], calls[Satisfaction Rating])</f>
        <v>3.8973118279569863</v>
      </c>
      <c r="H598" t="str">
        <f>IF(AVERAGEIF(calls[Representative],calls[[#This Row],[Representative]],calls[Satisfaction Rating])&lt;3.5,"Needs Training","OK")</f>
        <v>OK</v>
      </c>
      <c r="I598">
        <v>3.1</v>
      </c>
      <c r="J598">
        <f>IF(MONTH(calls[[#This Row],[Date of Call]])&lt;=6, YEAR(calls[[#This Row],[Date of Call]]), YEAR(calls[[#This Row],[Date of Call]])+1)</f>
        <v>2024</v>
      </c>
      <c r="K598" t="str">
        <f>TEXT(calls[[#This Row],[Date of Call]],"DDDD")</f>
        <v>Wednesday</v>
      </c>
      <c r="L598" t="str" cm="1">
        <f t="array" ref="L598">_xlfn.IFS(calls[[#This Row],[Duration]]&lt;=10,"under 10 mins",calls[[#This Row],[Duration]]&lt;=30,"10 to 30mins",calls[[#This Row],[Duration]]&lt;=60,"60 to 30mins",calls[[#This Row],[Duration]]&lt;=120,"1 to 2hrs",TRUE,"More than 2 hrs")</f>
        <v>1 to 2hrs</v>
      </c>
      <c r="M598">
        <f>ROUND(calls[[#This Row],[Satisfaction Rating]],0)</f>
        <v>3</v>
      </c>
      <c r="N598">
        <f>COUNTIF(calls[Customer ID], calls[[#This Row],[Customer ID]])</f>
        <v>72</v>
      </c>
      <c r="O598">
        <f>SUMIF(calls[Customer ID], calls[[#This Row],[Customer ID]], calls[Purchase Amount])</f>
        <v>6242</v>
      </c>
      <c r="P598">
        <f>calls[[#This Row],[call count]]/calls[[#This Row],[Purchase Amount]]</f>
        <v>1.7560975609756098</v>
      </c>
      <c r="Q598">
        <f>COUNTIF(calls[Customer ID],calls[[#This Row],[Customer ID]])</f>
        <v>72</v>
      </c>
      <c r="R598">
        <f>calls[[#This Row],[call count]]/calls[[#This Row],[Purchase Amount]]</f>
        <v>1.7560975609756098</v>
      </c>
    </row>
    <row r="599" spans="1:18" x14ac:dyDescent="0.4">
      <c r="A599" t="s">
        <v>629</v>
      </c>
      <c r="B599" t="s">
        <v>13</v>
      </c>
      <c r="C599">
        <v>128</v>
      </c>
      <c r="D599" s="4" t="s">
        <v>23</v>
      </c>
      <c r="E599" s="5">
        <v>45112</v>
      </c>
      <c r="F599">
        <v>116</v>
      </c>
      <c r="G599">
        <f>AVERAGEIF(calls[Representative], calls[[#This Row],[Representative]], calls[Satisfaction Rating])</f>
        <v>3.8973118279569863</v>
      </c>
      <c r="H599" t="str">
        <f>IF(AVERAGEIF(calls[Representative],calls[[#This Row],[Representative]],calls[Satisfaction Rating])&lt;3.5,"Needs Training","OK")</f>
        <v>OK</v>
      </c>
      <c r="I599">
        <v>2.2999999999999998</v>
      </c>
      <c r="J599">
        <f>IF(MONTH(calls[[#This Row],[Date of Call]])&lt;=6, YEAR(calls[[#This Row],[Date of Call]]), YEAR(calls[[#This Row],[Date of Call]])+1)</f>
        <v>2024</v>
      </c>
      <c r="K599" t="str">
        <f>TEXT(calls[[#This Row],[Date of Call]],"DDDD")</f>
        <v>Wednesday</v>
      </c>
      <c r="L599" t="str" cm="1">
        <f t="array" ref="L599">_xlfn.IFS(calls[[#This Row],[Duration]]&lt;=10,"under 10 mins",calls[[#This Row],[Duration]]&lt;=30,"10 to 30mins",calls[[#This Row],[Duration]]&lt;=60,"60 to 30mins",calls[[#This Row],[Duration]]&lt;=120,"1 to 2hrs",TRUE,"More than 2 hrs")</f>
        <v>More than 2 hrs</v>
      </c>
      <c r="M599">
        <f>ROUND(calls[[#This Row],[Satisfaction Rating]],0)</f>
        <v>2</v>
      </c>
      <c r="N599">
        <f>COUNTIF(calls[Customer ID], calls[[#This Row],[Customer ID]])</f>
        <v>74</v>
      </c>
      <c r="O599">
        <f>SUMIF(calls[Customer ID], calls[[#This Row],[Customer ID]], calls[Purchase Amount])</f>
        <v>6749</v>
      </c>
      <c r="P599">
        <f>calls[[#This Row],[call count]]/calls[[#This Row],[Purchase Amount]]</f>
        <v>0.63793103448275867</v>
      </c>
      <c r="Q599">
        <f>COUNTIF(calls[Customer ID],calls[[#This Row],[Customer ID]])</f>
        <v>74</v>
      </c>
      <c r="R599">
        <f>calls[[#This Row],[call count]]/calls[[#This Row],[Purchase Amount]]</f>
        <v>0.63793103448275867</v>
      </c>
    </row>
    <row r="600" spans="1:18" x14ac:dyDescent="0.4">
      <c r="A600" t="s">
        <v>630</v>
      </c>
      <c r="B600" t="s">
        <v>1</v>
      </c>
      <c r="C600">
        <v>102</v>
      </c>
      <c r="D600" s="4" t="s">
        <v>2</v>
      </c>
      <c r="E600" s="5">
        <v>45113</v>
      </c>
      <c r="F600">
        <v>70</v>
      </c>
      <c r="G600">
        <f>AVERAGEIF(calls[Representative], calls[[#This Row],[Representative]], calls[Satisfaction Rating])</f>
        <v>3.8824999999999998</v>
      </c>
      <c r="H600" t="str">
        <f>IF(AVERAGEIF(calls[Representative],calls[[#This Row],[Representative]],calls[Satisfaction Rating])&lt;3.5,"Needs Training","OK")</f>
        <v>OK</v>
      </c>
      <c r="I600">
        <v>2.8</v>
      </c>
      <c r="J600">
        <f>IF(MONTH(calls[[#This Row],[Date of Call]])&lt;=6, YEAR(calls[[#This Row],[Date of Call]]), YEAR(calls[[#This Row],[Date of Call]])+1)</f>
        <v>2024</v>
      </c>
      <c r="K600" t="str">
        <f>TEXT(calls[[#This Row],[Date of Call]],"DDDD")</f>
        <v>Thursday</v>
      </c>
      <c r="L600" t="str" cm="1">
        <f t="array" ref="L600">_xlfn.IFS(calls[[#This Row],[Duration]]&lt;=10,"under 10 mins",calls[[#This Row],[Duration]]&lt;=30,"10 to 30mins",calls[[#This Row],[Duration]]&lt;=60,"60 to 30mins",calls[[#This Row],[Duration]]&lt;=120,"1 to 2hrs",TRUE,"More than 2 hrs")</f>
        <v>1 to 2hrs</v>
      </c>
      <c r="M600">
        <f>ROUND(calls[[#This Row],[Satisfaction Rating]],0)</f>
        <v>3</v>
      </c>
      <c r="N600">
        <f>COUNTIF(calls[Customer ID], calls[[#This Row],[Customer ID]])</f>
        <v>50</v>
      </c>
      <c r="O600">
        <f>SUMIF(calls[Customer ID], calls[[#This Row],[Customer ID]], calls[Purchase Amount])</f>
        <v>4804</v>
      </c>
      <c r="P600">
        <f>calls[[#This Row],[call count]]/calls[[#This Row],[Purchase Amount]]</f>
        <v>0.7142857142857143</v>
      </c>
      <c r="Q600">
        <f>COUNTIF(calls[Customer ID],calls[[#This Row],[Customer ID]])</f>
        <v>50</v>
      </c>
      <c r="R600">
        <f>calls[[#This Row],[call count]]/calls[[#This Row],[Purchase Amount]]</f>
        <v>0.7142857142857143</v>
      </c>
    </row>
    <row r="601" spans="1:18" x14ac:dyDescent="0.4">
      <c r="A601" t="s">
        <v>631</v>
      </c>
      <c r="B601" t="s">
        <v>44</v>
      </c>
      <c r="C601">
        <v>52</v>
      </c>
      <c r="D601" s="4" t="s">
        <v>14</v>
      </c>
      <c r="E601" s="5">
        <v>45113</v>
      </c>
      <c r="F601">
        <v>42</v>
      </c>
      <c r="G601">
        <f>AVERAGEIF(calls[Representative], calls[[#This Row],[Representative]], calls[Satisfaction Rating])</f>
        <v>3.9227513227513247</v>
      </c>
      <c r="H601" t="str">
        <f>IF(AVERAGEIF(calls[Representative],calls[[#This Row],[Representative]],calls[Satisfaction Rating])&lt;3.5,"Needs Training","OK")</f>
        <v>OK</v>
      </c>
      <c r="I601">
        <v>4.5</v>
      </c>
      <c r="J601">
        <f>IF(MONTH(calls[[#This Row],[Date of Call]])&lt;=6, YEAR(calls[[#This Row],[Date of Call]]), YEAR(calls[[#This Row],[Date of Call]])+1)</f>
        <v>2024</v>
      </c>
      <c r="K601" t="str">
        <f>TEXT(calls[[#This Row],[Date of Call]],"DDDD")</f>
        <v>Thursday</v>
      </c>
      <c r="L601" t="str" cm="1">
        <f t="array" ref="L601">_xlfn.IFS(calls[[#This Row],[Duration]]&lt;=10,"under 10 mins",calls[[#This Row],[Duration]]&lt;=30,"10 to 30mins",calls[[#This Row],[Duration]]&lt;=60,"60 to 30mins",calls[[#This Row],[Duration]]&lt;=120,"1 to 2hrs",TRUE,"More than 2 hrs")</f>
        <v>60 to 30mins</v>
      </c>
      <c r="M601">
        <f>ROUND(calls[[#This Row],[Satisfaction Rating]],0)</f>
        <v>5</v>
      </c>
      <c r="N601">
        <f>COUNTIF(calls[Customer ID], calls[[#This Row],[Customer ID]])</f>
        <v>62</v>
      </c>
      <c r="O601">
        <f>SUMIF(calls[Customer ID], calls[[#This Row],[Customer ID]], calls[Purchase Amount])</f>
        <v>6176</v>
      </c>
      <c r="P601">
        <f>calls[[#This Row],[call count]]/calls[[#This Row],[Purchase Amount]]</f>
        <v>1.4761904761904763</v>
      </c>
      <c r="Q601">
        <f>COUNTIF(calls[Customer ID],calls[[#This Row],[Customer ID]])</f>
        <v>62</v>
      </c>
      <c r="R601">
        <f>calls[[#This Row],[call count]]/calls[[#This Row],[Purchase Amount]]</f>
        <v>1.4761904761904763</v>
      </c>
    </row>
    <row r="602" spans="1:18" x14ac:dyDescent="0.4">
      <c r="A602" t="s">
        <v>632</v>
      </c>
      <c r="B602" t="s">
        <v>13</v>
      </c>
      <c r="C602">
        <v>55</v>
      </c>
      <c r="D602" s="4" t="s">
        <v>9</v>
      </c>
      <c r="E602" s="5">
        <v>45114</v>
      </c>
      <c r="F602">
        <v>112</v>
      </c>
      <c r="G602">
        <f>AVERAGEIF(calls[Representative], calls[[#This Row],[Representative]], calls[Satisfaction Rating])</f>
        <v>3.8706422018348627</v>
      </c>
      <c r="H602" t="str">
        <f>IF(AVERAGEIF(calls[Representative],calls[[#This Row],[Representative]],calls[Satisfaction Rating])&lt;3.5,"Needs Training","OK")</f>
        <v>OK</v>
      </c>
      <c r="I602">
        <v>4.5</v>
      </c>
      <c r="J602">
        <f>IF(MONTH(calls[[#This Row],[Date of Call]])&lt;=6, YEAR(calls[[#This Row],[Date of Call]]), YEAR(calls[[#This Row],[Date of Call]])+1)</f>
        <v>2024</v>
      </c>
      <c r="K602" t="str">
        <f>TEXT(calls[[#This Row],[Date of Call]],"DDDD")</f>
        <v>Friday</v>
      </c>
      <c r="L602" t="str" cm="1">
        <f t="array" ref="L602">_xlfn.IFS(calls[[#This Row],[Duration]]&lt;=10,"under 10 mins",calls[[#This Row],[Duration]]&lt;=30,"10 to 30mins",calls[[#This Row],[Duration]]&lt;=60,"60 to 30mins",calls[[#This Row],[Duration]]&lt;=120,"1 to 2hrs",TRUE,"More than 2 hrs")</f>
        <v>60 to 30mins</v>
      </c>
      <c r="M602">
        <f>ROUND(calls[[#This Row],[Satisfaction Rating]],0)</f>
        <v>5</v>
      </c>
      <c r="N602">
        <f>COUNTIF(calls[Customer ID], calls[[#This Row],[Customer ID]])</f>
        <v>74</v>
      </c>
      <c r="O602">
        <f>SUMIF(calls[Customer ID], calls[[#This Row],[Customer ID]], calls[Purchase Amount])</f>
        <v>6749</v>
      </c>
      <c r="P602">
        <f>calls[[#This Row],[call count]]/calls[[#This Row],[Purchase Amount]]</f>
        <v>0.6607142857142857</v>
      </c>
      <c r="Q602">
        <f>COUNTIF(calls[Customer ID],calls[[#This Row],[Customer ID]])</f>
        <v>74</v>
      </c>
      <c r="R602">
        <f>calls[[#This Row],[call count]]/calls[[#This Row],[Purchase Amount]]</f>
        <v>0.6607142857142857</v>
      </c>
    </row>
    <row r="603" spans="1:18" x14ac:dyDescent="0.4">
      <c r="A603" t="s">
        <v>633</v>
      </c>
      <c r="B603" t="s">
        <v>11</v>
      </c>
      <c r="C603">
        <v>107</v>
      </c>
      <c r="D603" s="4" t="s">
        <v>23</v>
      </c>
      <c r="E603" s="5">
        <v>45114</v>
      </c>
      <c r="F603">
        <v>20</v>
      </c>
      <c r="G603">
        <f>AVERAGEIF(calls[Representative], calls[[#This Row],[Representative]], calls[Satisfaction Rating])</f>
        <v>3.8973118279569863</v>
      </c>
      <c r="H603" t="str">
        <f>IF(AVERAGEIF(calls[Representative],calls[[#This Row],[Representative]],calls[Satisfaction Rating])&lt;3.5,"Needs Training","OK")</f>
        <v>OK</v>
      </c>
      <c r="I603">
        <v>4.5</v>
      </c>
      <c r="J603">
        <f>IF(MONTH(calls[[#This Row],[Date of Call]])&lt;=6, YEAR(calls[[#This Row],[Date of Call]]), YEAR(calls[[#This Row],[Date of Call]])+1)</f>
        <v>2024</v>
      </c>
      <c r="K603" t="str">
        <f>TEXT(calls[[#This Row],[Date of Call]],"DDDD")</f>
        <v>Friday</v>
      </c>
      <c r="L603" t="str" cm="1">
        <f t="array" ref="L603">_xlfn.IFS(calls[[#This Row],[Duration]]&lt;=10,"under 10 mins",calls[[#This Row],[Duration]]&lt;=30,"10 to 30mins",calls[[#This Row],[Duration]]&lt;=60,"60 to 30mins",calls[[#This Row],[Duration]]&lt;=120,"1 to 2hrs",TRUE,"More than 2 hrs")</f>
        <v>1 to 2hrs</v>
      </c>
      <c r="M603">
        <f>ROUND(calls[[#This Row],[Satisfaction Rating]],0)</f>
        <v>5</v>
      </c>
      <c r="N603">
        <f>COUNTIF(calls[Customer ID], calls[[#This Row],[Customer ID]])</f>
        <v>60</v>
      </c>
      <c r="O603">
        <f>SUMIF(calls[Customer ID], calls[[#This Row],[Customer ID]], calls[Purchase Amount])</f>
        <v>5404</v>
      </c>
      <c r="P603">
        <f>calls[[#This Row],[call count]]/calls[[#This Row],[Purchase Amount]]</f>
        <v>3</v>
      </c>
      <c r="Q603">
        <f>COUNTIF(calls[Customer ID],calls[[#This Row],[Customer ID]])</f>
        <v>60</v>
      </c>
      <c r="R603">
        <f>calls[[#This Row],[call count]]/calls[[#This Row],[Purchase Amount]]</f>
        <v>3</v>
      </c>
    </row>
    <row r="604" spans="1:18" x14ac:dyDescent="0.4">
      <c r="A604" t="s">
        <v>634</v>
      </c>
      <c r="B604" t="s">
        <v>32</v>
      </c>
      <c r="C604">
        <v>88</v>
      </c>
      <c r="D604" s="4" t="s">
        <v>14</v>
      </c>
      <c r="E604" s="5">
        <v>45115</v>
      </c>
      <c r="F604">
        <v>110</v>
      </c>
      <c r="G604">
        <f>AVERAGEIF(calls[Representative], calls[[#This Row],[Representative]], calls[Satisfaction Rating])</f>
        <v>3.9227513227513247</v>
      </c>
      <c r="H604" t="str">
        <f>IF(AVERAGEIF(calls[Representative],calls[[#This Row],[Representative]],calls[Satisfaction Rating])&lt;3.5,"Needs Training","OK")</f>
        <v>OK</v>
      </c>
      <c r="I604">
        <v>4.8</v>
      </c>
      <c r="J604">
        <f>IF(MONTH(calls[[#This Row],[Date of Call]])&lt;=6, YEAR(calls[[#This Row],[Date of Call]]), YEAR(calls[[#This Row],[Date of Call]])+1)</f>
        <v>2024</v>
      </c>
      <c r="K604" t="str">
        <f>TEXT(calls[[#This Row],[Date of Call]],"DDDD")</f>
        <v>Saturday</v>
      </c>
      <c r="L604" t="str" cm="1">
        <f t="array" ref="L604">_xlfn.IFS(calls[[#This Row],[Duration]]&lt;=10,"under 10 mins",calls[[#This Row],[Duration]]&lt;=30,"10 to 30mins",calls[[#This Row],[Duration]]&lt;=60,"60 to 30mins",calls[[#This Row],[Duration]]&lt;=120,"1 to 2hrs",TRUE,"More than 2 hrs")</f>
        <v>1 to 2hrs</v>
      </c>
      <c r="M604">
        <f>ROUND(calls[[#This Row],[Satisfaction Rating]],0)</f>
        <v>5</v>
      </c>
      <c r="N604">
        <f>COUNTIF(calls[Customer ID], calls[[#This Row],[Customer ID]])</f>
        <v>63</v>
      </c>
      <c r="O604">
        <f>SUMIF(calls[Customer ID], calls[[#This Row],[Customer ID]], calls[Purchase Amount])</f>
        <v>5634</v>
      </c>
      <c r="P604">
        <f>calls[[#This Row],[call count]]/calls[[#This Row],[Purchase Amount]]</f>
        <v>0.57272727272727275</v>
      </c>
      <c r="Q604">
        <f>COUNTIF(calls[Customer ID],calls[[#This Row],[Customer ID]])</f>
        <v>63</v>
      </c>
      <c r="R604">
        <f>calls[[#This Row],[call count]]/calls[[#This Row],[Purchase Amount]]</f>
        <v>0.57272727272727275</v>
      </c>
    </row>
    <row r="605" spans="1:18" x14ac:dyDescent="0.4">
      <c r="A605" t="s">
        <v>635</v>
      </c>
      <c r="B605" t="s">
        <v>21</v>
      </c>
      <c r="C605">
        <v>49</v>
      </c>
      <c r="D605" s="4" t="s">
        <v>14</v>
      </c>
      <c r="E605" s="5">
        <v>45115</v>
      </c>
      <c r="F605">
        <v>39</v>
      </c>
      <c r="G605">
        <f>AVERAGEIF(calls[Representative], calls[[#This Row],[Representative]], calls[Satisfaction Rating])</f>
        <v>3.9227513227513247</v>
      </c>
      <c r="H605" t="str">
        <f>IF(AVERAGEIF(calls[Representative],calls[[#This Row],[Representative]],calls[Satisfaction Rating])&lt;3.5,"Needs Training","OK")</f>
        <v>OK</v>
      </c>
      <c r="I605">
        <v>4.5999999999999996</v>
      </c>
      <c r="J605">
        <f>IF(MONTH(calls[[#This Row],[Date of Call]])&lt;=6, YEAR(calls[[#This Row],[Date of Call]]), YEAR(calls[[#This Row],[Date of Call]])+1)</f>
        <v>2024</v>
      </c>
      <c r="K605" t="str">
        <f>TEXT(calls[[#This Row],[Date of Call]],"DDDD")</f>
        <v>Saturday</v>
      </c>
      <c r="L605" t="str" cm="1">
        <f t="array" ref="L605">_xlfn.IFS(calls[[#This Row],[Duration]]&lt;=10,"under 10 mins",calls[[#This Row],[Duration]]&lt;=30,"10 to 30mins",calls[[#This Row],[Duration]]&lt;=60,"60 to 30mins",calls[[#This Row],[Duration]]&lt;=120,"1 to 2hrs",TRUE,"More than 2 hrs")</f>
        <v>60 to 30mins</v>
      </c>
      <c r="M605">
        <f>ROUND(calls[[#This Row],[Satisfaction Rating]],0)</f>
        <v>5</v>
      </c>
      <c r="N605">
        <f>COUNTIF(calls[Customer ID], calls[[#This Row],[Customer ID]])</f>
        <v>67</v>
      </c>
      <c r="O605">
        <f>SUMIF(calls[Customer ID], calls[[#This Row],[Customer ID]], calls[Purchase Amount])</f>
        <v>7216</v>
      </c>
      <c r="P605">
        <f>calls[[#This Row],[call count]]/calls[[#This Row],[Purchase Amount]]</f>
        <v>1.7179487179487178</v>
      </c>
      <c r="Q605">
        <f>COUNTIF(calls[Customer ID],calls[[#This Row],[Customer ID]])</f>
        <v>67</v>
      </c>
      <c r="R605">
        <f>calls[[#This Row],[call count]]/calls[[#This Row],[Purchase Amount]]</f>
        <v>1.7179487179487178</v>
      </c>
    </row>
    <row r="606" spans="1:18" x14ac:dyDescent="0.4">
      <c r="A606" t="s">
        <v>636</v>
      </c>
      <c r="B606" t="s">
        <v>32</v>
      </c>
      <c r="C606">
        <v>72</v>
      </c>
      <c r="D606" s="4" t="s">
        <v>2</v>
      </c>
      <c r="E606" s="5">
        <v>45115</v>
      </c>
      <c r="F606">
        <v>76</v>
      </c>
      <c r="G606">
        <f>AVERAGEIF(calls[Representative], calls[[#This Row],[Representative]], calls[Satisfaction Rating])</f>
        <v>3.8824999999999998</v>
      </c>
      <c r="H606" t="str">
        <f>IF(AVERAGEIF(calls[Representative],calls[[#This Row],[Representative]],calls[Satisfaction Rating])&lt;3.5,"Needs Training","OK")</f>
        <v>OK</v>
      </c>
      <c r="I606">
        <v>4.5</v>
      </c>
      <c r="J606">
        <f>IF(MONTH(calls[[#This Row],[Date of Call]])&lt;=6, YEAR(calls[[#This Row],[Date of Call]]), YEAR(calls[[#This Row],[Date of Call]])+1)</f>
        <v>2024</v>
      </c>
      <c r="K606" t="str">
        <f>TEXT(calls[[#This Row],[Date of Call]],"DDDD")</f>
        <v>Saturday</v>
      </c>
      <c r="L606" t="str" cm="1">
        <f t="array" ref="L606">_xlfn.IFS(calls[[#This Row],[Duration]]&lt;=10,"under 10 mins",calls[[#This Row],[Duration]]&lt;=30,"10 to 30mins",calls[[#This Row],[Duration]]&lt;=60,"60 to 30mins",calls[[#This Row],[Duration]]&lt;=120,"1 to 2hrs",TRUE,"More than 2 hrs")</f>
        <v>1 to 2hrs</v>
      </c>
      <c r="M606">
        <f>ROUND(calls[[#This Row],[Satisfaction Rating]],0)</f>
        <v>5</v>
      </c>
      <c r="N606">
        <f>COUNTIF(calls[Customer ID], calls[[#This Row],[Customer ID]])</f>
        <v>63</v>
      </c>
      <c r="O606">
        <f>SUMIF(calls[Customer ID], calls[[#This Row],[Customer ID]], calls[Purchase Amount])</f>
        <v>5634</v>
      </c>
      <c r="P606">
        <f>calls[[#This Row],[call count]]/calls[[#This Row],[Purchase Amount]]</f>
        <v>0.82894736842105265</v>
      </c>
      <c r="Q606">
        <f>COUNTIF(calls[Customer ID],calls[[#This Row],[Customer ID]])</f>
        <v>63</v>
      </c>
      <c r="R606">
        <f>calls[[#This Row],[call count]]/calls[[#This Row],[Purchase Amount]]</f>
        <v>0.82894736842105265</v>
      </c>
    </row>
    <row r="607" spans="1:18" x14ac:dyDescent="0.4">
      <c r="A607" t="s">
        <v>637</v>
      </c>
      <c r="B607" t="s">
        <v>6</v>
      </c>
      <c r="C607">
        <v>50</v>
      </c>
      <c r="D607" s="4" t="s">
        <v>2</v>
      </c>
      <c r="E607" s="5">
        <v>45115</v>
      </c>
      <c r="F607">
        <v>40</v>
      </c>
      <c r="G607">
        <f>AVERAGEIF(calls[Representative], calls[[#This Row],[Representative]], calls[Satisfaction Rating])</f>
        <v>3.8824999999999998</v>
      </c>
      <c r="H607" t="str">
        <f>IF(AVERAGEIF(calls[Representative],calls[[#This Row],[Representative]],calls[Satisfaction Rating])&lt;3.5,"Needs Training","OK")</f>
        <v>OK</v>
      </c>
      <c r="I607">
        <v>5</v>
      </c>
      <c r="J607">
        <f>IF(MONTH(calls[[#This Row],[Date of Call]])&lt;=6, YEAR(calls[[#This Row],[Date of Call]]), YEAR(calls[[#This Row],[Date of Call]])+1)</f>
        <v>2024</v>
      </c>
      <c r="K607" t="str">
        <f>TEXT(calls[[#This Row],[Date of Call]],"DDDD")</f>
        <v>Saturday</v>
      </c>
      <c r="L607" t="str" cm="1">
        <f t="array" ref="L607">_xlfn.IFS(calls[[#This Row],[Duration]]&lt;=10,"under 10 mins",calls[[#This Row],[Duration]]&lt;=30,"10 to 30mins",calls[[#This Row],[Duration]]&lt;=60,"60 to 30mins",calls[[#This Row],[Duration]]&lt;=120,"1 to 2hrs",TRUE,"More than 2 hrs")</f>
        <v>60 to 30mins</v>
      </c>
      <c r="M607">
        <f>ROUND(calls[[#This Row],[Satisfaction Rating]],0)</f>
        <v>5</v>
      </c>
      <c r="N607">
        <f>COUNTIF(calls[Customer ID], calls[[#This Row],[Customer ID]])</f>
        <v>82</v>
      </c>
      <c r="O607">
        <f>SUMIF(calls[Customer ID], calls[[#This Row],[Customer ID]], calls[Purchase Amount])</f>
        <v>7689</v>
      </c>
      <c r="P607">
        <f>calls[[#This Row],[call count]]/calls[[#This Row],[Purchase Amount]]</f>
        <v>2.0499999999999998</v>
      </c>
      <c r="Q607">
        <f>COUNTIF(calls[Customer ID],calls[[#This Row],[Customer ID]])</f>
        <v>82</v>
      </c>
      <c r="R607">
        <f>calls[[#This Row],[call count]]/calls[[#This Row],[Purchase Amount]]</f>
        <v>2.0499999999999998</v>
      </c>
    </row>
    <row r="608" spans="1:18" x14ac:dyDescent="0.4">
      <c r="A608" t="s">
        <v>638</v>
      </c>
      <c r="B608" t="s">
        <v>32</v>
      </c>
      <c r="C608">
        <v>52</v>
      </c>
      <c r="D608" s="4" t="s">
        <v>23</v>
      </c>
      <c r="E608" s="5">
        <v>45115</v>
      </c>
      <c r="F608">
        <v>42</v>
      </c>
      <c r="G608">
        <f>AVERAGEIF(calls[Representative], calls[[#This Row],[Representative]], calls[Satisfaction Rating])</f>
        <v>3.8973118279569863</v>
      </c>
      <c r="H608" t="str">
        <f>IF(AVERAGEIF(calls[Representative],calls[[#This Row],[Representative]],calls[Satisfaction Rating])&lt;3.5,"Needs Training","OK")</f>
        <v>OK</v>
      </c>
      <c r="I608">
        <v>4.8</v>
      </c>
      <c r="J608">
        <f>IF(MONTH(calls[[#This Row],[Date of Call]])&lt;=6, YEAR(calls[[#This Row],[Date of Call]]), YEAR(calls[[#This Row],[Date of Call]])+1)</f>
        <v>2024</v>
      </c>
      <c r="K608" t="str">
        <f>TEXT(calls[[#This Row],[Date of Call]],"DDDD")</f>
        <v>Saturday</v>
      </c>
      <c r="L608" t="str" cm="1">
        <f t="array" ref="L608">_xlfn.IFS(calls[[#This Row],[Duration]]&lt;=10,"under 10 mins",calls[[#This Row],[Duration]]&lt;=30,"10 to 30mins",calls[[#This Row],[Duration]]&lt;=60,"60 to 30mins",calls[[#This Row],[Duration]]&lt;=120,"1 to 2hrs",TRUE,"More than 2 hrs")</f>
        <v>60 to 30mins</v>
      </c>
      <c r="M608">
        <f>ROUND(calls[[#This Row],[Satisfaction Rating]],0)</f>
        <v>5</v>
      </c>
      <c r="N608">
        <f>COUNTIF(calls[Customer ID], calls[[#This Row],[Customer ID]])</f>
        <v>63</v>
      </c>
      <c r="O608">
        <f>SUMIF(calls[Customer ID], calls[[#This Row],[Customer ID]], calls[Purchase Amount])</f>
        <v>5634</v>
      </c>
      <c r="P608">
        <f>calls[[#This Row],[call count]]/calls[[#This Row],[Purchase Amount]]</f>
        <v>1.5</v>
      </c>
      <c r="Q608">
        <f>COUNTIF(calls[Customer ID],calls[[#This Row],[Customer ID]])</f>
        <v>63</v>
      </c>
      <c r="R608">
        <f>calls[[#This Row],[call count]]/calls[[#This Row],[Purchase Amount]]</f>
        <v>1.5</v>
      </c>
    </row>
    <row r="609" spans="1:18" x14ac:dyDescent="0.4">
      <c r="A609" t="s">
        <v>639</v>
      </c>
      <c r="B609" t="s">
        <v>8</v>
      </c>
      <c r="C609">
        <v>85</v>
      </c>
      <c r="D609" s="4" t="s">
        <v>27</v>
      </c>
      <c r="E609" s="5">
        <v>45116</v>
      </c>
      <c r="F609">
        <v>215</v>
      </c>
      <c r="G609">
        <f>AVERAGEIF(calls[Representative], calls[[#This Row],[Representative]], calls[Satisfaction Rating])</f>
        <v>3.8589371980676304</v>
      </c>
      <c r="H609" t="str">
        <f>IF(AVERAGEIF(calls[Representative],calls[[#This Row],[Representative]],calls[Satisfaction Rating])&lt;3.5,"Needs Training","OK")</f>
        <v>OK</v>
      </c>
      <c r="I609">
        <v>3.5</v>
      </c>
      <c r="J609">
        <f>IF(MONTH(calls[[#This Row],[Date of Call]])&lt;=6, YEAR(calls[[#This Row],[Date of Call]]), YEAR(calls[[#This Row],[Date of Call]])+1)</f>
        <v>2024</v>
      </c>
      <c r="K609" t="str">
        <f>TEXT(calls[[#This Row],[Date of Call]],"DDDD")</f>
        <v>Sunday</v>
      </c>
      <c r="L609" t="str" cm="1">
        <f t="array" ref="L609">_xlfn.IFS(calls[[#This Row],[Duration]]&lt;=10,"under 10 mins",calls[[#This Row],[Duration]]&lt;=30,"10 to 30mins",calls[[#This Row],[Duration]]&lt;=60,"60 to 30mins",calls[[#This Row],[Duration]]&lt;=120,"1 to 2hrs",TRUE,"More than 2 hrs")</f>
        <v>1 to 2hrs</v>
      </c>
      <c r="M609">
        <f>ROUND(calls[[#This Row],[Satisfaction Rating]],0)</f>
        <v>4</v>
      </c>
      <c r="N609">
        <f>COUNTIF(calls[Customer ID], calls[[#This Row],[Customer ID]])</f>
        <v>79</v>
      </c>
      <c r="O609">
        <f>SUMIF(calls[Customer ID], calls[[#This Row],[Customer ID]], calls[Purchase Amount])</f>
        <v>7747</v>
      </c>
      <c r="P609">
        <f>calls[[#This Row],[call count]]/calls[[#This Row],[Purchase Amount]]</f>
        <v>0.36744186046511629</v>
      </c>
      <c r="Q609">
        <f>COUNTIF(calls[Customer ID],calls[[#This Row],[Customer ID]])</f>
        <v>79</v>
      </c>
      <c r="R609">
        <f>calls[[#This Row],[call count]]/calls[[#This Row],[Purchase Amount]]</f>
        <v>0.36744186046511629</v>
      </c>
    </row>
    <row r="610" spans="1:18" x14ac:dyDescent="0.4">
      <c r="A610" t="s">
        <v>640</v>
      </c>
      <c r="B610" t="s">
        <v>40</v>
      </c>
      <c r="C610">
        <v>98</v>
      </c>
      <c r="D610" s="4" t="s">
        <v>27</v>
      </c>
      <c r="E610" s="5">
        <v>45117</v>
      </c>
      <c r="F610">
        <v>130</v>
      </c>
      <c r="G610">
        <f>AVERAGEIF(calls[Representative], calls[[#This Row],[Representative]], calls[Satisfaction Rating])</f>
        <v>3.8589371980676304</v>
      </c>
      <c r="H610" t="str">
        <f>IF(AVERAGEIF(calls[Representative],calls[[#This Row],[Representative]],calls[Satisfaction Rating])&lt;3.5,"Needs Training","OK")</f>
        <v>OK</v>
      </c>
      <c r="I610">
        <v>3.4</v>
      </c>
      <c r="J610">
        <f>IF(MONTH(calls[[#This Row],[Date of Call]])&lt;=6, YEAR(calls[[#This Row],[Date of Call]]), YEAR(calls[[#This Row],[Date of Call]])+1)</f>
        <v>2024</v>
      </c>
      <c r="K610" t="str">
        <f>TEXT(calls[[#This Row],[Date of Call]],"DDDD")</f>
        <v>Monday</v>
      </c>
      <c r="L610" t="str" cm="1">
        <f t="array" ref="L610">_xlfn.IFS(calls[[#This Row],[Duration]]&lt;=10,"under 10 mins",calls[[#This Row],[Duration]]&lt;=30,"10 to 30mins",calls[[#This Row],[Duration]]&lt;=60,"60 to 30mins",calls[[#This Row],[Duration]]&lt;=120,"1 to 2hrs",TRUE,"More than 2 hrs")</f>
        <v>1 to 2hrs</v>
      </c>
      <c r="M610">
        <f>ROUND(calls[[#This Row],[Satisfaction Rating]],0)</f>
        <v>3</v>
      </c>
      <c r="N610">
        <f>COUNTIF(calls[Customer ID], calls[[#This Row],[Customer ID]])</f>
        <v>69</v>
      </c>
      <c r="O610">
        <f>SUMIF(calls[Customer ID], calls[[#This Row],[Customer ID]], calls[Purchase Amount])</f>
        <v>6601</v>
      </c>
      <c r="P610">
        <f>calls[[#This Row],[call count]]/calls[[#This Row],[Purchase Amount]]</f>
        <v>0.53076923076923077</v>
      </c>
      <c r="Q610">
        <f>COUNTIF(calls[Customer ID],calls[[#This Row],[Customer ID]])</f>
        <v>69</v>
      </c>
      <c r="R610">
        <f>calls[[#This Row],[call count]]/calls[[#This Row],[Purchase Amount]]</f>
        <v>0.53076923076923077</v>
      </c>
    </row>
    <row r="611" spans="1:18" x14ac:dyDescent="0.4">
      <c r="A611" t="s">
        <v>641</v>
      </c>
      <c r="B611" t="s">
        <v>51</v>
      </c>
      <c r="C611">
        <v>52</v>
      </c>
      <c r="D611" s="4" t="s">
        <v>27</v>
      </c>
      <c r="E611" s="5">
        <v>45117</v>
      </c>
      <c r="F611">
        <v>190</v>
      </c>
      <c r="G611">
        <f>AVERAGEIF(calls[Representative], calls[[#This Row],[Representative]], calls[Satisfaction Rating])</f>
        <v>3.8589371980676304</v>
      </c>
      <c r="H611" t="str">
        <f>IF(AVERAGEIF(calls[Representative],calls[[#This Row],[Representative]],calls[Satisfaction Rating])&lt;3.5,"Needs Training","OK")</f>
        <v>OK</v>
      </c>
      <c r="I611">
        <v>3.3</v>
      </c>
      <c r="J611">
        <f>IF(MONTH(calls[[#This Row],[Date of Call]])&lt;=6, YEAR(calls[[#This Row],[Date of Call]]), YEAR(calls[[#This Row],[Date of Call]])+1)</f>
        <v>2024</v>
      </c>
      <c r="K611" t="str">
        <f>TEXT(calls[[#This Row],[Date of Call]],"DDDD")</f>
        <v>Monday</v>
      </c>
      <c r="L611" t="str" cm="1">
        <f t="array" ref="L611">_xlfn.IFS(calls[[#This Row],[Duration]]&lt;=10,"under 10 mins",calls[[#This Row],[Duration]]&lt;=30,"10 to 30mins",calls[[#This Row],[Duration]]&lt;=60,"60 to 30mins",calls[[#This Row],[Duration]]&lt;=120,"1 to 2hrs",TRUE,"More than 2 hrs")</f>
        <v>60 to 30mins</v>
      </c>
      <c r="M611">
        <f>ROUND(calls[[#This Row],[Satisfaction Rating]],0)</f>
        <v>3</v>
      </c>
      <c r="N611">
        <f>COUNTIF(calls[Customer ID], calls[[#This Row],[Customer ID]])</f>
        <v>59</v>
      </c>
      <c r="O611">
        <f>SUMIF(calls[Customer ID], calls[[#This Row],[Customer ID]], calls[Purchase Amount])</f>
        <v>6518</v>
      </c>
      <c r="P611">
        <f>calls[[#This Row],[call count]]/calls[[#This Row],[Purchase Amount]]</f>
        <v>0.31052631578947371</v>
      </c>
      <c r="Q611">
        <f>COUNTIF(calls[Customer ID],calls[[#This Row],[Customer ID]])</f>
        <v>59</v>
      </c>
      <c r="R611">
        <f>calls[[#This Row],[call count]]/calls[[#This Row],[Purchase Amount]]</f>
        <v>0.31052631578947371</v>
      </c>
    </row>
    <row r="612" spans="1:18" x14ac:dyDescent="0.4">
      <c r="A612" t="s">
        <v>642</v>
      </c>
      <c r="B612" t="s">
        <v>13</v>
      </c>
      <c r="C612">
        <v>154</v>
      </c>
      <c r="D612" s="4" t="s">
        <v>14</v>
      </c>
      <c r="E612" s="5">
        <v>45117</v>
      </c>
      <c r="F612">
        <v>164</v>
      </c>
      <c r="G612">
        <f>AVERAGEIF(calls[Representative], calls[[#This Row],[Representative]], calls[Satisfaction Rating])</f>
        <v>3.9227513227513247</v>
      </c>
      <c r="H612" t="str">
        <f>IF(AVERAGEIF(calls[Representative],calls[[#This Row],[Representative]],calls[Satisfaction Rating])&lt;3.5,"Needs Training","OK")</f>
        <v>OK</v>
      </c>
      <c r="I612">
        <v>4.9000000000000004</v>
      </c>
      <c r="J612">
        <f>IF(MONTH(calls[[#This Row],[Date of Call]])&lt;=6, YEAR(calls[[#This Row],[Date of Call]]), YEAR(calls[[#This Row],[Date of Call]])+1)</f>
        <v>2024</v>
      </c>
      <c r="K612" t="str">
        <f>TEXT(calls[[#This Row],[Date of Call]],"DDDD")</f>
        <v>Monday</v>
      </c>
      <c r="L612" t="str" cm="1">
        <f t="array" ref="L612">_xlfn.IFS(calls[[#This Row],[Duration]]&lt;=10,"under 10 mins",calls[[#This Row],[Duration]]&lt;=30,"10 to 30mins",calls[[#This Row],[Duration]]&lt;=60,"60 to 30mins",calls[[#This Row],[Duration]]&lt;=120,"1 to 2hrs",TRUE,"More than 2 hrs")</f>
        <v>More than 2 hrs</v>
      </c>
      <c r="M612">
        <f>ROUND(calls[[#This Row],[Satisfaction Rating]],0)</f>
        <v>5</v>
      </c>
      <c r="N612">
        <f>COUNTIF(calls[Customer ID], calls[[#This Row],[Customer ID]])</f>
        <v>74</v>
      </c>
      <c r="O612">
        <f>SUMIF(calls[Customer ID], calls[[#This Row],[Customer ID]], calls[Purchase Amount])</f>
        <v>6749</v>
      </c>
      <c r="P612">
        <f>calls[[#This Row],[call count]]/calls[[#This Row],[Purchase Amount]]</f>
        <v>0.45121951219512196</v>
      </c>
      <c r="Q612">
        <f>COUNTIF(calls[Customer ID],calls[[#This Row],[Customer ID]])</f>
        <v>74</v>
      </c>
      <c r="R612">
        <f>calls[[#This Row],[call count]]/calls[[#This Row],[Purchase Amount]]</f>
        <v>0.45121951219512196</v>
      </c>
    </row>
    <row r="613" spans="1:18" x14ac:dyDescent="0.4">
      <c r="A613" t="s">
        <v>643</v>
      </c>
      <c r="B613" t="s">
        <v>84</v>
      </c>
      <c r="C613">
        <v>131</v>
      </c>
      <c r="D613" s="4" t="s">
        <v>9</v>
      </c>
      <c r="E613" s="5">
        <v>45118</v>
      </c>
      <c r="F613">
        <v>76</v>
      </c>
      <c r="G613">
        <f>AVERAGEIF(calls[Representative], calls[[#This Row],[Representative]], calls[Satisfaction Rating])</f>
        <v>3.8706422018348627</v>
      </c>
      <c r="H613" t="str">
        <f>IF(AVERAGEIF(calls[Representative],calls[[#This Row],[Representative]],calls[Satisfaction Rating])&lt;3.5,"Needs Training","OK")</f>
        <v>OK</v>
      </c>
      <c r="I613">
        <v>4.5</v>
      </c>
      <c r="J613">
        <f>IF(MONTH(calls[[#This Row],[Date of Call]])&lt;=6, YEAR(calls[[#This Row],[Date of Call]]), YEAR(calls[[#This Row],[Date of Call]])+1)</f>
        <v>2024</v>
      </c>
      <c r="K613" t="str">
        <f>TEXT(calls[[#This Row],[Date of Call]],"DDDD")</f>
        <v>Tuesday</v>
      </c>
      <c r="L613" t="str" cm="1">
        <f t="array" ref="L613">_xlfn.IFS(calls[[#This Row],[Duration]]&lt;=10,"under 10 mins",calls[[#This Row],[Duration]]&lt;=30,"10 to 30mins",calls[[#This Row],[Duration]]&lt;=60,"60 to 30mins",calls[[#This Row],[Duration]]&lt;=120,"1 to 2hrs",TRUE,"More than 2 hrs")</f>
        <v>More than 2 hrs</v>
      </c>
      <c r="M613">
        <f>ROUND(calls[[#This Row],[Satisfaction Rating]],0)</f>
        <v>5</v>
      </c>
      <c r="N613">
        <f>COUNTIF(calls[Customer ID], calls[[#This Row],[Customer ID]])</f>
        <v>59</v>
      </c>
      <c r="O613">
        <f>SUMIF(calls[Customer ID], calls[[#This Row],[Customer ID]], calls[Purchase Amount])</f>
        <v>5009</v>
      </c>
      <c r="P613">
        <f>calls[[#This Row],[call count]]/calls[[#This Row],[Purchase Amount]]</f>
        <v>0.77631578947368418</v>
      </c>
      <c r="Q613">
        <f>COUNTIF(calls[Customer ID],calls[[#This Row],[Customer ID]])</f>
        <v>59</v>
      </c>
      <c r="R613">
        <f>calls[[#This Row],[call count]]/calls[[#This Row],[Purchase Amount]]</f>
        <v>0.77631578947368418</v>
      </c>
    </row>
    <row r="614" spans="1:18" x14ac:dyDescent="0.4">
      <c r="A614" t="s">
        <v>644</v>
      </c>
      <c r="B614" t="s">
        <v>8</v>
      </c>
      <c r="C614">
        <v>73</v>
      </c>
      <c r="D614" s="4" t="s">
        <v>9</v>
      </c>
      <c r="E614" s="5">
        <v>45119</v>
      </c>
      <c r="F614">
        <v>87</v>
      </c>
      <c r="G614">
        <f>AVERAGEIF(calls[Representative], calls[[#This Row],[Representative]], calls[Satisfaction Rating])</f>
        <v>3.8706422018348627</v>
      </c>
      <c r="H614" t="str">
        <f>IF(AVERAGEIF(calls[Representative],calls[[#This Row],[Representative]],calls[Satisfaction Rating])&lt;3.5,"Needs Training","OK")</f>
        <v>OK</v>
      </c>
      <c r="I614">
        <v>4.8</v>
      </c>
      <c r="J614">
        <f>IF(MONTH(calls[[#This Row],[Date of Call]])&lt;=6, YEAR(calls[[#This Row],[Date of Call]]), YEAR(calls[[#This Row],[Date of Call]])+1)</f>
        <v>2024</v>
      </c>
      <c r="K614" t="str">
        <f>TEXT(calls[[#This Row],[Date of Call]],"DDDD")</f>
        <v>Wednesday</v>
      </c>
      <c r="L614" t="str" cm="1">
        <f t="array" ref="L614">_xlfn.IFS(calls[[#This Row],[Duration]]&lt;=10,"under 10 mins",calls[[#This Row],[Duration]]&lt;=30,"10 to 30mins",calls[[#This Row],[Duration]]&lt;=60,"60 to 30mins",calls[[#This Row],[Duration]]&lt;=120,"1 to 2hrs",TRUE,"More than 2 hrs")</f>
        <v>1 to 2hrs</v>
      </c>
      <c r="M614">
        <f>ROUND(calls[[#This Row],[Satisfaction Rating]],0)</f>
        <v>5</v>
      </c>
      <c r="N614">
        <f>COUNTIF(calls[Customer ID], calls[[#This Row],[Customer ID]])</f>
        <v>79</v>
      </c>
      <c r="O614">
        <f>SUMIF(calls[Customer ID], calls[[#This Row],[Customer ID]], calls[Purchase Amount])</f>
        <v>7747</v>
      </c>
      <c r="P614">
        <f>calls[[#This Row],[call count]]/calls[[#This Row],[Purchase Amount]]</f>
        <v>0.90804597701149425</v>
      </c>
      <c r="Q614">
        <f>COUNTIF(calls[Customer ID],calls[[#This Row],[Customer ID]])</f>
        <v>79</v>
      </c>
      <c r="R614">
        <f>calls[[#This Row],[call count]]/calls[[#This Row],[Purchase Amount]]</f>
        <v>0.90804597701149425</v>
      </c>
    </row>
    <row r="615" spans="1:18" x14ac:dyDescent="0.4">
      <c r="A615" t="s">
        <v>645</v>
      </c>
      <c r="B615" t="s">
        <v>30</v>
      </c>
      <c r="C615">
        <v>45</v>
      </c>
      <c r="D615" s="4" t="s">
        <v>27</v>
      </c>
      <c r="E615" s="5">
        <v>45119</v>
      </c>
      <c r="F615">
        <v>84</v>
      </c>
      <c r="G615">
        <f>AVERAGEIF(calls[Representative], calls[[#This Row],[Representative]], calls[Satisfaction Rating])</f>
        <v>3.8589371980676304</v>
      </c>
      <c r="H615" t="str">
        <f>IF(AVERAGEIF(calls[Representative],calls[[#This Row],[Representative]],calls[Satisfaction Rating])&lt;3.5,"Needs Training","OK")</f>
        <v>OK</v>
      </c>
      <c r="I615">
        <v>4.8</v>
      </c>
      <c r="J615">
        <f>IF(MONTH(calls[[#This Row],[Date of Call]])&lt;=6, YEAR(calls[[#This Row],[Date of Call]]), YEAR(calls[[#This Row],[Date of Call]])+1)</f>
        <v>2024</v>
      </c>
      <c r="K615" t="str">
        <f>TEXT(calls[[#This Row],[Date of Call]],"DDDD")</f>
        <v>Wednesday</v>
      </c>
      <c r="L615" t="str" cm="1">
        <f t="array" ref="L615">_xlfn.IFS(calls[[#This Row],[Duration]]&lt;=10,"under 10 mins",calls[[#This Row],[Duration]]&lt;=30,"10 to 30mins",calls[[#This Row],[Duration]]&lt;=60,"60 to 30mins",calls[[#This Row],[Duration]]&lt;=120,"1 to 2hrs",TRUE,"More than 2 hrs")</f>
        <v>60 to 30mins</v>
      </c>
      <c r="M615">
        <f>ROUND(calls[[#This Row],[Satisfaction Rating]],0)</f>
        <v>5</v>
      </c>
      <c r="N615">
        <f>COUNTIF(calls[Customer ID], calls[[#This Row],[Customer ID]])</f>
        <v>69</v>
      </c>
      <c r="O615">
        <f>SUMIF(calls[Customer ID], calls[[#This Row],[Customer ID]], calls[Purchase Amount])</f>
        <v>7230</v>
      </c>
      <c r="P615">
        <f>calls[[#This Row],[call count]]/calls[[#This Row],[Purchase Amount]]</f>
        <v>0.8214285714285714</v>
      </c>
      <c r="Q615">
        <f>COUNTIF(calls[Customer ID],calls[[#This Row],[Customer ID]])</f>
        <v>69</v>
      </c>
      <c r="R615">
        <f>calls[[#This Row],[call count]]/calls[[#This Row],[Purchase Amount]]</f>
        <v>0.8214285714285714</v>
      </c>
    </row>
    <row r="616" spans="1:18" x14ac:dyDescent="0.4">
      <c r="A616" t="s">
        <v>646</v>
      </c>
      <c r="B616" t="s">
        <v>44</v>
      </c>
      <c r="C616">
        <v>114</v>
      </c>
      <c r="D616" s="4" t="s">
        <v>23</v>
      </c>
      <c r="E616" s="5">
        <v>45119</v>
      </c>
      <c r="F616">
        <v>114</v>
      </c>
      <c r="G616">
        <f>AVERAGEIF(calls[Representative], calls[[#This Row],[Representative]], calls[Satisfaction Rating])</f>
        <v>3.8973118279569863</v>
      </c>
      <c r="H616" t="str">
        <f>IF(AVERAGEIF(calls[Representative],calls[[#This Row],[Representative]],calls[Satisfaction Rating])&lt;3.5,"Needs Training","OK")</f>
        <v>OK</v>
      </c>
      <c r="I616">
        <v>3.9</v>
      </c>
      <c r="J616">
        <f>IF(MONTH(calls[[#This Row],[Date of Call]])&lt;=6, YEAR(calls[[#This Row],[Date of Call]]), YEAR(calls[[#This Row],[Date of Call]])+1)</f>
        <v>2024</v>
      </c>
      <c r="K616" t="str">
        <f>TEXT(calls[[#This Row],[Date of Call]],"DDDD")</f>
        <v>Wednesday</v>
      </c>
      <c r="L616" t="str" cm="1">
        <f t="array" ref="L616">_xlfn.IFS(calls[[#This Row],[Duration]]&lt;=10,"under 10 mins",calls[[#This Row],[Duration]]&lt;=30,"10 to 30mins",calls[[#This Row],[Duration]]&lt;=60,"60 to 30mins",calls[[#This Row],[Duration]]&lt;=120,"1 to 2hrs",TRUE,"More than 2 hrs")</f>
        <v>1 to 2hrs</v>
      </c>
      <c r="M616">
        <f>ROUND(calls[[#This Row],[Satisfaction Rating]],0)</f>
        <v>4</v>
      </c>
      <c r="N616">
        <f>COUNTIF(calls[Customer ID], calls[[#This Row],[Customer ID]])</f>
        <v>62</v>
      </c>
      <c r="O616">
        <f>SUMIF(calls[Customer ID], calls[[#This Row],[Customer ID]], calls[Purchase Amount])</f>
        <v>6176</v>
      </c>
      <c r="P616">
        <f>calls[[#This Row],[call count]]/calls[[#This Row],[Purchase Amount]]</f>
        <v>0.54385964912280704</v>
      </c>
      <c r="Q616">
        <f>COUNTIF(calls[Customer ID],calls[[#This Row],[Customer ID]])</f>
        <v>62</v>
      </c>
      <c r="R616">
        <f>calls[[#This Row],[call count]]/calls[[#This Row],[Purchase Amount]]</f>
        <v>0.54385964912280704</v>
      </c>
    </row>
    <row r="617" spans="1:18" x14ac:dyDescent="0.4">
      <c r="A617" t="s">
        <v>647</v>
      </c>
      <c r="B617" t="s">
        <v>40</v>
      </c>
      <c r="C617">
        <v>69</v>
      </c>
      <c r="D617" s="4" t="s">
        <v>9</v>
      </c>
      <c r="E617" s="5">
        <v>45120</v>
      </c>
      <c r="F617">
        <v>56</v>
      </c>
      <c r="G617">
        <f>AVERAGEIF(calls[Representative], calls[[#This Row],[Representative]], calls[Satisfaction Rating])</f>
        <v>3.8706422018348627</v>
      </c>
      <c r="H617" t="str">
        <f>IF(AVERAGEIF(calls[Representative],calls[[#This Row],[Representative]],calls[Satisfaction Rating])&lt;3.5,"Needs Training","OK")</f>
        <v>OK</v>
      </c>
      <c r="I617">
        <v>3.9</v>
      </c>
      <c r="J617">
        <f>IF(MONTH(calls[[#This Row],[Date of Call]])&lt;=6, YEAR(calls[[#This Row],[Date of Call]]), YEAR(calls[[#This Row],[Date of Call]])+1)</f>
        <v>2024</v>
      </c>
      <c r="K617" t="str">
        <f>TEXT(calls[[#This Row],[Date of Call]],"DDDD")</f>
        <v>Thursday</v>
      </c>
      <c r="L617" t="str" cm="1">
        <f t="array" ref="L617">_xlfn.IFS(calls[[#This Row],[Duration]]&lt;=10,"under 10 mins",calls[[#This Row],[Duration]]&lt;=30,"10 to 30mins",calls[[#This Row],[Duration]]&lt;=60,"60 to 30mins",calls[[#This Row],[Duration]]&lt;=120,"1 to 2hrs",TRUE,"More than 2 hrs")</f>
        <v>1 to 2hrs</v>
      </c>
      <c r="M617">
        <f>ROUND(calls[[#This Row],[Satisfaction Rating]],0)</f>
        <v>4</v>
      </c>
      <c r="N617">
        <f>COUNTIF(calls[Customer ID], calls[[#This Row],[Customer ID]])</f>
        <v>69</v>
      </c>
      <c r="O617">
        <f>SUMIF(calls[Customer ID], calls[[#This Row],[Customer ID]], calls[Purchase Amount])</f>
        <v>6601</v>
      </c>
      <c r="P617">
        <f>calls[[#This Row],[call count]]/calls[[#This Row],[Purchase Amount]]</f>
        <v>1.2321428571428572</v>
      </c>
      <c r="Q617">
        <f>COUNTIF(calls[Customer ID],calls[[#This Row],[Customer ID]])</f>
        <v>69</v>
      </c>
      <c r="R617">
        <f>calls[[#This Row],[call count]]/calls[[#This Row],[Purchase Amount]]</f>
        <v>1.2321428571428572</v>
      </c>
    </row>
    <row r="618" spans="1:18" x14ac:dyDescent="0.4">
      <c r="A618" t="s">
        <v>648</v>
      </c>
      <c r="B618" t="s">
        <v>84</v>
      </c>
      <c r="C618">
        <v>33</v>
      </c>
      <c r="D618" s="4" t="s">
        <v>14</v>
      </c>
      <c r="E618" s="5">
        <v>45120</v>
      </c>
      <c r="F618">
        <v>27</v>
      </c>
      <c r="G618">
        <f>AVERAGEIF(calls[Representative], calls[[#This Row],[Representative]], calls[Satisfaction Rating])</f>
        <v>3.9227513227513247</v>
      </c>
      <c r="H618" t="str">
        <f>IF(AVERAGEIF(calls[Representative],calls[[#This Row],[Representative]],calls[Satisfaction Rating])&lt;3.5,"Needs Training","OK")</f>
        <v>OK</v>
      </c>
      <c r="I618">
        <v>3.7</v>
      </c>
      <c r="J618">
        <f>IF(MONTH(calls[[#This Row],[Date of Call]])&lt;=6, YEAR(calls[[#This Row],[Date of Call]]), YEAR(calls[[#This Row],[Date of Call]])+1)</f>
        <v>2024</v>
      </c>
      <c r="K618" t="str">
        <f>TEXT(calls[[#This Row],[Date of Call]],"DDDD")</f>
        <v>Thursday</v>
      </c>
      <c r="L618" t="str" cm="1">
        <f t="array" ref="L618">_xlfn.IFS(calls[[#This Row],[Duration]]&lt;=10,"under 10 mins",calls[[#This Row],[Duration]]&lt;=30,"10 to 30mins",calls[[#This Row],[Duration]]&lt;=60,"60 to 30mins",calls[[#This Row],[Duration]]&lt;=120,"1 to 2hrs",TRUE,"More than 2 hrs")</f>
        <v>60 to 30mins</v>
      </c>
      <c r="M618">
        <f>ROUND(calls[[#This Row],[Satisfaction Rating]],0)</f>
        <v>4</v>
      </c>
      <c r="N618">
        <f>COUNTIF(calls[Customer ID], calls[[#This Row],[Customer ID]])</f>
        <v>59</v>
      </c>
      <c r="O618">
        <f>SUMIF(calls[Customer ID], calls[[#This Row],[Customer ID]], calls[Purchase Amount])</f>
        <v>5009</v>
      </c>
      <c r="P618">
        <f>calls[[#This Row],[call count]]/calls[[#This Row],[Purchase Amount]]</f>
        <v>2.1851851851851851</v>
      </c>
      <c r="Q618">
        <f>COUNTIF(calls[Customer ID],calls[[#This Row],[Customer ID]])</f>
        <v>59</v>
      </c>
      <c r="R618">
        <f>calls[[#This Row],[call count]]/calls[[#This Row],[Purchase Amount]]</f>
        <v>2.1851851851851851</v>
      </c>
    </row>
    <row r="619" spans="1:18" x14ac:dyDescent="0.4">
      <c r="A619" t="s">
        <v>649</v>
      </c>
      <c r="B619" t="s">
        <v>6</v>
      </c>
      <c r="C619">
        <v>31</v>
      </c>
      <c r="D619" s="4" t="s">
        <v>2</v>
      </c>
      <c r="E619" s="5">
        <v>45121</v>
      </c>
      <c r="F619">
        <v>84</v>
      </c>
      <c r="G619">
        <f>AVERAGEIF(calls[Representative], calls[[#This Row],[Representative]], calls[Satisfaction Rating])</f>
        <v>3.8824999999999998</v>
      </c>
      <c r="H619" t="str">
        <f>IF(AVERAGEIF(calls[Representative],calls[[#This Row],[Representative]],calls[Satisfaction Rating])&lt;3.5,"Needs Training","OK")</f>
        <v>OK</v>
      </c>
      <c r="I619">
        <v>4.8</v>
      </c>
      <c r="J619">
        <f>IF(MONTH(calls[[#This Row],[Date of Call]])&lt;=6, YEAR(calls[[#This Row],[Date of Call]]), YEAR(calls[[#This Row],[Date of Call]])+1)</f>
        <v>2024</v>
      </c>
      <c r="K619" t="str">
        <f>TEXT(calls[[#This Row],[Date of Call]],"DDDD")</f>
        <v>Friday</v>
      </c>
      <c r="L619" t="str" cm="1">
        <f t="array" ref="L619">_xlfn.IFS(calls[[#This Row],[Duration]]&lt;=10,"under 10 mins",calls[[#This Row],[Duration]]&lt;=30,"10 to 30mins",calls[[#This Row],[Duration]]&lt;=60,"60 to 30mins",calls[[#This Row],[Duration]]&lt;=120,"1 to 2hrs",TRUE,"More than 2 hrs")</f>
        <v>60 to 30mins</v>
      </c>
      <c r="M619">
        <f>ROUND(calls[[#This Row],[Satisfaction Rating]],0)</f>
        <v>5</v>
      </c>
      <c r="N619">
        <f>COUNTIF(calls[Customer ID], calls[[#This Row],[Customer ID]])</f>
        <v>82</v>
      </c>
      <c r="O619">
        <f>SUMIF(calls[Customer ID], calls[[#This Row],[Customer ID]], calls[Purchase Amount])</f>
        <v>7689</v>
      </c>
      <c r="P619">
        <f>calls[[#This Row],[call count]]/calls[[#This Row],[Purchase Amount]]</f>
        <v>0.97619047619047616</v>
      </c>
      <c r="Q619">
        <f>COUNTIF(calls[Customer ID],calls[[#This Row],[Customer ID]])</f>
        <v>82</v>
      </c>
      <c r="R619">
        <f>calls[[#This Row],[call count]]/calls[[#This Row],[Purchase Amount]]</f>
        <v>0.97619047619047616</v>
      </c>
    </row>
    <row r="620" spans="1:18" x14ac:dyDescent="0.4">
      <c r="A620" t="s">
        <v>650</v>
      </c>
      <c r="B620" t="s">
        <v>30</v>
      </c>
      <c r="C620">
        <v>168</v>
      </c>
      <c r="D620" s="4" t="s">
        <v>14</v>
      </c>
      <c r="E620" s="5">
        <v>45121</v>
      </c>
      <c r="F620">
        <v>72</v>
      </c>
      <c r="G620">
        <f>AVERAGEIF(calls[Representative], calls[[#This Row],[Representative]], calls[Satisfaction Rating])</f>
        <v>3.9227513227513247</v>
      </c>
      <c r="H620" t="str">
        <f>IF(AVERAGEIF(calls[Representative],calls[[#This Row],[Representative]],calls[Satisfaction Rating])&lt;3.5,"Needs Training","OK")</f>
        <v>OK</v>
      </c>
      <c r="I620">
        <v>3.5</v>
      </c>
      <c r="J620">
        <f>IF(MONTH(calls[[#This Row],[Date of Call]])&lt;=6, YEAR(calls[[#This Row],[Date of Call]]), YEAR(calls[[#This Row],[Date of Call]])+1)</f>
        <v>2024</v>
      </c>
      <c r="K620" t="str">
        <f>TEXT(calls[[#This Row],[Date of Call]],"DDDD")</f>
        <v>Friday</v>
      </c>
      <c r="L620" t="str" cm="1">
        <f t="array" ref="L620">_xlfn.IFS(calls[[#This Row],[Duration]]&lt;=10,"under 10 mins",calls[[#This Row],[Duration]]&lt;=30,"10 to 30mins",calls[[#This Row],[Duration]]&lt;=60,"60 to 30mins",calls[[#This Row],[Duration]]&lt;=120,"1 to 2hrs",TRUE,"More than 2 hrs")</f>
        <v>More than 2 hrs</v>
      </c>
      <c r="M620">
        <f>ROUND(calls[[#This Row],[Satisfaction Rating]],0)</f>
        <v>4</v>
      </c>
      <c r="N620">
        <f>COUNTIF(calls[Customer ID], calls[[#This Row],[Customer ID]])</f>
        <v>69</v>
      </c>
      <c r="O620">
        <f>SUMIF(calls[Customer ID], calls[[#This Row],[Customer ID]], calls[Purchase Amount])</f>
        <v>7230</v>
      </c>
      <c r="P620">
        <f>calls[[#This Row],[call count]]/calls[[#This Row],[Purchase Amount]]</f>
        <v>0.95833333333333337</v>
      </c>
      <c r="Q620">
        <f>COUNTIF(calls[Customer ID],calls[[#This Row],[Customer ID]])</f>
        <v>69</v>
      </c>
      <c r="R620">
        <f>calls[[#This Row],[call count]]/calls[[#This Row],[Purchase Amount]]</f>
        <v>0.95833333333333337</v>
      </c>
    </row>
    <row r="621" spans="1:18" x14ac:dyDescent="0.4">
      <c r="A621" t="s">
        <v>651</v>
      </c>
      <c r="B621" t="s">
        <v>8</v>
      </c>
      <c r="C621">
        <v>111</v>
      </c>
      <c r="D621" s="4" t="s">
        <v>23</v>
      </c>
      <c r="E621" s="5">
        <v>45122</v>
      </c>
      <c r="F621">
        <v>126</v>
      </c>
      <c r="G621">
        <f>AVERAGEIF(calls[Representative], calls[[#This Row],[Representative]], calls[Satisfaction Rating])</f>
        <v>3.8973118279569863</v>
      </c>
      <c r="H621" t="str">
        <f>IF(AVERAGEIF(calls[Representative],calls[[#This Row],[Representative]],calls[Satisfaction Rating])&lt;3.5,"Needs Training","OK")</f>
        <v>OK</v>
      </c>
      <c r="I621">
        <v>4.2</v>
      </c>
      <c r="J621">
        <f>IF(MONTH(calls[[#This Row],[Date of Call]])&lt;=6, YEAR(calls[[#This Row],[Date of Call]]), YEAR(calls[[#This Row],[Date of Call]])+1)</f>
        <v>2024</v>
      </c>
      <c r="K621" t="str">
        <f>TEXT(calls[[#This Row],[Date of Call]],"DDDD")</f>
        <v>Saturday</v>
      </c>
      <c r="L621" t="str" cm="1">
        <f t="array" ref="L621">_xlfn.IFS(calls[[#This Row],[Duration]]&lt;=10,"under 10 mins",calls[[#This Row],[Duration]]&lt;=30,"10 to 30mins",calls[[#This Row],[Duration]]&lt;=60,"60 to 30mins",calls[[#This Row],[Duration]]&lt;=120,"1 to 2hrs",TRUE,"More than 2 hrs")</f>
        <v>1 to 2hrs</v>
      </c>
      <c r="M621">
        <f>ROUND(calls[[#This Row],[Satisfaction Rating]],0)</f>
        <v>4</v>
      </c>
      <c r="N621">
        <f>COUNTIF(calls[Customer ID], calls[[#This Row],[Customer ID]])</f>
        <v>79</v>
      </c>
      <c r="O621">
        <f>SUMIF(calls[Customer ID], calls[[#This Row],[Customer ID]], calls[Purchase Amount])</f>
        <v>7747</v>
      </c>
      <c r="P621">
        <f>calls[[#This Row],[call count]]/calls[[#This Row],[Purchase Amount]]</f>
        <v>0.62698412698412698</v>
      </c>
      <c r="Q621">
        <f>COUNTIF(calls[Customer ID],calls[[#This Row],[Customer ID]])</f>
        <v>79</v>
      </c>
      <c r="R621">
        <f>calls[[#This Row],[call count]]/calls[[#This Row],[Purchase Amount]]</f>
        <v>0.62698412698412698</v>
      </c>
    </row>
    <row r="622" spans="1:18" x14ac:dyDescent="0.4">
      <c r="A622" t="s">
        <v>652</v>
      </c>
      <c r="B622" t="s">
        <v>6</v>
      </c>
      <c r="C622">
        <v>80</v>
      </c>
      <c r="D622" s="4" t="s">
        <v>14</v>
      </c>
      <c r="E622" s="5">
        <v>45123</v>
      </c>
      <c r="F622">
        <v>88</v>
      </c>
      <c r="G622">
        <f>AVERAGEIF(calls[Representative], calls[[#This Row],[Representative]], calls[Satisfaction Rating])</f>
        <v>3.9227513227513247</v>
      </c>
      <c r="H622" t="str">
        <f>IF(AVERAGEIF(calls[Representative],calls[[#This Row],[Representative]],calls[Satisfaction Rating])&lt;3.5,"Needs Training","OK")</f>
        <v>OK</v>
      </c>
      <c r="I622">
        <v>4.9000000000000004</v>
      </c>
      <c r="J622">
        <f>IF(MONTH(calls[[#This Row],[Date of Call]])&lt;=6, YEAR(calls[[#This Row],[Date of Call]]), YEAR(calls[[#This Row],[Date of Call]])+1)</f>
        <v>2024</v>
      </c>
      <c r="K622" t="str">
        <f>TEXT(calls[[#This Row],[Date of Call]],"DDDD")</f>
        <v>Sunday</v>
      </c>
      <c r="L622" t="str" cm="1">
        <f t="array" ref="L622">_xlfn.IFS(calls[[#This Row],[Duration]]&lt;=10,"under 10 mins",calls[[#This Row],[Duration]]&lt;=30,"10 to 30mins",calls[[#This Row],[Duration]]&lt;=60,"60 to 30mins",calls[[#This Row],[Duration]]&lt;=120,"1 to 2hrs",TRUE,"More than 2 hrs")</f>
        <v>1 to 2hrs</v>
      </c>
      <c r="M622">
        <f>ROUND(calls[[#This Row],[Satisfaction Rating]],0)</f>
        <v>5</v>
      </c>
      <c r="N622">
        <f>COUNTIF(calls[Customer ID], calls[[#This Row],[Customer ID]])</f>
        <v>82</v>
      </c>
      <c r="O622">
        <f>SUMIF(calls[Customer ID], calls[[#This Row],[Customer ID]], calls[Purchase Amount])</f>
        <v>7689</v>
      </c>
      <c r="P622">
        <f>calls[[#This Row],[call count]]/calls[[#This Row],[Purchase Amount]]</f>
        <v>0.93181818181818177</v>
      </c>
      <c r="Q622">
        <f>COUNTIF(calls[Customer ID],calls[[#This Row],[Customer ID]])</f>
        <v>82</v>
      </c>
      <c r="R622">
        <f>calls[[#This Row],[call count]]/calls[[#This Row],[Purchase Amount]]</f>
        <v>0.93181818181818177</v>
      </c>
    </row>
    <row r="623" spans="1:18" x14ac:dyDescent="0.4">
      <c r="A623" t="s">
        <v>653</v>
      </c>
      <c r="B623" t="s">
        <v>1</v>
      </c>
      <c r="C623">
        <v>37</v>
      </c>
      <c r="D623" s="4" t="s">
        <v>14</v>
      </c>
      <c r="E623" s="5">
        <v>45123</v>
      </c>
      <c r="F623">
        <v>124</v>
      </c>
      <c r="G623">
        <f>AVERAGEIF(calls[Representative], calls[[#This Row],[Representative]], calls[Satisfaction Rating])</f>
        <v>3.9227513227513247</v>
      </c>
      <c r="H623" t="str">
        <f>IF(AVERAGEIF(calls[Representative],calls[[#This Row],[Representative]],calls[Satisfaction Rating])&lt;3.5,"Needs Training","OK")</f>
        <v>OK</v>
      </c>
      <c r="I623">
        <v>4.5999999999999996</v>
      </c>
      <c r="J623">
        <f>IF(MONTH(calls[[#This Row],[Date of Call]])&lt;=6, YEAR(calls[[#This Row],[Date of Call]]), YEAR(calls[[#This Row],[Date of Call]])+1)</f>
        <v>2024</v>
      </c>
      <c r="K623" t="str">
        <f>TEXT(calls[[#This Row],[Date of Call]],"DDDD")</f>
        <v>Sunday</v>
      </c>
      <c r="L623" t="str" cm="1">
        <f t="array" ref="L623">_xlfn.IFS(calls[[#This Row],[Duration]]&lt;=10,"under 10 mins",calls[[#This Row],[Duration]]&lt;=30,"10 to 30mins",calls[[#This Row],[Duration]]&lt;=60,"60 to 30mins",calls[[#This Row],[Duration]]&lt;=120,"1 to 2hrs",TRUE,"More than 2 hrs")</f>
        <v>60 to 30mins</v>
      </c>
      <c r="M623">
        <f>ROUND(calls[[#This Row],[Satisfaction Rating]],0)</f>
        <v>5</v>
      </c>
      <c r="N623">
        <f>COUNTIF(calls[Customer ID], calls[[#This Row],[Customer ID]])</f>
        <v>50</v>
      </c>
      <c r="O623">
        <f>SUMIF(calls[Customer ID], calls[[#This Row],[Customer ID]], calls[Purchase Amount])</f>
        <v>4804</v>
      </c>
      <c r="P623">
        <f>calls[[#This Row],[call count]]/calls[[#This Row],[Purchase Amount]]</f>
        <v>0.40322580645161288</v>
      </c>
      <c r="Q623">
        <f>COUNTIF(calls[Customer ID],calls[[#This Row],[Customer ID]])</f>
        <v>50</v>
      </c>
      <c r="R623">
        <f>calls[[#This Row],[call count]]/calls[[#This Row],[Purchase Amount]]</f>
        <v>0.40322580645161288</v>
      </c>
    </row>
    <row r="624" spans="1:18" x14ac:dyDescent="0.4">
      <c r="A624" t="s">
        <v>654</v>
      </c>
      <c r="B624" t="s">
        <v>64</v>
      </c>
      <c r="C624">
        <v>137</v>
      </c>
      <c r="D624" s="4" t="s">
        <v>14</v>
      </c>
      <c r="E624" s="5">
        <v>45124</v>
      </c>
      <c r="F624">
        <v>84</v>
      </c>
      <c r="G624">
        <f>AVERAGEIF(calls[Representative], calls[[#This Row],[Representative]], calls[Satisfaction Rating])</f>
        <v>3.9227513227513247</v>
      </c>
      <c r="H624" t="str">
        <f>IF(AVERAGEIF(calls[Representative],calls[[#This Row],[Representative]],calls[Satisfaction Rating])&lt;3.5,"Needs Training","OK")</f>
        <v>OK</v>
      </c>
      <c r="I624">
        <v>2.6</v>
      </c>
      <c r="J624">
        <f>IF(MONTH(calls[[#This Row],[Date of Call]])&lt;=6, YEAR(calls[[#This Row],[Date of Call]]), YEAR(calls[[#This Row],[Date of Call]])+1)</f>
        <v>2024</v>
      </c>
      <c r="K624" t="str">
        <f>TEXT(calls[[#This Row],[Date of Call]],"DDDD")</f>
        <v>Monday</v>
      </c>
      <c r="L624" t="str" cm="1">
        <f t="array" ref="L624">_xlfn.IFS(calls[[#This Row],[Duration]]&lt;=10,"under 10 mins",calls[[#This Row],[Duration]]&lt;=30,"10 to 30mins",calls[[#This Row],[Duration]]&lt;=60,"60 to 30mins",calls[[#This Row],[Duration]]&lt;=120,"1 to 2hrs",TRUE,"More than 2 hrs")</f>
        <v>More than 2 hrs</v>
      </c>
      <c r="M624">
        <f>ROUND(calls[[#This Row],[Satisfaction Rating]],0)</f>
        <v>3</v>
      </c>
      <c r="N624">
        <f>COUNTIF(calls[Customer ID], calls[[#This Row],[Customer ID]])</f>
        <v>65</v>
      </c>
      <c r="O624">
        <f>SUMIF(calls[Customer ID], calls[[#This Row],[Customer ID]], calls[Purchase Amount])</f>
        <v>6785</v>
      </c>
      <c r="P624">
        <f>calls[[#This Row],[call count]]/calls[[#This Row],[Purchase Amount]]</f>
        <v>0.77380952380952384</v>
      </c>
      <c r="Q624">
        <f>COUNTIF(calls[Customer ID],calls[[#This Row],[Customer ID]])</f>
        <v>65</v>
      </c>
      <c r="R624">
        <f>calls[[#This Row],[call count]]/calls[[#This Row],[Purchase Amount]]</f>
        <v>0.77380952380952384</v>
      </c>
    </row>
    <row r="625" spans="1:18" x14ac:dyDescent="0.4">
      <c r="A625" t="s">
        <v>655</v>
      </c>
      <c r="B625" t="s">
        <v>40</v>
      </c>
      <c r="C625">
        <v>123</v>
      </c>
      <c r="D625" s="4" t="s">
        <v>23</v>
      </c>
      <c r="E625" s="5">
        <v>45124</v>
      </c>
      <c r="F625">
        <v>80</v>
      </c>
      <c r="G625">
        <f>AVERAGEIF(calls[Representative], calls[[#This Row],[Representative]], calls[Satisfaction Rating])</f>
        <v>3.8973118279569863</v>
      </c>
      <c r="H625" t="str">
        <f>IF(AVERAGEIF(calls[Representative],calls[[#This Row],[Representative]],calls[Satisfaction Rating])&lt;3.5,"Needs Training","OK")</f>
        <v>OK</v>
      </c>
      <c r="I625">
        <v>2.7</v>
      </c>
      <c r="J625">
        <f>IF(MONTH(calls[[#This Row],[Date of Call]])&lt;=6, YEAR(calls[[#This Row],[Date of Call]]), YEAR(calls[[#This Row],[Date of Call]])+1)</f>
        <v>2024</v>
      </c>
      <c r="K625" t="str">
        <f>TEXT(calls[[#This Row],[Date of Call]],"DDDD")</f>
        <v>Monday</v>
      </c>
      <c r="L625" t="str" cm="1">
        <f t="array" ref="L625">_xlfn.IFS(calls[[#This Row],[Duration]]&lt;=10,"under 10 mins",calls[[#This Row],[Duration]]&lt;=30,"10 to 30mins",calls[[#This Row],[Duration]]&lt;=60,"60 to 30mins",calls[[#This Row],[Duration]]&lt;=120,"1 to 2hrs",TRUE,"More than 2 hrs")</f>
        <v>More than 2 hrs</v>
      </c>
      <c r="M625">
        <f>ROUND(calls[[#This Row],[Satisfaction Rating]],0)</f>
        <v>3</v>
      </c>
      <c r="N625">
        <f>COUNTIF(calls[Customer ID], calls[[#This Row],[Customer ID]])</f>
        <v>69</v>
      </c>
      <c r="O625">
        <f>SUMIF(calls[Customer ID], calls[[#This Row],[Customer ID]], calls[Purchase Amount])</f>
        <v>6601</v>
      </c>
      <c r="P625">
        <f>calls[[#This Row],[call count]]/calls[[#This Row],[Purchase Amount]]</f>
        <v>0.86250000000000004</v>
      </c>
      <c r="Q625">
        <f>COUNTIF(calls[Customer ID],calls[[#This Row],[Customer ID]])</f>
        <v>69</v>
      </c>
      <c r="R625">
        <f>calls[[#This Row],[call count]]/calls[[#This Row],[Purchase Amount]]</f>
        <v>0.86250000000000004</v>
      </c>
    </row>
    <row r="626" spans="1:18" x14ac:dyDescent="0.4">
      <c r="A626" t="s">
        <v>656</v>
      </c>
      <c r="B626" t="s">
        <v>54</v>
      </c>
      <c r="C626">
        <v>105</v>
      </c>
      <c r="D626" s="4" t="s">
        <v>23</v>
      </c>
      <c r="E626" s="5">
        <v>45125</v>
      </c>
      <c r="F626">
        <v>176</v>
      </c>
      <c r="G626">
        <f>AVERAGEIF(calls[Representative], calls[[#This Row],[Representative]], calls[Satisfaction Rating])</f>
        <v>3.8973118279569863</v>
      </c>
      <c r="H626" t="str">
        <f>IF(AVERAGEIF(calls[Representative],calls[[#This Row],[Representative]],calls[Satisfaction Rating])&lt;3.5,"Needs Training","OK")</f>
        <v>OK</v>
      </c>
      <c r="I626">
        <v>4.7</v>
      </c>
      <c r="J626">
        <f>IF(MONTH(calls[[#This Row],[Date of Call]])&lt;=6, YEAR(calls[[#This Row],[Date of Call]]), YEAR(calls[[#This Row],[Date of Call]])+1)</f>
        <v>2024</v>
      </c>
      <c r="K626" t="str">
        <f>TEXT(calls[[#This Row],[Date of Call]],"DDDD")</f>
        <v>Tuesday</v>
      </c>
      <c r="L626" t="str" cm="1">
        <f t="array" ref="L626">_xlfn.IFS(calls[[#This Row],[Duration]]&lt;=10,"under 10 mins",calls[[#This Row],[Duration]]&lt;=30,"10 to 30mins",calls[[#This Row],[Duration]]&lt;=60,"60 to 30mins",calls[[#This Row],[Duration]]&lt;=120,"1 to 2hrs",TRUE,"More than 2 hrs")</f>
        <v>1 to 2hrs</v>
      </c>
      <c r="M626">
        <f>ROUND(calls[[#This Row],[Satisfaction Rating]],0)</f>
        <v>5</v>
      </c>
      <c r="N626">
        <f>COUNTIF(calls[Customer ID], calls[[#This Row],[Customer ID]])</f>
        <v>70</v>
      </c>
      <c r="O626">
        <f>SUMIF(calls[Customer ID], calls[[#This Row],[Customer ID]], calls[Purchase Amount])</f>
        <v>6819</v>
      </c>
      <c r="P626">
        <f>calls[[#This Row],[call count]]/calls[[#This Row],[Purchase Amount]]</f>
        <v>0.39772727272727271</v>
      </c>
      <c r="Q626">
        <f>COUNTIF(calls[Customer ID],calls[[#This Row],[Customer ID]])</f>
        <v>70</v>
      </c>
      <c r="R626">
        <f>calls[[#This Row],[call count]]/calls[[#This Row],[Purchase Amount]]</f>
        <v>0.39772727272727271</v>
      </c>
    </row>
    <row r="627" spans="1:18" x14ac:dyDescent="0.4">
      <c r="A627" t="s">
        <v>657</v>
      </c>
      <c r="B627" t="s">
        <v>1</v>
      </c>
      <c r="C627">
        <v>76</v>
      </c>
      <c r="D627" s="4" t="s">
        <v>27</v>
      </c>
      <c r="E627" s="5">
        <v>45126</v>
      </c>
      <c r="F627">
        <v>84</v>
      </c>
      <c r="G627">
        <f>AVERAGEIF(calls[Representative], calls[[#This Row],[Representative]], calls[Satisfaction Rating])</f>
        <v>3.8589371980676304</v>
      </c>
      <c r="H627" t="str">
        <f>IF(AVERAGEIF(calls[Representative],calls[[#This Row],[Representative]],calls[Satisfaction Rating])&lt;3.5,"Needs Training","OK")</f>
        <v>OK</v>
      </c>
      <c r="I627">
        <v>3.9</v>
      </c>
      <c r="J627">
        <f>IF(MONTH(calls[[#This Row],[Date of Call]])&lt;=6, YEAR(calls[[#This Row],[Date of Call]]), YEAR(calls[[#This Row],[Date of Call]])+1)</f>
        <v>2024</v>
      </c>
      <c r="K627" t="str">
        <f>TEXT(calls[[#This Row],[Date of Call]],"DDDD")</f>
        <v>Wednesday</v>
      </c>
      <c r="L627" t="str" cm="1">
        <f t="array" ref="L627">_xlfn.IFS(calls[[#This Row],[Duration]]&lt;=10,"under 10 mins",calls[[#This Row],[Duration]]&lt;=30,"10 to 30mins",calls[[#This Row],[Duration]]&lt;=60,"60 to 30mins",calls[[#This Row],[Duration]]&lt;=120,"1 to 2hrs",TRUE,"More than 2 hrs")</f>
        <v>1 to 2hrs</v>
      </c>
      <c r="M627">
        <f>ROUND(calls[[#This Row],[Satisfaction Rating]],0)</f>
        <v>4</v>
      </c>
      <c r="N627">
        <f>COUNTIF(calls[Customer ID], calls[[#This Row],[Customer ID]])</f>
        <v>50</v>
      </c>
      <c r="O627">
        <f>SUMIF(calls[Customer ID], calls[[#This Row],[Customer ID]], calls[Purchase Amount])</f>
        <v>4804</v>
      </c>
      <c r="P627">
        <f>calls[[#This Row],[call count]]/calls[[#This Row],[Purchase Amount]]</f>
        <v>0.59523809523809523</v>
      </c>
      <c r="Q627">
        <f>COUNTIF(calls[Customer ID],calls[[#This Row],[Customer ID]])</f>
        <v>50</v>
      </c>
      <c r="R627">
        <f>calls[[#This Row],[call count]]/calls[[#This Row],[Purchase Amount]]</f>
        <v>0.59523809523809523</v>
      </c>
    </row>
    <row r="628" spans="1:18" x14ac:dyDescent="0.4">
      <c r="A628" t="s">
        <v>658</v>
      </c>
      <c r="B628" t="s">
        <v>6</v>
      </c>
      <c r="C628">
        <v>144</v>
      </c>
      <c r="D628" s="4" t="s">
        <v>27</v>
      </c>
      <c r="E628" s="5">
        <v>45126</v>
      </c>
      <c r="F628">
        <v>164</v>
      </c>
      <c r="G628">
        <f>AVERAGEIF(calls[Representative], calls[[#This Row],[Representative]], calls[Satisfaction Rating])</f>
        <v>3.8589371980676304</v>
      </c>
      <c r="H628" t="str">
        <f>IF(AVERAGEIF(calls[Representative],calls[[#This Row],[Representative]],calls[Satisfaction Rating])&lt;3.5,"Needs Training","OK")</f>
        <v>OK</v>
      </c>
      <c r="I628">
        <v>2.8</v>
      </c>
      <c r="J628">
        <f>IF(MONTH(calls[[#This Row],[Date of Call]])&lt;=6, YEAR(calls[[#This Row],[Date of Call]]), YEAR(calls[[#This Row],[Date of Call]])+1)</f>
        <v>2024</v>
      </c>
      <c r="K628" t="str">
        <f>TEXT(calls[[#This Row],[Date of Call]],"DDDD")</f>
        <v>Wednesday</v>
      </c>
      <c r="L628" t="str" cm="1">
        <f t="array" ref="L628">_xlfn.IFS(calls[[#This Row],[Duration]]&lt;=10,"under 10 mins",calls[[#This Row],[Duration]]&lt;=30,"10 to 30mins",calls[[#This Row],[Duration]]&lt;=60,"60 to 30mins",calls[[#This Row],[Duration]]&lt;=120,"1 to 2hrs",TRUE,"More than 2 hrs")</f>
        <v>More than 2 hrs</v>
      </c>
      <c r="M628">
        <f>ROUND(calls[[#This Row],[Satisfaction Rating]],0)</f>
        <v>3</v>
      </c>
      <c r="N628">
        <f>COUNTIF(calls[Customer ID], calls[[#This Row],[Customer ID]])</f>
        <v>82</v>
      </c>
      <c r="O628">
        <f>SUMIF(calls[Customer ID], calls[[#This Row],[Customer ID]], calls[Purchase Amount])</f>
        <v>7689</v>
      </c>
      <c r="P628">
        <f>calls[[#This Row],[call count]]/calls[[#This Row],[Purchase Amount]]</f>
        <v>0.5</v>
      </c>
      <c r="Q628">
        <f>COUNTIF(calls[Customer ID],calls[[#This Row],[Customer ID]])</f>
        <v>82</v>
      </c>
      <c r="R628">
        <f>calls[[#This Row],[call count]]/calls[[#This Row],[Purchase Amount]]</f>
        <v>0.5</v>
      </c>
    </row>
    <row r="629" spans="1:18" x14ac:dyDescent="0.4">
      <c r="A629" t="s">
        <v>659</v>
      </c>
      <c r="B629" t="s">
        <v>84</v>
      </c>
      <c r="C629">
        <v>109</v>
      </c>
      <c r="D629" s="4" t="s">
        <v>2</v>
      </c>
      <c r="E629" s="5">
        <v>45126</v>
      </c>
      <c r="F629">
        <v>132</v>
      </c>
      <c r="G629">
        <f>AVERAGEIF(calls[Representative], calls[[#This Row],[Representative]], calls[Satisfaction Rating])</f>
        <v>3.8824999999999998</v>
      </c>
      <c r="H629" t="str">
        <f>IF(AVERAGEIF(calls[Representative],calls[[#This Row],[Representative]],calls[Satisfaction Rating])&lt;3.5,"Needs Training","OK")</f>
        <v>OK</v>
      </c>
      <c r="I629">
        <v>3.1</v>
      </c>
      <c r="J629">
        <f>IF(MONTH(calls[[#This Row],[Date of Call]])&lt;=6, YEAR(calls[[#This Row],[Date of Call]]), YEAR(calls[[#This Row],[Date of Call]])+1)</f>
        <v>2024</v>
      </c>
      <c r="K629" t="str">
        <f>TEXT(calls[[#This Row],[Date of Call]],"DDDD")</f>
        <v>Wednesday</v>
      </c>
      <c r="L629" t="str" cm="1">
        <f t="array" ref="L629">_xlfn.IFS(calls[[#This Row],[Duration]]&lt;=10,"under 10 mins",calls[[#This Row],[Duration]]&lt;=30,"10 to 30mins",calls[[#This Row],[Duration]]&lt;=60,"60 to 30mins",calls[[#This Row],[Duration]]&lt;=120,"1 to 2hrs",TRUE,"More than 2 hrs")</f>
        <v>1 to 2hrs</v>
      </c>
      <c r="M629">
        <f>ROUND(calls[[#This Row],[Satisfaction Rating]],0)</f>
        <v>3</v>
      </c>
      <c r="N629">
        <f>COUNTIF(calls[Customer ID], calls[[#This Row],[Customer ID]])</f>
        <v>59</v>
      </c>
      <c r="O629">
        <f>SUMIF(calls[Customer ID], calls[[#This Row],[Customer ID]], calls[Purchase Amount])</f>
        <v>5009</v>
      </c>
      <c r="P629">
        <f>calls[[#This Row],[call count]]/calls[[#This Row],[Purchase Amount]]</f>
        <v>0.44696969696969696</v>
      </c>
      <c r="Q629">
        <f>COUNTIF(calls[Customer ID],calls[[#This Row],[Customer ID]])</f>
        <v>59</v>
      </c>
      <c r="R629">
        <f>calls[[#This Row],[call count]]/calls[[#This Row],[Purchase Amount]]</f>
        <v>0.44696969696969696</v>
      </c>
    </row>
    <row r="630" spans="1:18" x14ac:dyDescent="0.4">
      <c r="A630" t="s">
        <v>660</v>
      </c>
      <c r="B630" t="s">
        <v>40</v>
      </c>
      <c r="C630">
        <v>172</v>
      </c>
      <c r="D630" s="4" t="s">
        <v>14</v>
      </c>
      <c r="E630" s="5">
        <v>45127</v>
      </c>
      <c r="F630">
        <v>27</v>
      </c>
      <c r="G630">
        <f>AVERAGEIF(calls[Representative], calls[[#This Row],[Representative]], calls[Satisfaction Rating])</f>
        <v>3.9227513227513247</v>
      </c>
      <c r="H630" t="str">
        <f>IF(AVERAGEIF(calls[Representative],calls[[#This Row],[Representative]],calls[Satisfaction Rating])&lt;3.5,"Needs Training","OK")</f>
        <v>OK</v>
      </c>
      <c r="I630">
        <v>4.2</v>
      </c>
      <c r="J630">
        <f>IF(MONTH(calls[[#This Row],[Date of Call]])&lt;=6, YEAR(calls[[#This Row],[Date of Call]]), YEAR(calls[[#This Row],[Date of Call]])+1)</f>
        <v>2024</v>
      </c>
      <c r="K630" t="str">
        <f>TEXT(calls[[#This Row],[Date of Call]],"DDDD")</f>
        <v>Thursday</v>
      </c>
      <c r="L630" t="str" cm="1">
        <f t="array" ref="L630">_xlfn.IFS(calls[[#This Row],[Duration]]&lt;=10,"under 10 mins",calls[[#This Row],[Duration]]&lt;=30,"10 to 30mins",calls[[#This Row],[Duration]]&lt;=60,"60 to 30mins",calls[[#This Row],[Duration]]&lt;=120,"1 to 2hrs",TRUE,"More than 2 hrs")</f>
        <v>More than 2 hrs</v>
      </c>
      <c r="M630">
        <f>ROUND(calls[[#This Row],[Satisfaction Rating]],0)</f>
        <v>4</v>
      </c>
      <c r="N630">
        <f>COUNTIF(calls[Customer ID], calls[[#This Row],[Customer ID]])</f>
        <v>69</v>
      </c>
      <c r="O630">
        <f>SUMIF(calls[Customer ID], calls[[#This Row],[Customer ID]], calls[Purchase Amount])</f>
        <v>6601</v>
      </c>
      <c r="P630">
        <f>calls[[#This Row],[call count]]/calls[[#This Row],[Purchase Amount]]</f>
        <v>2.5555555555555554</v>
      </c>
      <c r="Q630">
        <f>COUNTIF(calls[Customer ID],calls[[#This Row],[Customer ID]])</f>
        <v>69</v>
      </c>
      <c r="R630">
        <f>calls[[#This Row],[call count]]/calls[[#This Row],[Purchase Amount]]</f>
        <v>2.5555555555555554</v>
      </c>
    </row>
    <row r="631" spans="1:18" x14ac:dyDescent="0.4">
      <c r="A631" t="s">
        <v>661</v>
      </c>
      <c r="B631" t="s">
        <v>6</v>
      </c>
      <c r="C631">
        <v>56</v>
      </c>
      <c r="D631" s="4" t="s">
        <v>23</v>
      </c>
      <c r="E631" s="5">
        <v>45127</v>
      </c>
      <c r="F631">
        <v>27</v>
      </c>
      <c r="G631">
        <f>AVERAGEIF(calls[Representative], calls[[#This Row],[Representative]], calls[Satisfaction Rating])</f>
        <v>3.8973118279569863</v>
      </c>
      <c r="H631" t="str">
        <f>IF(AVERAGEIF(calls[Representative],calls[[#This Row],[Representative]],calls[Satisfaction Rating])&lt;3.5,"Needs Training","OK")</f>
        <v>OK</v>
      </c>
      <c r="I631">
        <v>4.3</v>
      </c>
      <c r="J631">
        <f>IF(MONTH(calls[[#This Row],[Date of Call]])&lt;=6, YEAR(calls[[#This Row],[Date of Call]]), YEAR(calls[[#This Row],[Date of Call]])+1)</f>
        <v>2024</v>
      </c>
      <c r="K631" t="str">
        <f>TEXT(calls[[#This Row],[Date of Call]],"DDDD")</f>
        <v>Thursday</v>
      </c>
      <c r="L631" t="str" cm="1">
        <f t="array" ref="L631">_xlfn.IFS(calls[[#This Row],[Duration]]&lt;=10,"under 10 mins",calls[[#This Row],[Duration]]&lt;=30,"10 to 30mins",calls[[#This Row],[Duration]]&lt;=60,"60 to 30mins",calls[[#This Row],[Duration]]&lt;=120,"1 to 2hrs",TRUE,"More than 2 hrs")</f>
        <v>60 to 30mins</v>
      </c>
      <c r="M631">
        <f>ROUND(calls[[#This Row],[Satisfaction Rating]],0)</f>
        <v>4</v>
      </c>
      <c r="N631">
        <f>COUNTIF(calls[Customer ID], calls[[#This Row],[Customer ID]])</f>
        <v>82</v>
      </c>
      <c r="O631">
        <f>SUMIF(calls[Customer ID], calls[[#This Row],[Customer ID]], calls[Purchase Amount])</f>
        <v>7689</v>
      </c>
      <c r="P631">
        <f>calls[[#This Row],[call count]]/calls[[#This Row],[Purchase Amount]]</f>
        <v>3.0370370370370372</v>
      </c>
      <c r="Q631">
        <f>COUNTIF(calls[Customer ID],calls[[#This Row],[Customer ID]])</f>
        <v>82</v>
      </c>
      <c r="R631">
        <f>calls[[#This Row],[call count]]/calls[[#This Row],[Purchase Amount]]</f>
        <v>3.0370370370370372</v>
      </c>
    </row>
    <row r="632" spans="1:18" x14ac:dyDescent="0.4">
      <c r="A632" t="s">
        <v>662</v>
      </c>
      <c r="B632" t="s">
        <v>6</v>
      </c>
      <c r="C632">
        <v>121</v>
      </c>
      <c r="D632" s="4" t="s">
        <v>9</v>
      </c>
      <c r="E632" s="5">
        <v>45127</v>
      </c>
      <c r="F632">
        <v>20</v>
      </c>
      <c r="G632">
        <f>AVERAGEIF(calls[Representative], calls[[#This Row],[Representative]], calls[Satisfaction Rating])</f>
        <v>3.8706422018348627</v>
      </c>
      <c r="H632" t="str">
        <f>IF(AVERAGEIF(calls[Representative],calls[[#This Row],[Representative]],calls[Satisfaction Rating])&lt;3.5,"Needs Training","OK")</f>
        <v>OK</v>
      </c>
      <c r="I632">
        <v>2.7</v>
      </c>
      <c r="J632">
        <f>IF(MONTH(calls[[#This Row],[Date of Call]])&lt;=6, YEAR(calls[[#This Row],[Date of Call]]), YEAR(calls[[#This Row],[Date of Call]])+1)</f>
        <v>2024</v>
      </c>
      <c r="K632" t="str">
        <f>TEXT(calls[[#This Row],[Date of Call]],"DDDD")</f>
        <v>Thursday</v>
      </c>
      <c r="L632" t="str" cm="1">
        <f t="array" ref="L632">_xlfn.IFS(calls[[#This Row],[Duration]]&lt;=10,"under 10 mins",calls[[#This Row],[Duration]]&lt;=30,"10 to 30mins",calls[[#This Row],[Duration]]&lt;=60,"60 to 30mins",calls[[#This Row],[Duration]]&lt;=120,"1 to 2hrs",TRUE,"More than 2 hrs")</f>
        <v>More than 2 hrs</v>
      </c>
      <c r="M632">
        <f>ROUND(calls[[#This Row],[Satisfaction Rating]],0)</f>
        <v>3</v>
      </c>
      <c r="N632">
        <f>COUNTIF(calls[Customer ID], calls[[#This Row],[Customer ID]])</f>
        <v>82</v>
      </c>
      <c r="O632">
        <f>SUMIF(calls[Customer ID], calls[[#This Row],[Customer ID]], calls[Purchase Amount])</f>
        <v>7689</v>
      </c>
      <c r="P632">
        <f>calls[[#This Row],[call count]]/calls[[#This Row],[Purchase Amount]]</f>
        <v>4.0999999999999996</v>
      </c>
      <c r="Q632">
        <f>COUNTIF(calls[Customer ID],calls[[#This Row],[Customer ID]])</f>
        <v>82</v>
      </c>
      <c r="R632">
        <f>calls[[#This Row],[call count]]/calls[[#This Row],[Purchase Amount]]</f>
        <v>4.0999999999999996</v>
      </c>
    </row>
    <row r="633" spans="1:18" x14ac:dyDescent="0.4">
      <c r="A633" t="s">
        <v>663</v>
      </c>
      <c r="B633" t="s">
        <v>40</v>
      </c>
      <c r="C633">
        <v>41</v>
      </c>
      <c r="D633" s="4" t="s">
        <v>23</v>
      </c>
      <c r="E633" s="5">
        <v>45128</v>
      </c>
      <c r="F633">
        <v>112</v>
      </c>
      <c r="G633">
        <f>AVERAGEIF(calls[Representative], calls[[#This Row],[Representative]], calls[Satisfaction Rating])</f>
        <v>3.8973118279569863</v>
      </c>
      <c r="H633" t="str">
        <f>IF(AVERAGEIF(calls[Representative],calls[[#This Row],[Representative]],calls[Satisfaction Rating])&lt;3.5,"Needs Training","OK")</f>
        <v>OK</v>
      </c>
      <c r="I633">
        <v>2.2999999999999998</v>
      </c>
      <c r="J633">
        <f>IF(MONTH(calls[[#This Row],[Date of Call]])&lt;=6, YEAR(calls[[#This Row],[Date of Call]]), YEAR(calls[[#This Row],[Date of Call]])+1)</f>
        <v>2024</v>
      </c>
      <c r="K633" t="str">
        <f>TEXT(calls[[#This Row],[Date of Call]],"DDDD")</f>
        <v>Friday</v>
      </c>
      <c r="L633" t="str" cm="1">
        <f t="array" ref="L633">_xlfn.IFS(calls[[#This Row],[Duration]]&lt;=10,"under 10 mins",calls[[#This Row],[Duration]]&lt;=30,"10 to 30mins",calls[[#This Row],[Duration]]&lt;=60,"60 to 30mins",calls[[#This Row],[Duration]]&lt;=120,"1 to 2hrs",TRUE,"More than 2 hrs")</f>
        <v>60 to 30mins</v>
      </c>
      <c r="M633">
        <f>ROUND(calls[[#This Row],[Satisfaction Rating]],0)</f>
        <v>2</v>
      </c>
      <c r="N633">
        <f>COUNTIF(calls[Customer ID], calls[[#This Row],[Customer ID]])</f>
        <v>69</v>
      </c>
      <c r="O633">
        <f>SUMIF(calls[Customer ID], calls[[#This Row],[Customer ID]], calls[Purchase Amount])</f>
        <v>6601</v>
      </c>
      <c r="P633">
        <f>calls[[#This Row],[call count]]/calls[[#This Row],[Purchase Amount]]</f>
        <v>0.6160714285714286</v>
      </c>
      <c r="Q633">
        <f>COUNTIF(calls[Customer ID],calls[[#This Row],[Customer ID]])</f>
        <v>69</v>
      </c>
      <c r="R633">
        <f>calls[[#This Row],[call count]]/calls[[#This Row],[Purchase Amount]]</f>
        <v>0.6160714285714286</v>
      </c>
    </row>
    <row r="634" spans="1:18" x14ac:dyDescent="0.4">
      <c r="A634" t="s">
        <v>664</v>
      </c>
      <c r="B634" t="s">
        <v>11</v>
      </c>
      <c r="C634">
        <v>60</v>
      </c>
      <c r="D634" s="4" t="s">
        <v>14</v>
      </c>
      <c r="E634" s="5">
        <v>45128</v>
      </c>
      <c r="F634">
        <v>60</v>
      </c>
      <c r="G634">
        <f>AVERAGEIF(calls[Representative], calls[[#This Row],[Representative]], calls[Satisfaction Rating])</f>
        <v>3.9227513227513247</v>
      </c>
      <c r="H634" t="str">
        <f>IF(AVERAGEIF(calls[Representative],calls[[#This Row],[Representative]],calls[Satisfaction Rating])&lt;3.5,"Needs Training","OK")</f>
        <v>OK</v>
      </c>
      <c r="I634">
        <v>2.2999999999999998</v>
      </c>
      <c r="J634">
        <f>IF(MONTH(calls[[#This Row],[Date of Call]])&lt;=6, YEAR(calls[[#This Row],[Date of Call]]), YEAR(calls[[#This Row],[Date of Call]])+1)</f>
        <v>2024</v>
      </c>
      <c r="K634" t="str">
        <f>TEXT(calls[[#This Row],[Date of Call]],"DDDD")</f>
        <v>Friday</v>
      </c>
      <c r="L634" t="str" cm="1">
        <f t="array" ref="L634">_xlfn.IFS(calls[[#This Row],[Duration]]&lt;=10,"under 10 mins",calls[[#This Row],[Duration]]&lt;=30,"10 to 30mins",calls[[#This Row],[Duration]]&lt;=60,"60 to 30mins",calls[[#This Row],[Duration]]&lt;=120,"1 to 2hrs",TRUE,"More than 2 hrs")</f>
        <v>60 to 30mins</v>
      </c>
      <c r="M634">
        <f>ROUND(calls[[#This Row],[Satisfaction Rating]],0)</f>
        <v>2</v>
      </c>
      <c r="N634">
        <f>COUNTIF(calls[Customer ID], calls[[#This Row],[Customer ID]])</f>
        <v>60</v>
      </c>
      <c r="O634">
        <f>SUMIF(calls[Customer ID], calls[[#This Row],[Customer ID]], calls[Purchase Amount])</f>
        <v>5404</v>
      </c>
      <c r="P634">
        <f>calls[[#This Row],[call count]]/calls[[#This Row],[Purchase Amount]]</f>
        <v>1</v>
      </c>
      <c r="Q634">
        <f>COUNTIF(calls[Customer ID],calls[[#This Row],[Customer ID]])</f>
        <v>60</v>
      </c>
      <c r="R634">
        <f>calls[[#This Row],[call count]]/calls[[#This Row],[Purchase Amount]]</f>
        <v>1</v>
      </c>
    </row>
    <row r="635" spans="1:18" x14ac:dyDescent="0.4">
      <c r="A635" t="s">
        <v>665</v>
      </c>
      <c r="B635" t="s">
        <v>11</v>
      </c>
      <c r="C635">
        <v>144</v>
      </c>
      <c r="D635" s="4" t="s">
        <v>14</v>
      </c>
      <c r="E635" s="5">
        <v>45129</v>
      </c>
      <c r="F635">
        <v>102</v>
      </c>
      <c r="G635">
        <f>AVERAGEIF(calls[Representative], calls[[#This Row],[Representative]], calls[Satisfaction Rating])</f>
        <v>3.9227513227513247</v>
      </c>
      <c r="H635" t="str">
        <f>IF(AVERAGEIF(calls[Representative],calls[[#This Row],[Representative]],calls[Satisfaction Rating])&lt;3.5,"Needs Training","OK")</f>
        <v>OK</v>
      </c>
      <c r="I635">
        <v>2.9</v>
      </c>
      <c r="J635">
        <f>IF(MONTH(calls[[#This Row],[Date of Call]])&lt;=6, YEAR(calls[[#This Row],[Date of Call]]), YEAR(calls[[#This Row],[Date of Call]])+1)</f>
        <v>2024</v>
      </c>
      <c r="K635" t="str">
        <f>TEXT(calls[[#This Row],[Date of Call]],"DDDD")</f>
        <v>Saturday</v>
      </c>
      <c r="L635" t="str" cm="1">
        <f t="array" ref="L635">_xlfn.IFS(calls[[#This Row],[Duration]]&lt;=10,"under 10 mins",calls[[#This Row],[Duration]]&lt;=30,"10 to 30mins",calls[[#This Row],[Duration]]&lt;=60,"60 to 30mins",calls[[#This Row],[Duration]]&lt;=120,"1 to 2hrs",TRUE,"More than 2 hrs")</f>
        <v>More than 2 hrs</v>
      </c>
      <c r="M635">
        <f>ROUND(calls[[#This Row],[Satisfaction Rating]],0)</f>
        <v>3</v>
      </c>
      <c r="N635">
        <f>COUNTIF(calls[Customer ID], calls[[#This Row],[Customer ID]])</f>
        <v>60</v>
      </c>
      <c r="O635">
        <f>SUMIF(calls[Customer ID], calls[[#This Row],[Customer ID]], calls[Purchase Amount])</f>
        <v>5404</v>
      </c>
      <c r="P635">
        <f>calls[[#This Row],[call count]]/calls[[#This Row],[Purchase Amount]]</f>
        <v>0.58823529411764708</v>
      </c>
      <c r="Q635">
        <f>COUNTIF(calls[Customer ID],calls[[#This Row],[Customer ID]])</f>
        <v>60</v>
      </c>
      <c r="R635">
        <f>calls[[#This Row],[call count]]/calls[[#This Row],[Purchase Amount]]</f>
        <v>0.58823529411764708</v>
      </c>
    </row>
    <row r="636" spans="1:18" x14ac:dyDescent="0.4">
      <c r="A636" t="s">
        <v>666</v>
      </c>
      <c r="B636" t="s">
        <v>13</v>
      </c>
      <c r="C636">
        <v>67</v>
      </c>
      <c r="D636" s="4" t="s">
        <v>14</v>
      </c>
      <c r="E636" s="5">
        <v>45129</v>
      </c>
      <c r="F636">
        <v>38</v>
      </c>
      <c r="G636">
        <f>AVERAGEIF(calls[Representative], calls[[#This Row],[Representative]], calls[Satisfaction Rating])</f>
        <v>3.9227513227513247</v>
      </c>
      <c r="H636" t="str">
        <f>IF(AVERAGEIF(calls[Representative],calls[[#This Row],[Representative]],calls[Satisfaction Rating])&lt;3.5,"Needs Training","OK")</f>
        <v>OK</v>
      </c>
      <c r="I636">
        <v>4.2</v>
      </c>
      <c r="J636">
        <f>IF(MONTH(calls[[#This Row],[Date of Call]])&lt;=6, YEAR(calls[[#This Row],[Date of Call]]), YEAR(calls[[#This Row],[Date of Call]])+1)</f>
        <v>2024</v>
      </c>
      <c r="K636" t="str">
        <f>TEXT(calls[[#This Row],[Date of Call]],"DDDD")</f>
        <v>Saturday</v>
      </c>
      <c r="L636" t="str" cm="1">
        <f t="array" ref="L636">_xlfn.IFS(calls[[#This Row],[Duration]]&lt;=10,"under 10 mins",calls[[#This Row],[Duration]]&lt;=30,"10 to 30mins",calls[[#This Row],[Duration]]&lt;=60,"60 to 30mins",calls[[#This Row],[Duration]]&lt;=120,"1 to 2hrs",TRUE,"More than 2 hrs")</f>
        <v>1 to 2hrs</v>
      </c>
      <c r="M636">
        <f>ROUND(calls[[#This Row],[Satisfaction Rating]],0)</f>
        <v>4</v>
      </c>
      <c r="N636">
        <f>COUNTIF(calls[Customer ID], calls[[#This Row],[Customer ID]])</f>
        <v>74</v>
      </c>
      <c r="O636">
        <f>SUMIF(calls[Customer ID], calls[[#This Row],[Customer ID]], calls[Purchase Amount])</f>
        <v>6749</v>
      </c>
      <c r="P636">
        <f>calls[[#This Row],[call count]]/calls[[#This Row],[Purchase Amount]]</f>
        <v>1.9473684210526316</v>
      </c>
      <c r="Q636">
        <f>COUNTIF(calls[Customer ID],calls[[#This Row],[Customer ID]])</f>
        <v>74</v>
      </c>
      <c r="R636">
        <f>calls[[#This Row],[call count]]/calls[[#This Row],[Purchase Amount]]</f>
        <v>1.9473684210526316</v>
      </c>
    </row>
    <row r="637" spans="1:18" x14ac:dyDescent="0.4">
      <c r="A637" t="s">
        <v>667</v>
      </c>
      <c r="B637" t="s">
        <v>40</v>
      </c>
      <c r="C637">
        <v>162</v>
      </c>
      <c r="D637" s="4" t="s">
        <v>2</v>
      </c>
      <c r="E637" s="5">
        <v>45129</v>
      </c>
      <c r="F637">
        <v>82</v>
      </c>
      <c r="G637">
        <f>AVERAGEIF(calls[Representative], calls[[#This Row],[Representative]], calls[Satisfaction Rating])</f>
        <v>3.8824999999999998</v>
      </c>
      <c r="H637" t="str">
        <f>IF(AVERAGEIF(calls[Representative],calls[[#This Row],[Representative]],calls[Satisfaction Rating])&lt;3.5,"Needs Training","OK")</f>
        <v>OK</v>
      </c>
      <c r="I637">
        <v>4.5999999999999996</v>
      </c>
      <c r="J637">
        <f>IF(MONTH(calls[[#This Row],[Date of Call]])&lt;=6, YEAR(calls[[#This Row],[Date of Call]]), YEAR(calls[[#This Row],[Date of Call]])+1)</f>
        <v>2024</v>
      </c>
      <c r="K637" t="str">
        <f>TEXT(calls[[#This Row],[Date of Call]],"DDDD")</f>
        <v>Saturday</v>
      </c>
      <c r="L637" t="str" cm="1">
        <f t="array" ref="L637">_xlfn.IFS(calls[[#This Row],[Duration]]&lt;=10,"under 10 mins",calls[[#This Row],[Duration]]&lt;=30,"10 to 30mins",calls[[#This Row],[Duration]]&lt;=60,"60 to 30mins",calls[[#This Row],[Duration]]&lt;=120,"1 to 2hrs",TRUE,"More than 2 hrs")</f>
        <v>More than 2 hrs</v>
      </c>
      <c r="M637">
        <f>ROUND(calls[[#This Row],[Satisfaction Rating]],0)</f>
        <v>5</v>
      </c>
      <c r="N637">
        <f>COUNTIF(calls[Customer ID], calls[[#This Row],[Customer ID]])</f>
        <v>69</v>
      </c>
      <c r="O637">
        <f>SUMIF(calls[Customer ID], calls[[#This Row],[Customer ID]], calls[Purchase Amount])</f>
        <v>6601</v>
      </c>
      <c r="P637">
        <f>calls[[#This Row],[call count]]/calls[[#This Row],[Purchase Amount]]</f>
        <v>0.84146341463414631</v>
      </c>
      <c r="Q637">
        <f>COUNTIF(calls[Customer ID],calls[[#This Row],[Customer ID]])</f>
        <v>69</v>
      </c>
      <c r="R637">
        <f>calls[[#This Row],[call count]]/calls[[#This Row],[Purchase Amount]]</f>
        <v>0.84146341463414631</v>
      </c>
    </row>
    <row r="638" spans="1:18" x14ac:dyDescent="0.4">
      <c r="A638" t="s">
        <v>668</v>
      </c>
      <c r="B638" t="s">
        <v>11</v>
      </c>
      <c r="C638">
        <v>87</v>
      </c>
      <c r="D638" s="4" t="s">
        <v>9</v>
      </c>
      <c r="E638" s="5">
        <v>45132</v>
      </c>
      <c r="F638">
        <v>125</v>
      </c>
      <c r="G638">
        <f>AVERAGEIF(calls[Representative], calls[[#This Row],[Representative]], calls[Satisfaction Rating])</f>
        <v>3.8706422018348627</v>
      </c>
      <c r="H638" t="str">
        <f>IF(AVERAGEIF(calls[Representative],calls[[#This Row],[Representative]],calls[Satisfaction Rating])&lt;3.5,"Needs Training","OK")</f>
        <v>OK</v>
      </c>
      <c r="I638">
        <v>4.5</v>
      </c>
      <c r="J638">
        <f>IF(MONTH(calls[[#This Row],[Date of Call]])&lt;=6, YEAR(calls[[#This Row],[Date of Call]]), YEAR(calls[[#This Row],[Date of Call]])+1)</f>
        <v>2024</v>
      </c>
      <c r="K638" t="str">
        <f>TEXT(calls[[#This Row],[Date of Call]],"DDDD")</f>
        <v>Tuesday</v>
      </c>
      <c r="L638" t="str" cm="1">
        <f t="array" ref="L638">_xlfn.IFS(calls[[#This Row],[Duration]]&lt;=10,"under 10 mins",calls[[#This Row],[Duration]]&lt;=30,"10 to 30mins",calls[[#This Row],[Duration]]&lt;=60,"60 to 30mins",calls[[#This Row],[Duration]]&lt;=120,"1 to 2hrs",TRUE,"More than 2 hrs")</f>
        <v>1 to 2hrs</v>
      </c>
      <c r="M638">
        <f>ROUND(calls[[#This Row],[Satisfaction Rating]],0)</f>
        <v>5</v>
      </c>
      <c r="N638">
        <f>COUNTIF(calls[Customer ID], calls[[#This Row],[Customer ID]])</f>
        <v>60</v>
      </c>
      <c r="O638">
        <f>SUMIF(calls[Customer ID], calls[[#This Row],[Customer ID]], calls[Purchase Amount])</f>
        <v>5404</v>
      </c>
      <c r="P638">
        <f>calls[[#This Row],[call count]]/calls[[#This Row],[Purchase Amount]]</f>
        <v>0.48</v>
      </c>
      <c r="Q638">
        <f>COUNTIF(calls[Customer ID],calls[[#This Row],[Customer ID]])</f>
        <v>60</v>
      </c>
      <c r="R638">
        <f>calls[[#This Row],[call count]]/calls[[#This Row],[Purchase Amount]]</f>
        <v>0.48</v>
      </c>
    </row>
    <row r="639" spans="1:18" x14ac:dyDescent="0.4">
      <c r="A639" t="s">
        <v>669</v>
      </c>
      <c r="B639" t="s">
        <v>51</v>
      </c>
      <c r="C639">
        <v>10</v>
      </c>
      <c r="D639" s="4" t="s">
        <v>27</v>
      </c>
      <c r="E639" s="5">
        <v>45133</v>
      </c>
      <c r="F639">
        <v>72</v>
      </c>
      <c r="G639">
        <f>AVERAGEIF(calls[Representative], calls[[#This Row],[Representative]], calls[Satisfaction Rating])</f>
        <v>3.8589371980676304</v>
      </c>
      <c r="H639" t="str">
        <f>IF(AVERAGEIF(calls[Representative],calls[[#This Row],[Representative]],calls[Satisfaction Rating])&lt;3.5,"Needs Training","OK")</f>
        <v>OK</v>
      </c>
      <c r="I639">
        <v>3.7</v>
      </c>
      <c r="J639">
        <f>IF(MONTH(calls[[#This Row],[Date of Call]])&lt;=6, YEAR(calls[[#This Row],[Date of Call]]), YEAR(calls[[#This Row],[Date of Call]])+1)</f>
        <v>2024</v>
      </c>
      <c r="K639" t="str">
        <f>TEXT(calls[[#This Row],[Date of Call]],"DDDD")</f>
        <v>Wednesday</v>
      </c>
      <c r="L639" t="str" cm="1">
        <f t="array" ref="L639">_xlfn.IFS(calls[[#This Row],[Duration]]&lt;=10,"under 10 mins",calls[[#This Row],[Duration]]&lt;=30,"10 to 30mins",calls[[#This Row],[Duration]]&lt;=60,"60 to 30mins",calls[[#This Row],[Duration]]&lt;=120,"1 to 2hrs",TRUE,"More than 2 hrs")</f>
        <v>under 10 mins</v>
      </c>
      <c r="M639">
        <f>ROUND(calls[[#This Row],[Satisfaction Rating]],0)</f>
        <v>4</v>
      </c>
      <c r="N639">
        <f>COUNTIF(calls[Customer ID], calls[[#This Row],[Customer ID]])</f>
        <v>59</v>
      </c>
      <c r="O639">
        <f>SUMIF(calls[Customer ID], calls[[#This Row],[Customer ID]], calls[Purchase Amount])</f>
        <v>6518</v>
      </c>
      <c r="P639">
        <f>calls[[#This Row],[call count]]/calls[[#This Row],[Purchase Amount]]</f>
        <v>0.81944444444444442</v>
      </c>
      <c r="Q639">
        <f>COUNTIF(calls[Customer ID],calls[[#This Row],[Customer ID]])</f>
        <v>59</v>
      </c>
      <c r="R639">
        <f>calls[[#This Row],[call count]]/calls[[#This Row],[Purchase Amount]]</f>
        <v>0.81944444444444442</v>
      </c>
    </row>
    <row r="640" spans="1:18" x14ac:dyDescent="0.4">
      <c r="A640" t="s">
        <v>670</v>
      </c>
      <c r="B640" t="s">
        <v>6</v>
      </c>
      <c r="C640">
        <v>138</v>
      </c>
      <c r="D640" s="4" t="s">
        <v>27</v>
      </c>
      <c r="E640" s="5">
        <v>45133</v>
      </c>
      <c r="F640">
        <v>195</v>
      </c>
      <c r="G640">
        <f>AVERAGEIF(calls[Representative], calls[[#This Row],[Representative]], calls[Satisfaction Rating])</f>
        <v>3.8589371980676304</v>
      </c>
      <c r="H640" t="str">
        <f>IF(AVERAGEIF(calls[Representative],calls[[#This Row],[Representative]],calls[Satisfaction Rating])&lt;3.5,"Needs Training","OK")</f>
        <v>OK</v>
      </c>
      <c r="I640">
        <v>4.0999999999999996</v>
      </c>
      <c r="J640">
        <f>IF(MONTH(calls[[#This Row],[Date of Call]])&lt;=6, YEAR(calls[[#This Row],[Date of Call]]), YEAR(calls[[#This Row],[Date of Call]])+1)</f>
        <v>2024</v>
      </c>
      <c r="K640" t="str">
        <f>TEXT(calls[[#This Row],[Date of Call]],"DDDD")</f>
        <v>Wednesday</v>
      </c>
      <c r="L640" t="str" cm="1">
        <f t="array" ref="L640">_xlfn.IFS(calls[[#This Row],[Duration]]&lt;=10,"under 10 mins",calls[[#This Row],[Duration]]&lt;=30,"10 to 30mins",calls[[#This Row],[Duration]]&lt;=60,"60 to 30mins",calls[[#This Row],[Duration]]&lt;=120,"1 to 2hrs",TRUE,"More than 2 hrs")</f>
        <v>More than 2 hrs</v>
      </c>
      <c r="M640">
        <f>ROUND(calls[[#This Row],[Satisfaction Rating]],0)</f>
        <v>4</v>
      </c>
      <c r="N640">
        <f>COUNTIF(calls[Customer ID], calls[[#This Row],[Customer ID]])</f>
        <v>82</v>
      </c>
      <c r="O640">
        <f>SUMIF(calls[Customer ID], calls[[#This Row],[Customer ID]], calls[Purchase Amount])</f>
        <v>7689</v>
      </c>
      <c r="P640">
        <f>calls[[#This Row],[call count]]/calls[[#This Row],[Purchase Amount]]</f>
        <v>0.42051282051282052</v>
      </c>
      <c r="Q640">
        <f>COUNTIF(calls[Customer ID],calls[[#This Row],[Customer ID]])</f>
        <v>82</v>
      </c>
      <c r="R640">
        <f>calls[[#This Row],[call count]]/calls[[#This Row],[Purchase Amount]]</f>
        <v>0.42051282051282052</v>
      </c>
    </row>
    <row r="641" spans="1:18" x14ac:dyDescent="0.4">
      <c r="A641" t="s">
        <v>671</v>
      </c>
      <c r="B641" t="s">
        <v>40</v>
      </c>
      <c r="C641">
        <v>31</v>
      </c>
      <c r="D641" s="4" t="s">
        <v>27</v>
      </c>
      <c r="E641" s="5">
        <v>45134</v>
      </c>
      <c r="F641">
        <v>160</v>
      </c>
      <c r="G641">
        <f>AVERAGEIF(calls[Representative], calls[[#This Row],[Representative]], calls[Satisfaction Rating])</f>
        <v>3.8589371980676304</v>
      </c>
      <c r="H641" t="str">
        <f>IF(AVERAGEIF(calls[Representative],calls[[#This Row],[Representative]],calls[Satisfaction Rating])&lt;3.5,"Needs Training","OK")</f>
        <v>OK</v>
      </c>
      <c r="I641">
        <v>3.4</v>
      </c>
      <c r="J641">
        <f>IF(MONTH(calls[[#This Row],[Date of Call]])&lt;=6, YEAR(calls[[#This Row],[Date of Call]]), YEAR(calls[[#This Row],[Date of Call]])+1)</f>
        <v>2024</v>
      </c>
      <c r="K641" t="str">
        <f>TEXT(calls[[#This Row],[Date of Call]],"DDDD")</f>
        <v>Thursday</v>
      </c>
      <c r="L641" t="str" cm="1">
        <f t="array" ref="L641">_xlfn.IFS(calls[[#This Row],[Duration]]&lt;=10,"under 10 mins",calls[[#This Row],[Duration]]&lt;=30,"10 to 30mins",calls[[#This Row],[Duration]]&lt;=60,"60 to 30mins",calls[[#This Row],[Duration]]&lt;=120,"1 to 2hrs",TRUE,"More than 2 hrs")</f>
        <v>60 to 30mins</v>
      </c>
      <c r="M641">
        <f>ROUND(calls[[#This Row],[Satisfaction Rating]],0)</f>
        <v>3</v>
      </c>
      <c r="N641">
        <f>COUNTIF(calls[Customer ID], calls[[#This Row],[Customer ID]])</f>
        <v>69</v>
      </c>
      <c r="O641">
        <f>SUMIF(calls[Customer ID], calls[[#This Row],[Customer ID]], calls[Purchase Amount])</f>
        <v>6601</v>
      </c>
      <c r="P641">
        <f>calls[[#This Row],[call count]]/calls[[#This Row],[Purchase Amount]]</f>
        <v>0.43125000000000002</v>
      </c>
      <c r="Q641">
        <f>COUNTIF(calls[Customer ID],calls[[#This Row],[Customer ID]])</f>
        <v>69</v>
      </c>
      <c r="R641">
        <f>calls[[#This Row],[call count]]/calls[[#This Row],[Purchase Amount]]</f>
        <v>0.43125000000000002</v>
      </c>
    </row>
    <row r="642" spans="1:18" x14ac:dyDescent="0.4">
      <c r="A642" t="s">
        <v>672</v>
      </c>
      <c r="B642" t="s">
        <v>54</v>
      </c>
      <c r="C642">
        <v>75</v>
      </c>
      <c r="D642" s="4" t="s">
        <v>2</v>
      </c>
      <c r="E642" s="5">
        <v>45134</v>
      </c>
      <c r="F642">
        <v>78</v>
      </c>
      <c r="G642">
        <f>AVERAGEIF(calls[Representative], calls[[#This Row],[Representative]], calls[Satisfaction Rating])</f>
        <v>3.8824999999999998</v>
      </c>
      <c r="H642" t="str">
        <f>IF(AVERAGEIF(calls[Representative],calls[[#This Row],[Representative]],calls[Satisfaction Rating])&lt;3.5,"Needs Training","OK")</f>
        <v>OK</v>
      </c>
      <c r="I642">
        <v>3.3</v>
      </c>
      <c r="J642">
        <f>IF(MONTH(calls[[#This Row],[Date of Call]])&lt;=6, YEAR(calls[[#This Row],[Date of Call]]), YEAR(calls[[#This Row],[Date of Call]])+1)</f>
        <v>2024</v>
      </c>
      <c r="K642" t="str">
        <f>TEXT(calls[[#This Row],[Date of Call]],"DDDD")</f>
        <v>Thursday</v>
      </c>
      <c r="L642" t="str" cm="1">
        <f t="array" ref="L642">_xlfn.IFS(calls[[#This Row],[Duration]]&lt;=10,"under 10 mins",calls[[#This Row],[Duration]]&lt;=30,"10 to 30mins",calls[[#This Row],[Duration]]&lt;=60,"60 to 30mins",calls[[#This Row],[Duration]]&lt;=120,"1 to 2hrs",TRUE,"More than 2 hrs")</f>
        <v>1 to 2hrs</v>
      </c>
      <c r="M642">
        <f>ROUND(calls[[#This Row],[Satisfaction Rating]],0)</f>
        <v>3</v>
      </c>
      <c r="N642">
        <f>COUNTIF(calls[Customer ID], calls[[#This Row],[Customer ID]])</f>
        <v>70</v>
      </c>
      <c r="O642">
        <f>SUMIF(calls[Customer ID], calls[[#This Row],[Customer ID]], calls[Purchase Amount])</f>
        <v>6819</v>
      </c>
      <c r="P642">
        <f>calls[[#This Row],[call count]]/calls[[#This Row],[Purchase Amount]]</f>
        <v>0.89743589743589747</v>
      </c>
      <c r="Q642">
        <f>COUNTIF(calls[Customer ID],calls[[#This Row],[Customer ID]])</f>
        <v>70</v>
      </c>
      <c r="R642">
        <f>calls[[#This Row],[call count]]/calls[[#This Row],[Purchase Amount]]</f>
        <v>0.89743589743589747</v>
      </c>
    </row>
    <row r="643" spans="1:18" x14ac:dyDescent="0.4">
      <c r="A643" t="s">
        <v>673</v>
      </c>
      <c r="B643" t="s">
        <v>1</v>
      </c>
      <c r="C643">
        <v>65</v>
      </c>
      <c r="D643" s="4" t="s">
        <v>2</v>
      </c>
      <c r="E643" s="5">
        <v>45135</v>
      </c>
      <c r="F643">
        <v>70</v>
      </c>
      <c r="G643">
        <f>AVERAGEIF(calls[Representative], calls[[#This Row],[Representative]], calls[Satisfaction Rating])</f>
        <v>3.8824999999999998</v>
      </c>
      <c r="H643" t="str">
        <f>IF(AVERAGEIF(calls[Representative],calls[[#This Row],[Representative]],calls[Satisfaction Rating])&lt;3.5,"Needs Training","OK")</f>
        <v>OK</v>
      </c>
      <c r="I643">
        <v>4.4000000000000004</v>
      </c>
      <c r="J643">
        <f>IF(MONTH(calls[[#This Row],[Date of Call]])&lt;=6, YEAR(calls[[#This Row],[Date of Call]]), YEAR(calls[[#This Row],[Date of Call]])+1)</f>
        <v>2024</v>
      </c>
      <c r="K643" t="str">
        <f>TEXT(calls[[#This Row],[Date of Call]],"DDDD")</f>
        <v>Friday</v>
      </c>
      <c r="L643" t="str" cm="1">
        <f t="array" ref="L643">_xlfn.IFS(calls[[#This Row],[Duration]]&lt;=10,"under 10 mins",calls[[#This Row],[Duration]]&lt;=30,"10 to 30mins",calls[[#This Row],[Duration]]&lt;=60,"60 to 30mins",calls[[#This Row],[Duration]]&lt;=120,"1 to 2hrs",TRUE,"More than 2 hrs")</f>
        <v>1 to 2hrs</v>
      </c>
      <c r="M643">
        <f>ROUND(calls[[#This Row],[Satisfaction Rating]],0)</f>
        <v>4</v>
      </c>
      <c r="N643">
        <f>COUNTIF(calls[Customer ID], calls[[#This Row],[Customer ID]])</f>
        <v>50</v>
      </c>
      <c r="O643">
        <f>SUMIF(calls[Customer ID], calls[[#This Row],[Customer ID]], calls[Purchase Amount])</f>
        <v>4804</v>
      </c>
      <c r="P643">
        <f>calls[[#This Row],[call count]]/calls[[#This Row],[Purchase Amount]]</f>
        <v>0.7142857142857143</v>
      </c>
      <c r="Q643">
        <f>COUNTIF(calls[Customer ID],calls[[#This Row],[Customer ID]])</f>
        <v>50</v>
      </c>
      <c r="R643">
        <f>calls[[#This Row],[call count]]/calls[[#This Row],[Purchase Amount]]</f>
        <v>0.7142857142857143</v>
      </c>
    </row>
    <row r="644" spans="1:18" x14ac:dyDescent="0.4">
      <c r="A644" t="s">
        <v>674</v>
      </c>
      <c r="B644" t="s">
        <v>8</v>
      </c>
      <c r="C644">
        <v>106</v>
      </c>
      <c r="D644" s="4" t="s">
        <v>23</v>
      </c>
      <c r="E644" s="5">
        <v>45135</v>
      </c>
      <c r="F644">
        <v>105</v>
      </c>
      <c r="G644">
        <f>AVERAGEIF(calls[Representative], calls[[#This Row],[Representative]], calls[Satisfaction Rating])</f>
        <v>3.8973118279569863</v>
      </c>
      <c r="H644" t="str">
        <f>IF(AVERAGEIF(calls[Representative],calls[[#This Row],[Representative]],calls[Satisfaction Rating])&lt;3.5,"Needs Training","OK")</f>
        <v>OK</v>
      </c>
      <c r="I644">
        <v>4.2</v>
      </c>
      <c r="J644">
        <f>IF(MONTH(calls[[#This Row],[Date of Call]])&lt;=6, YEAR(calls[[#This Row],[Date of Call]]), YEAR(calls[[#This Row],[Date of Call]])+1)</f>
        <v>2024</v>
      </c>
      <c r="K644" t="str">
        <f>TEXT(calls[[#This Row],[Date of Call]],"DDDD")</f>
        <v>Friday</v>
      </c>
      <c r="L644" t="str" cm="1">
        <f t="array" ref="L644">_xlfn.IFS(calls[[#This Row],[Duration]]&lt;=10,"under 10 mins",calls[[#This Row],[Duration]]&lt;=30,"10 to 30mins",calls[[#This Row],[Duration]]&lt;=60,"60 to 30mins",calls[[#This Row],[Duration]]&lt;=120,"1 to 2hrs",TRUE,"More than 2 hrs")</f>
        <v>1 to 2hrs</v>
      </c>
      <c r="M644">
        <f>ROUND(calls[[#This Row],[Satisfaction Rating]],0)</f>
        <v>4</v>
      </c>
      <c r="N644">
        <f>COUNTIF(calls[Customer ID], calls[[#This Row],[Customer ID]])</f>
        <v>79</v>
      </c>
      <c r="O644">
        <f>SUMIF(calls[Customer ID], calls[[#This Row],[Customer ID]], calls[Purchase Amount])</f>
        <v>7747</v>
      </c>
      <c r="P644">
        <f>calls[[#This Row],[call count]]/calls[[#This Row],[Purchase Amount]]</f>
        <v>0.75238095238095237</v>
      </c>
      <c r="Q644">
        <f>COUNTIF(calls[Customer ID],calls[[#This Row],[Customer ID]])</f>
        <v>79</v>
      </c>
      <c r="R644">
        <f>calls[[#This Row],[call count]]/calls[[#This Row],[Purchase Amount]]</f>
        <v>0.75238095238095237</v>
      </c>
    </row>
    <row r="645" spans="1:18" x14ac:dyDescent="0.4">
      <c r="A645" t="s">
        <v>675</v>
      </c>
      <c r="B645" t="s">
        <v>1</v>
      </c>
      <c r="C645">
        <v>107</v>
      </c>
      <c r="D645" s="4" t="s">
        <v>23</v>
      </c>
      <c r="E645" s="5">
        <v>45136</v>
      </c>
      <c r="F645">
        <v>78</v>
      </c>
      <c r="G645">
        <f>AVERAGEIF(calls[Representative], calls[[#This Row],[Representative]], calls[Satisfaction Rating])</f>
        <v>3.8973118279569863</v>
      </c>
      <c r="H645" t="str">
        <f>IF(AVERAGEIF(calls[Representative],calls[[#This Row],[Representative]],calls[Satisfaction Rating])&lt;3.5,"Needs Training","OK")</f>
        <v>OK</v>
      </c>
      <c r="I645">
        <v>3.4</v>
      </c>
      <c r="J645">
        <f>IF(MONTH(calls[[#This Row],[Date of Call]])&lt;=6, YEAR(calls[[#This Row],[Date of Call]]), YEAR(calls[[#This Row],[Date of Call]])+1)</f>
        <v>2024</v>
      </c>
      <c r="K645" t="str">
        <f>TEXT(calls[[#This Row],[Date of Call]],"DDDD")</f>
        <v>Saturday</v>
      </c>
      <c r="L645" t="str" cm="1">
        <f t="array" ref="L645">_xlfn.IFS(calls[[#This Row],[Duration]]&lt;=10,"under 10 mins",calls[[#This Row],[Duration]]&lt;=30,"10 to 30mins",calls[[#This Row],[Duration]]&lt;=60,"60 to 30mins",calls[[#This Row],[Duration]]&lt;=120,"1 to 2hrs",TRUE,"More than 2 hrs")</f>
        <v>1 to 2hrs</v>
      </c>
      <c r="M645">
        <f>ROUND(calls[[#This Row],[Satisfaction Rating]],0)</f>
        <v>3</v>
      </c>
      <c r="N645">
        <f>COUNTIF(calls[Customer ID], calls[[#This Row],[Customer ID]])</f>
        <v>50</v>
      </c>
      <c r="O645">
        <f>SUMIF(calls[Customer ID], calls[[#This Row],[Customer ID]], calls[Purchase Amount])</f>
        <v>4804</v>
      </c>
      <c r="P645">
        <f>calls[[#This Row],[call count]]/calls[[#This Row],[Purchase Amount]]</f>
        <v>0.64102564102564108</v>
      </c>
      <c r="Q645">
        <f>COUNTIF(calls[Customer ID],calls[[#This Row],[Customer ID]])</f>
        <v>50</v>
      </c>
      <c r="R645">
        <f>calls[[#This Row],[call count]]/calls[[#This Row],[Purchase Amount]]</f>
        <v>0.64102564102564108</v>
      </c>
    </row>
    <row r="646" spans="1:18" x14ac:dyDescent="0.4">
      <c r="A646" t="s">
        <v>676</v>
      </c>
      <c r="B646" t="s">
        <v>64</v>
      </c>
      <c r="C646">
        <v>78</v>
      </c>
      <c r="D646" s="4" t="s">
        <v>23</v>
      </c>
      <c r="E646" s="5">
        <v>45138</v>
      </c>
      <c r="F646">
        <v>205</v>
      </c>
      <c r="G646">
        <f>AVERAGEIF(calls[Representative], calls[[#This Row],[Representative]], calls[Satisfaction Rating])</f>
        <v>3.8973118279569863</v>
      </c>
      <c r="H646" t="str">
        <f>IF(AVERAGEIF(calls[Representative],calls[[#This Row],[Representative]],calls[Satisfaction Rating])&lt;3.5,"Needs Training","OK")</f>
        <v>OK</v>
      </c>
      <c r="I646">
        <v>4.4000000000000004</v>
      </c>
      <c r="J646">
        <f>IF(MONTH(calls[[#This Row],[Date of Call]])&lt;=6, YEAR(calls[[#This Row],[Date of Call]]), YEAR(calls[[#This Row],[Date of Call]])+1)</f>
        <v>2024</v>
      </c>
      <c r="K646" t="str">
        <f>TEXT(calls[[#This Row],[Date of Call]],"DDDD")</f>
        <v>Monday</v>
      </c>
      <c r="L646" t="str" cm="1">
        <f t="array" ref="L646">_xlfn.IFS(calls[[#This Row],[Duration]]&lt;=10,"under 10 mins",calls[[#This Row],[Duration]]&lt;=30,"10 to 30mins",calls[[#This Row],[Duration]]&lt;=60,"60 to 30mins",calls[[#This Row],[Duration]]&lt;=120,"1 to 2hrs",TRUE,"More than 2 hrs")</f>
        <v>1 to 2hrs</v>
      </c>
      <c r="M646">
        <f>ROUND(calls[[#This Row],[Satisfaction Rating]],0)</f>
        <v>4</v>
      </c>
      <c r="N646">
        <f>COUNTIF(calls[Customer ID], calls[[#This Row],[Customer ID]])</f>
        <v>65</v>
      </c>
      <c r="O646">
        <f>SUMIF(calls[Customer ID], calls[[#This Row],[Customer ID]], calls[Purchase Amount])</f>
        <v>6785</v>
      </c>
      <c r="P646">
        <f>calls[[#This Row],[call count]]/calls[[#This Row],[Purchase Amount]]</f>
        <v>0.31707317073170732</v>
      </c>
      <c r="Q646">
        <f>COUNTIF(calls[Customer ID],calls[[#This Row],[Customer ID]])</f>
        <v>65</v>
      </c>
      <c r="R646">
        <f>calls[[#This Row],[call count]]/calls[[#This Row],[Purchase Amount]]</f>
        <v>0.31707317073170732</v>
      </c>
    </row>
    <row r="647" spans="1:18" x14ac:dyDescent="0.4">
      <c r="A647" t="s">
        <v>677</v>
      </c>
      <c r="B647" t="s">
        <v>32</v>
      </c>
      <c r="C647">
        <v>122</v>
      </c>
      <c r="D647" s="4" t="s">
        <v>23</v>
      </c>
      <c r="E647" s="5">
        <v>45138</v>
      </c>
      <c r="F647">
        <v>78</v>
      </c>
      <c r="G647">
        <f>AVERAGEIF(calls[Representative], calls[[#This Row],[Representative]], calls[Satisfaction Rating])</f>
        <v>3.8973118279569863</v>
      </c>
      <c r="H647" t="str">
        <f>IF(AVERAGEIF(calls[Representative],calls[[#This Row],[Representative]],calls[Satisfaction Rating])&lt;3.5,"Needs Training","OK")</f>
        <v>OK</v>
      </c>
      <c r="I647">
        <v>2.7</v>
      </c>
      <c r="J647">
        <f>IF(MONTH(calls[[#This Row],[Date of Call]])&lt;=6, YEAR(calls[[#This Row],[Date of Call]]), YEAR(calls[[#This Row],[Date of Call]])+1)</f>
        <v>2024</v>
      </c>
      <c r="K647" t="str">
        <f>TEXT(calls[[#This Row],[Date of Call]],"DDDD")</f>
        <v>Monday</v>
      </c>
      <c r="L647" t="str" cm="1">
        <f t="array" ref="L647">_xlfn.IFS(calls[[#This Row],[Duration]]&lt;=10,"under 10 mins",calls[[#This Row],[Duration]]&lt;=30,"10 to 30mins",calls[[#This Row],[Duration]]&lt;=60,"60 to 30mins",calls[[#This Row],[Duration]]&lt;=120,"1 to 2hrs",TRUE,"More than 2 hrs")</f>
        <v>More than 2 hrs</v>
      </c>
      <c r="M647">
        <f>ROUND(calls[[#This Row],[Satisfaction Rating]],0)</f>
        <v>3</v>
      </c>
      <c r="N647">
        <f>COUNTIF(calls[Customer ID], calls[[#This Row],[Customer ID]])</f>
        <v>63</v>
      </c>
      <c r="O647">
        <f>SUMIF(calls[Customer ID], calls[[#This Row],[Customer ID]], calls[Purchase Amount])</f>
        <v>5634</v>
      </c>
      <c r="P647">
        <f>calls[[#This Row],[call count]]/calls[[#This Row],[Purchase Amount]]</f>
        <v>0.80769230769230771</v>
      </c>
      <c r="Q647">
        <f>COUNTIF(calls[Customer ID],calls[[#This Row],[Customer ID]])</f>
        <v>63</v>
      </c>
      <c r="R647">
        <f>calls[[#This Row],[call count]]/calls[[#This Row],[Purchase Amount]]</f>
        <v>0.80769230769230771</v>
      </c>
    </row>
    <row r="648" spans="1:18" x14ac:dyDescent="0.4">
      <c r="A648" t="s">
        <v>678</v>
      </c>
      <c r="B648" t="s">
        <v>6</v>
      </c>
      <c r="C648">
        <v>58</v>
      </c>
      <c r="D648" s="4" t="s">
        <v>27</v>
      </c>
      <c r="E648" s="5">
        <v>45138</v>
      </c>
      <c r="F648">
        <v>38</v>
      </c>
      <c r="G648">
        <f>AVERAGEIF(calls[Representative], calls[[#This Row],[Representative]], calls[Satisfaction Rating])</f>
        <v>3.8589371980676304</v>
      </c>
      <c r="H648" t="str">
        <f>IF(AVERAGEIF(calls[Representative],calls[[#This Row],[Representative]],calls[Satisfaction Rating])&lt;3.5,"Needs Training","OK")</f>
        <v>OK</v>
      </c>
      <c r="I648">
        <v>4.5</v>
      </c>
      <c r="J648">
        <f>IF(MONTH(calls[[#This Row],[Date of Call]])&lt;=6, YEAR(calls[[#This Row],[Date of Call]]), YEAR(calls[[#This Row],[Date of Call]])+1)</f>
        <v>2024</v>
      </c>
      <c r="K648" t="str">
        <f>TEXT(calls[[#This Row],[Date of Call]],"DDDD")</f>
        <v>Monday</v>
      </c>
      <c r="L648" t="str" cm="1">
        <f t="array" ref="L648">_xlfn.IFS(calls[[#This Row],[Duration]]&lt;=10,"under 10 mins",calls[[#This Row],[Duration]]&lt;=30,"10 to 30mins",calls[[#This Row],[Duration]]&lt;=60,"60 to 30mins",calls[[#This Row],[Duration]]&lt;=120,"1 to 2hrs",TRUE,"More than 2 hrs")</f>
        <v>60 to 30mins</v>
      </c>
      <c r="M648">
        <f>ROUND(calls[[#This Row],[Satisfaction Rating]],0)</f>
        <v>5</v>
      </c>
      <c r="N648">
        <f>COUNTIF(calls[Customer ID], calls[[#This Row],[Customer ID]])</f>
        <v>82</v>
      </c>
      <c r="O648">
        <f>SUMIF(calls[Customer ID], calls[[#This Row],[Customer ID]], calls[Purchase Amount])</f>
        <v>7689</v>
      </c>
      <c r="P648">
        <f>calls[[#This Row],[call count]]/calls[[#This Row],[Purchase Amount]]</f>
        <v>2.1578947368421053</v>
      </c>
      <c r="Q648">
        <f>COUNTIF(calls[Customer ID],calls[[#This Row],[Customer ID]])</f>
        <v>82</v>
      </c>
      <c r="R648">
        <f>calls[[#This Row],[call count]]/calls[[#This Row],[Purchase Amount]]</f>
        <v>2.1578947368421053</v>
      </c>
    </row>
    <row r="649" spans="1:18" x14ac:dyDescent="0.4">
      <c r="A649" t="s">
        <v>679</v>
      </c>
      <c r="B649" t="s">
        <v>64</v>
      </c>
      <c r="C649">
        <v>33</v>
      </c>
      <c r="D649" s="4" t="s">
        <v>14</v>
      </c>
      <c r="E649" s="5">
        <v>45138</v>
      </c>
      <c r="F649">
        <v>92</v>
      </c>
      <c r="G649">
        <f>AVERAGEIF(calls[Representative], calls[[#This Row],[Representative]], calls[Satisfaction Rating])</f>
        <v>3.9227513227513247</v>
      </c>
      <c r="H649" t="str">
        <f>IF(AVERAGEIF(calls[Representative],calls[[#This Row],[Representative]],calls[Satisfaction Rating])&lt;3.5,"Needs Training","OK")</f>
        <v>OK</v>
      </c>
      <c r="I649">
        <v>1.7</v>
      </c>
      <c r="J649">
        <f>IF(MONTH(calls[[#This Row],[Date of Call]])&lt;=6, YEAR(calls[[#This Row],[Date of Call]]), YEAR(calls[[#This Row],[Date of Call]])+1)</f>
        <v>2024</v>
      </c>
      <c r="K649" t="str">
        <f>TEXT(calls[[#This Row],[Date of Call]],"DDDD")</f>
        <v>Monday</v>
      </c>
      <c r="L649" t="str" cm="1">
        <f t="array" ref="L649">_xlfn.IFS(calls[[#This Row],[Duration]]&lt;=10,"under 10 mins",calls[[#This Row],[Duration]]&lt;=30,"10 to 30mins",calls[[#This Row],[Duration]]&lt;=60,"60 to 30mins",calls[[#This Row],[Duration]]&lt;=120,"1 to 2hrs",TRUE,"More than 2 hrs")</f>
        <v>60 to 30mins</v>
      </c>
      <c r="M649">
        <f>ROUND(calls[[#This Row],[Satisfaction Rating]],0)</f>
        <v>2</v>
      </c>
      <c r="N649">
        <f>COUNTIF(calls[Customer ID], calls[[#This Row],[Customer ID]])</f>
        <v>65</v>
      </c>
      <c r="O649">
        <f>SUMIF(calls[Customer ID], calls[[#This Row],[Customer ID]], calls[Purchase Amount])</f>
        <v>6785</v>
      </c>
      <c r="P649">
        <f>calls[[#This Row],[call count]]/calls[[#This Row],[Purchase Amount]]</f>
        <v>0.70652173913043481</v>
      </c>
      <c r="Q649">
        <f>COUNTIF(calls[Customer ID],calls[[#This Row],[Customer ID]])</f>
        <v>65</v>
      </c>
      <c r="R649">
        <f>calls[[#This Row],[call count]]/calls[[#This Row],[Purchase Amount]]</f>
        <v>0.70652173913043481</v>
      </c>
    </row>
    <row r="650" spans="1:18" x14ac:dyDescent="0.4">
      <c r="A650" t="s">
        <v>680</v>
      </c>
      <c r="B650" t="s">
        <v>84</v>
      </c>
      <c r="C650">
        <v>164</v>
      </c>
      <c r="D650" s="4" t="s">
        <v>2</v>
      </c>
      <c r="E650" s="5">
        <v>45138</v>
      </c>
      <c r="F650">
        <v>36</v>
      </c>
      <c r="G650">
        <f>AVERAGEIF(calls[Representative], calls[[#This Row],[Representative]], calls[Satisfaction Rating])</f>
        <v>3.8824999999999998</v>
      </c>
      <c r="H650" t="str">
        <f>IF(AVERAGEIF(calls[Representative],calls[[#This Row],[Representative]],calls[Satisfaction Rating])&lt;3.5,"Needs Training","OK")</f>
        <v>OK</v>
      </c>
      <c r="I650">
        <v>4.7</v>
      </c>
      <c r="J650">
        <f>IF(MONTH(calls[[#This Row],[Date of Call]])&lt;=6, YEAR(calls[[#This Row],[Date of Call]]), YEAR(calls[[#This Row],[Date of Call]])+1)</f>
        <v>2024</v>
      </c>
      <c r="K650" t="str">
        <f>TEXT(calls[[#This Row],[Date of Call]],"DDDD")</f>
        <v>Monday</v>
      </c>
      <c r="L650" t="str" cm="1">
        <f t="array" ref="L650">_xlfn.IFS(calls[[#This Row],[Duration]]&lt;=10,"under 10 mins",calls[[#This Row],[Duration]]&lt;=30,"10 to 30mins",calls[[#This Row],[Duration]]&lt;=60,"60 to 30mins",calls[[#This Row],[Duration]]&lt;=120,"1 to 2hrs",TRUE,"More than 2 hrs")</f>
        <v>More than 2 hrs</v>
      </c>
      <c r="M650">
        <f>ROUND(calls[[#This Row],[Satisfaction Rating]],0)</f>
        <v>5</v>
      </c>
      <c r="N650">
        <f>COUNTIF(calls[Customer ID], calls[[#This Row],[Customer ID]])</f>
        <v>59</v>
      </c>
      <c r="O650">
        <f>SUMIF(calls[Customer ID], calls[[#This Row],[Customer ID]], calls[Purchase Amount])</f>
        <v>5009</v>
      </c>
      <c r="P650">
        <f>calls[[#This Row],[call count]]/calls[[#This Row],[Purchase Amount]]</f>
        <v>1.6388888888888888</v>
      </c>
      <c r="Q650">
        <f>COUNTIF(calls[Customer ID],calls[[#This Row],[Customer ID]])</f>
        <v>59</v>
      </c>
      <c r="R650">
        <f>calls[[#This Row],[call count]]/calls[[#This Row],[Purchase Amount]]</f>
        <v>1.6388888888888888</v>
      </c>
    </row>
    <row r="651" spans="1:18" x14ac:dyDescent="0.4">
      <c r="A651" t="s">
        <v>681</v>
      </c>
      <c r="B651" t="s">
        <v>54</v>
      </c>
      <c r="C651">
        <v>163</v>
      </c>
      <c r="D651" s="4" t="s">
        <v>9</v>
      </c>
      <c r="E651" s="5">
        <v>45138</v>
      </c>
      <c r="F651">
        <v>76</v>
      </c>
      <c r="G651">
        <f>AVERAGEIF(calls[Representative], calls[[#This Row],[Representative]], calls[Satisfaction Rating])</f>
        <v>3.8706422018348627</v>
      </c>
      <c r="H651" t="str">
        <f>IF(AVERAGEIF(calls[Representative],calls[[#This Row],[Representative]],calls[Satisfaction Rating])&lt;3.5,"Needs Training","OK")</f>
        <v>OK</v>
      </c>
      <c r="I651">
        <v>4.4000000000000004</v>
      </c>
      <c r="J651">
        <f>IF(MONTH(calls[[#This Row],[Date of Call]])&lt;=6, YEAR(calls[[#This Row],[Date of Call]]), YEAR(calls[[#This Row],[Date of Call]])+1)</f>
        <v>2024</v>
      </c>
      <c r="K651" t="str">
        <f>TEXT(calls[[#This Row],[Date of Call]],"DDDD")</f>
        <v>Monday</v>
      </c>
      <c r="L651" t="str" cm="1">
        <f t="array" ref="L651">_xlfn.IFS(calls[[#This Row],[Duration]]&lt;=10,"under 10 mins",calls[[#This Row],[Duration]]&lt;=30,"10 to 30mins",calls[[#This Row],[Duration]]&lt;=60,"60 to 30mins",calls[[#This Row],[Duration]]&lt;=120,"1 to 2hrs",TRUE,"More than 2 hrs")</f>
        <v>More than 2 hrs</v>
      </c>
      <c r="M651">
        <f>ROUND(calls[[#This Row],[Satisfaction Rating]],0)</f>
        <v>4</v>
      </c>
      <c r="N651">
        <f>COUNTIF(calls[Customer ID], calls[[#This Row],[Customer ID]])</f>
        <v>70</v>
      </c>
      <c r="O651">
        <f>SUMIF(calls[Customer ID], calls[[#This Row],[Customer ID]], calls[Purchase Amount])</f>
        <v>6819</v>
      </c>
      <c r="P651">
        <f>calls[[#This Row],[call count]]/calls[[#This Row],[Purchase Amount]]</f>
        <v>0.92105263157894735</v>
      </c>
      <c r="Q651">
        <f>COUNTIF(calls[Customer ID],calls[[#This Row],[Customer ID]])</f>
        <v>70</v>
      </c>
      <c r="R651">
        <f>calls[[#This Row],[call count]]/calls[[#This Row],[Purchase Amount]]</f>
        <v>0.92105263157894735</v>
      </c>
    </row>
    <row r="652" spans="1:18" x14ac:dyDescent="0.4">
      <c r="A652" t="s">
        <v>682</v>
      </c>
      <c r="B652" t="s">
        <v>21</v>
      </c>
      <c r="C652">
        <v>71</v>
      </c>
      <c r="D652" s="4" t="s">
        <v>2</v>
      </c>
      <c r="E652" s="5">
        <v>45140</v>
      </c>
      <c r="F652">
        <v>170</v>
      </c>
      <c r="G652">
        <f>AVERAGEIF(calls[Representative], calls[[#This Row],[Representative]], calls[Satisfaction Rating])</f>
        <v>3.8824999999999998</v>
      </c>
      <c r="H652" t="str">
        <f>IF(AVERAGEIF(calls[Representative],calls[[#This Row],[Representative]],calls[Satisfaction Rating])&lt;3.5,"Needs Training","OK")</f>
        <v>OK</v>
      </c>
      <c r="I652">
        <v>3.5</v>
      </c>
      <c r="J652">
        <f>IF(MONTH(calls[[#This Row],[Date of Call]])&lt;=6, YEAR(calls[[#This Row],[Date of Call]]), YEAR(calls[[#This Row],[Date of Call]])+1)</f>
        <v>2024</v>
      </c>
      <c r="K652" t="str">
        <f>TEXT(calls[[#This Row],[Date of Call]],"DDDD")</f>
        <v>Wednesday</v>
      </c>
      <c r="L652" t="str" cm="1">
        <f t="array" ref="L652">_xlfn.IFS(calls[[#This Row],[Duration]]&lt;=10,"under 10 mins",calls[[#This Row],[Duration]]&lt;=30,"10 to 30mins",calls[[#This Row],[Duration]]&lt;=60,"60 to 30mins",calls[[#This Row],[Duration]]&lt;=120,"1 to 2hrs",TRUE,"More than 2 hrs")</f>
        <v>1 to 2hrs</v>
      </c>
      <c r="M652">
        <f>ROUND(calls[[#This Row],[Satisfaction Rating]],0)</f>
        <v>4</v>
      </c>
      <c r="N652">
        <f>COUNTIF(calls[Customer ID], calls[[#This Row],[Customer ID]])</f>
        <v>67</v>
      </c>
      <c r="O652">
        <f>SUMIF(calls[Customer ID], calls[[#This Row],[Customer ID]], calls[Purchase Amount])</f>
        <v>7216</v>
      </c>
      <c r="P652">
        <f>calls[[#This Row],[call count]]/calls[[#This Row],[Purchase Amount]]</f>
        <v>0.39411764705882352</v>
      </c>
      <c r="Q652">
        <f>COUNTIF(calls[Customer ID],calls[[#This Row],[Customer ID]])</f>
        <v>67</v>
      </c>
      <c r="R652">
        <f>calls[[#This Row],[call count]]/calls[[#This Row],[Purchase Amount]]</f>
        <v>0.39411764705882352</v>
      </c>
    </row>
    <row r="653" spans="1:18" x14ac:dyDescent="0.4">
      <c r="A653" t="s">
        <v>683</v>
      </c>
      <c r="B653" t="s">
        <v>64</v>
      </c>
      <c r="C653">
        <v>103</v>
      </c>
      <c r="D653" s="4" t="s">
        <v>27</v>
      </c>
      <c r="E653" s="5">
        <v>45141</v>
      </c>
      <c r="F653">
        <v>117</v>
      </c>
      <c r="G653">
        <f>AVERAGEIF(calls[Representative], calls[[#This Row],[Representative]], calls[Satisfaction Rating])</f>
        <v>3.8589371980676304</v>
      </c>
      <c r="H653" t="str">
        <f>IF(AVERAGEIF(calls[Representative],calls[[#This Row],[Representative]],calls[Satisfaction Rating])&lt;3.5,"Needs Training","OK")</f>
        <v>OK</v>
      </c>
      <c r="I653">
        <v>4.7</v>
      </c>
      <c r="J653">
        <f>IF(MONTH(calls[[#This Row],[Date of Call]])&lt;=6, YEAR(calls[[#This Row],[Date of Call]]), YEAR(calls[[#This Row],[Date of Call]])+1)</f>
        <v>2024</v>
      </c>
      <c r="K653" t="str">
        <f>TEXT(calls[[#This Row],[Date of Call]],"DDDD")</f>
        <v>Thursday</v>
      </c>
      <c r="L653" t="str" cm="1">
        <f t="array" ref="L653">_xlfn.IFS(calls[[#This Row],[Duration]]&lt;=10,"under 10 mins",calls[[#This Row],[Duration]]&lt;=30,"10 to 30mins",calls[[#This Row],[Duration]]&lt;=60,"60 to 30mins",calls[[#This Row],[Duration]]&lt;=120,"1 to 2hrs",TRUE,"More than 2 hrs")</f>
        <v>1 to 2hrs</v>
      </c>
      <c r="M653">
        <f>ROUND(calls[[#This Row],[Satisfaction Rating]],0)</f>
        <v>5</v>
      </c>
      <c r="N653">
        <f>COUNTIF(calls[Customer ID], calls[[#This Row],[Customer ID]])</f>
        <v>65</v>
      </c>
      <c r="O653">
        <f>SUMIF(calls[Customer ID], calls[[#This Row],[Customer ID]], calls[Purchase Amount])</f>
        <v>6785</v>
      </c>
      <c r="P653">
        <f>calls[[#This Row],[call count]]/calls[[#This Row],[Purchase Amount]]</f>
        <v>0.55555555555555558</v>
      </c>
      <c r="Q653">
        <f>COUNTIF(calls[Customer ID],calls[[#This Row],[Customer ID]])</f>
        <v>65</v>
      </c>
      <c r="R653">
        <f>calls[[#This Row],[call count]]/calls[[#This Row],[Purchase Amount]]</f>
        <v>0.55555555555555558</v>
      </c>
    </row>
    <row r="654" spans="1:18" x14ac:dyDescent="0.4">
      <c r="A654" t="s">
        <v>684</v>
      </c>
      <c r="B654" t="s">
        <v>44</v>
      </c>
      <c r="C654">
        <v>69</v>
      </c>
      <c r="D654" s="4" t="s">
        <v>9</v>
      </c>
      <c r="E654" s="5">
        <v>45141</v>
      </c>
      <c r="F654">
        <v>20</v>
      </c>
      <c r="G654">
        <f>AVERAGEIF(calls[Representative], calls[[#This Row],[Representative]], calls[Satisfaction Rating])</f>
        <v>3.8706422018348627</v>
      </c>
      <c r="H654" t="str">
        <f>IF(AVERAGEIF(calls[Representative],calls[[#This Row],[Representative]],calls[Satisfaction Rating])&lt;3.5,"Needs Training","OK")</f>
        <v>OK</v>
      </c>
      <c r="I654">
        <v>4.3</v>
      </c>
      <c r="J654">
        <f>IF(MONTH(calls[[#This Row],[Date of Call]])&lt;=6, YEAR(calls[[#This Row],[Date of Call]]), YEAR(calls[[#This Row],[Date of Call]])+1)</f>
        <v>2024</v>
      </c>
      <c r="K654" t="str">
        <f>TEXT(calls[[#This Row],[Date of Call]],"DDDD")</f>
        <v>Thursday</v>
      </c>
      <c r="L654" t="str" cm="1">
        <f t="array" ref="L654">_xlfn.IFS(calls[[#This Row],[Duration]]&lt;=10,"under 10 mins",calls[[#This Row],[Duration]]&lt;=30,"10 to 30mins",calls[[#This Row],[Duration]]&lt;=60,"60 to 30mins",calls[[#This Row],[Duration]]&lt;=120,"1 to 2hrs",TRUE,"More than 2 hrs")</f>
        <v>1 to 2hrs</v>
      </c>
      <c r="M654">
        <f>ROUND(calls[[#This Row],[Satisfaction Rating]],0)</f>
        <v>4</v>
      </c>
      <c r="N654">
        <f>COUNTIF(calls[Customer ID], calls[[#This Row],[Customer ID]])</f>
        <v>62</v>
      </c>
      <c r="O654">
        <f>SUMIF(calls[Customer ID], calls[[#This Row],[Customer ID]], calls[Purchase Amount])</f>
        <v>6176</v>
      </c>
      <c r="P654">
        <f>calls[[#This Row],[call count]]/calls[[#This Row],[Purchase Amount]]</f>
        <v>3.1</v>
      </c>
      <c r="Q654">
        <f>COUNTIF(calls[Customer ID],calls[[#This Row],[Customer ID]])</f>
        <v>62</v>
      </c>
      <c r="R654">
        <f>calls[[#This Row],[call count]]/calls[[#This Row],[Purchase Amount]]</f>
        <v>3.1</v>
      </c>
    </row>
    <row r="655" spans="1:18" x14ac:dyDescent="0.4">
      <c r="A655" t="s">
        <v>685</v>
      </c>
      <c r="B655" t="s">
        <v>54</v>
      </c>
      <c r="C655">
        <v>111</v>
      </c>
      <c r="D655" s="4" t="s">
        <v>27</v>
      </c>
      <c r="E655" s="5">
        <v>45141</v>
      </c>
      <c r="F655">
        <v>99</v>
      </c>
      <c r="G655">
        <f>AVERAGEIF(calls[Representative], calls[[#This Row],[Representative]], calls[Satisfaction Rating])</f>
        <v>3.8589371980676304</v>
      </c>
      <c r="H655" t="str">
        <f>IF(AVERAGEIF(calls[Representative],calls[[#This Row],[Representative]],calls[Satisfaction Rating])&lt;3.5,"Needs Training","OK")</f>
        <v>OK</v>
      </c>
      <c r="I655">
        <v>4.0999999999999996</v>
      </c>
      <c r="J655">
        <f>IF(MONTH(calls[[#This Row],[Date of Call]])&lt;=6, YEAR(calls[[#This Row],[Date of Call]]), YEAR(calls[[#This Row],[Date of Call]])+1)</f>
        <v>2024</v>
      </c>
      <c r="K655" t="str">
        <f>TEXT(calls[[#This Row],[Date of Call]],"DDDD")</f>
        <v>Thursday</v>
      </c>
      <c r="L655" t="str" cm="1">
        <f t="array" ref="L655">_xlfn.IFS(calls[[#This Row],[Duration]]&lt;=10,"under 10 mins",calls[[#This Row],[Duration]]&lt;=30,"10 to 30mins",calls[[#This Row],[Duration]]&lt;=60,"60 to 30mins",calls[[#This Row],[Duration]]&lt;=120,"1 to 2hrs",TRUE,"More than 2 hrs")</f>
        <v>1 to 2hrs</v>
      </c>
      <c r="M655">
        <f>ROUND(calls[[#This Row],[Satisfaction Rating]],0)</f>
        <v>4</v>
      </c>
      <c r="N655">
        <f>COUNTIF(calls[Customer ID], calls[[#This Row],[Customer ID]])</f>
        <v>70</v>
      </c>
      <c r="O655">
        <f>SUMIF(calls[Customer ID], calls[[#This Row],[Customer ID]], calls[Purchase Amount])</f>
        <v>6819</v>
      </c>
      <c r="P655">
        <f>calls[[#This Row],[call count]]/calls[[#This Row],[Purchase Amount]]</f>
        <v>0.70707070707070707</v>
      </c>
      <c r="Q655">
        <f>COUNTIF(calls[Customer ID],calls[[#This Row],[Customer ID]])</f>
        <v>70</v>
      </c>
      <c r="R655">
        <f>calls[[#This Row],[call count]]/calls[[#This Row],[Purchase Amount]]</f>
        <v>0.70707070707070707</v>
      </c>
    </row>
    <row r="656" spans="1:18" x14ac:dyDescent="0.4">
      <c r="A656" t="s">
        <v>686</v>
      </c>
      <c r="B656" t="s">
        <v>26</v>
      </c>
      <c r="C656">
        <v>97</v>
      </c>
      <c r="D656" s="4" t="s">
        <v>9</v>
      </c>
      <c r="E656" s="5">
        <v>45142</v>
      </c>
      <c r="F656">
        <v>105</v>
      </c>
      <c r="G656">
        <f>AVERAGEIF(calls[Representative], calls[[#This Row],[Representative]], calls[Satisfaction Rating])</f>
        <v>3.8706422018348627</v>
      </c>
      <c r="H656" t="str">
        <f>IF(AVERAGEIF(calls[Representative],calls[[#This Row],[Representative]],calls[Satisfaction Rating])&lt;3.5,"Needs Training","OK")</f>
        <v>OK</v>
      </c>
      <c r="I656">
        <v>2.9</v>
      </c>
      <c r="J656">
        <f>IF(MONTH(calls[[#This Row],[Date of Call]])&lt;=6, YEAR(calls[[#This Row],[Date of Call]]), YEAR(calls[[#This Row],[Date of Call]])+1)</f>
        <v>2024</v>
      </c>
      <c r="K656" t="str">
        <f>TEXT(calls[[#This Row],[Date of Call]],"DDDD")</f>
        <v>Friday</v>
      </c>
      <c r="L656" t="str" cm="1">
        <f t="array" ref="L656">_xlfn.IFS(calls[[#This Row],[Duration]]&lt;=10,"under 10 mins",calls[[#This Row],[Duration]]&lt;=30,"10 to 30mins",calls[[#This Row],[Duration]]&lt;=60,"60 to 30mins",calls[[#This Row],[Duration]]&lt;=120,"1 to 2hrs",TRUE,"More than 2 hrs")</f>
        <v>1 to 2hrs</v>
      </c>
      <c r="M656">
        <f>ROUND(calls[[#This Row],[Satisfaction Rating]],0)</f>
        <v>3</v>
      </c>
      <c r="N656">
        <f>COUNTIF(calls[Customer ID], calls[[#This Row],[Customer ID]])</f>
        <v>72</v>
      </c>
      <c r="O656">
        <f>SUMIF(calls[Customer ID], calls[[#This Row],[Customer ID]], calls[Purchase Amount])</f>
        <v>6242</v>
      </c>
      <c r="P656">
        <f>calls[[#This Row],[call count]]/calls[[#This Row],[Purchase Amount]]</f>
        <v>0.68571428571428572</v>
      </c>
      <c r="Q656">
        <f>COUNTIF(calls[Customer ID],calls[[#This Row],[Customer ID]])</f>
        <v>72</v>
      </c>
      <c r="R656">
        <f>calls[[#This Row],[call count]]/calls[[#This Row],[Purchase Amount]]</f>
        <v>0.68571428571428572</v>
      </c>
    </row>
    <row r="657" spans="1:18" x14ac:dyDescent="0.4">
      <c r="A657" t="s">
        <v>687</v>
      </c>
      <c r="B657" t="s">
        <v>30</v>
      </c>
      <c r="C657">
        <v>144</v>
      </c>
      <c r="D657" s="4" t="s">
        <v>23</v>
      </c>
      <c r="E657" s="5">
        <v>45142</v>
      </c>
      <c r="F657">
        <v>195</v>
      </c>
      <c r="G657">
        <f>AVERAGEIF(calls[Representative], calls[[#This Row],[Representative]], calls[Satisfaction Rating])</f>
        <v>3.8973118279569863</v>
      </c>
      <c r="H657" t="str">
        <f>IF(AVERAGEIF(calls[Representative],calls[[#This Row],[Representative]],calls[Satisfaction Rating])&lt;3.5,"Needs Training","OK")</f>
        <v>OK</v>
      </c>
      <c r="I657">
        <v>3.4</v>
      </c>
      <c r="J657">
        <f>IF(MONTH(calls[[#This Row],[Date of Call]])&lt;=6, YEAR(calls[[#This Row],[Date of Call]]), YEAR(calls[[#This Row],[Date of Call]])+1)</f>
        <v>2024</v>
      </c>
      <c r="K657" t="str">
        <f>TEXT(calls[[#This Row],[Date of Call]],"DDDD")</f>
        <v>Friday</v>
      </c>
      <c r="L657" t="str" cm="1">
        <f t="array" ref="L657">_xlfn.IFS(calls[[#This Row],[Duration]]&lt;=10,"under 10 mins",calls[[#This Row],[Duration]]&lt;=30,"10 to 30mins",calls[[#This Row],[Duration]]&lt;=60,"60 to 30mins",calls[[#This Row],[Duration]]&lt;=120,"1 to 2hrs",TRUE,"More than 2 hrs")</f>
        <v>More than 2 hrs</v>
      </c>
      <c r="M657">
        <f>ROUND(calls[[#This Row],[Satisfaction Rating]],0)</f>
        <v>3</v>
      </c>
      <c r="N657">
        <f>COUNTIF(calls[Customer ID], calls[[#This Row],[Customer ID]])</f>
        <v>69</v>
      </c>
      <c r="O657">
        <f>SUMIF(calls[Customer ID], calls[[#This Row],[Customer ID]], calls[Purchase Amount])</f>
        <v>7230</v>
      </c>
      <c r="P657">
        <f>calls[[#This Row],[call count]]/calls[[#This Row],[Purchase Amount]]</f>
        <v>0.35384615384615387</v>
      </c>
      <c r="Q657">
        <f>COUNTIF(calls[Customer ID],calls[[#This Row],[Customer ID]])</f>
        <v>69</v>
      </c>
      <c r="R657">
        <f>calls[[#This Row],[call count]]/calls[[#This Row],[Purchase Amount]]</f>
        <v>0.35384615384615387</v>
      </c>
    </row>
    <row r="658" spans="1:18" x14ac:dyDescent="0.4">
      <c r="A658" t="s">
        <v>688</v>
      </c>
      <c r="B658" t="s">
        <v>8</v>
      </c>
      <c r="C658">
        <v>56</v>
      </c>
      <c r="D658" s="4" t="s">
        <v>9</v>
      </c>
      <c r="E658" s="5">
        <v>45143</v>
      </c>
      <c r="F658">
        <v>152</v>
      </c>
      <c r="G658">
        <f>AVERAGEIF(calls[Representative], calls[[#This Row],[Representative]], calls[Satisfaction Rating])</f>
        <v>3.8706422018348627</v>
      </c>
      <c r="H658" t="str">
        <f>IF(AVERAGEIF(calls[Representative],calls[[#This Row],[Representative]],calls[Satisfaction Rating])&lt;3.5,"Needs Training","OK")</f>
        <v>OK</v>
      </c>
      <c r="I658">
        <v>4.5999999999999996</v>
      </c>
      <c r="J658">
        <f>IF(MONTH(calls[[#This Row],[Date of Call]])&lt;=6, YEAR(calls[[#This Row],[Date of Call]]), YEAR(calls[[#This Row],[Date of Call]])+1)</f>
        <v>2024</v>
      </c>
      <c r="K658" t="str">
        <f>TEXT(calls[[#This Row],[Date of Call]],"DDDD")</f>
        <v>Saturday</v>
      </c>
      <c r="L658" t="str" cm="1">
        <f t="array" ref="L658">_xlfn.IFS(calls[[#This Row],[Duration]]&lt;=10,"under 10 mins",calls[[#This Row],[Duration]]&lt;=30,"10 to 30mins",calls[[#This Row],[Duration]]&lt;=60,"60 to 30mins",calls[[#This Row],[Duration]]&lt;=120,"1 to 2hrs",TRUE,"More than 2 hrs")</f>
        <v>60 to 30mins</v>
      </c>
      <c r="M658">
        <f>ROUND(calls[[#This Row],[Satisfaction Rating]],0)</f>
        <v>5</v>
      </c>
      <c r="N658">
        <f>COUNTIF(calls[Customer ID], calls[[#This Row],[Customer ID]])</f>
        <v>79</v>
      </c>
      <c r="O658">
        <f>SUMIF(calls[Customer ID], calls[[#This Row],[Customer ID]], calls[Purchase Amount])</f>
        <v>7747</v>
      </c>
      <c r="P658">
        <f>calls[[#This Row],[call count]]/calls[[#This Row],[Purchase Amount]]</f>
        <v>0.51973684210526316</v>
      </c>
      <c r="Q658">
        <f>COUNTIF(calls[Customer ID],calls[[#This Row],[Customer ID]])</f>
        <v>79</v>
      </c>
      <c r="R658">
        <f>calls[[#This Row],[call count]]/calls[[#This Row],[Purchase Amount]]</f>
        <v>0.51973684210526316</v>
      </c>
    </row>
    <row r="659" spans="1:18" x14ac:dyDescent="0.4">
      <c r="A659" t="s">
        <v>689</v>
      </c>
      <c r="B659" t="s">
        <v>30</v>
      </c>
      <c r="C659">
        <v>132</v>
      </c>
      <c r="D659" s="4" t="s">
        <v>23</v>
      </c>
      <c r="E659" s="5">
        <v>45144</v>
      </c>
      <c r="F659">
        <v>195</v>
      </c>
      <c r="G659">
        <f>AVERAGEIF(calls[Representative], calls[[#This Row],[Representative]], calls[Satisfaction Rating])</f>
        <v>3.8973118279569863</v>
      </c>
      <c r="H659" t="str">
        <f>IF(AVERAGEIF(calls[Representative],calls[[#This Row],[Representative]],calls[Satisfaction Rating])&lt;3.5,"Needs Training","OK")</f>
        <v>OK</v>
      </c>
      <c r="I659">
        <v>4.9000000000000004</v>
      </c>
      <c r="J659">
        <f>IF(MONTH(calls[[#This Row],[Date of Call]])&lt;=6, YEAR(calls[[#This Row],[Date of Call]]), YEAR(calls[[#This Row],[Date of Call]])+1)</f>
        <v>2024</v>
      </c>
      <c r="K659" t="str">
        <f>TEXT(calls[[#This Row],[Date of Call]],"DDDD")</f>
        <v>Sunday</v>
      </c>
      <c r="L659" t="str" cm="1">
        <f t="array" ref="L659">_xlfn.IFS(calls[[#This Row],[Duration]]&lt;=10,"under 10 mins",calls[[#This Row],[Duration]]&lt;=30,"10 to 30mins",calls[[#This Row],[Duration]]&lt;=60,"60 to 30mins",calls[[#This Row],[Duration]]&lt;=120,"1 to 2hrs",TRUE,"More than 2 hrs")</f>
        <v>More than 2 hrs</v>
      </c>
      <c r="M659">
        <f>ROUND(calls[[#This Row],[Satisfaction Rating]],0)</f>
        <v>5</v>
      </c>
      <c r="N659">
        <f>COUNTIF(calls[Customer ID], calls[[#This Row],[Customer ID]])</f>
        <v>69</v>
      </c>
      <c r="O659">
        <f>SUMIF(calls[Customer ID], calls[[#This Row],[Customer ID]], calls[Purchase Amount])</f>
        <v>7230</v>
      </c>
      <c r="P659">
        <f>calls[[#This Row],[call count]]/calls[[#This Row],[Purchase Amount]]</f>
        <v>0.35384615384615387</v>
      </c>
      <c r="Q659">
        <f>COUNTIF(calls[Customer ID],calls[[#This Row],[Customer ID]])</f>
        <v>69</v>
      </c>
      <c r="R659">
        <f>calls[[#This Row],[call count]]/calls[[#This Row],[Purchase Amount]]</f>
        <v>0.35384615384615387</v>
      </c>
    </row>
    <row r="660" spans="1:18" x14ac:dyDescent="0.4">
      <c r="A660" t="s">
        <v>690</v>
      </c>
      <c r="B660" t="s">
        <v>21</v>
      </c>
      <c r="C660">
        <v>72</v>
      </c>
      <c r="D660" s="4" t="s">
        <v>14</v>
      </c>
      <c r="E660" s="5">
        <v>45144</v>
      </c>
      <c r="F660">
        <v>70</v>
      </c>
      <c r="G660">
        <f>AVERAGEIF(calls[Representative], calls[[#This Row],[Representative]], calls[Satisfaction Rating])</f>
        <v>3.9227513227513247</v>
      </c>
      <c r="H660" t="str">
        <f>IF(AVERAGEIF(calls[Representative],calls[[#This Row],[Representative]],calls[Satisfaction Rating])&lt;3.5,"Needs Training","OK")</f>
        <v>OK</v>
      </c>
      <c r="I660">
        <v>3.6</v>
      </c>
      <c r="J660">
        <f>IF(MONTH(calls[[#This Row],[Date of Call]])&lt;=6, YEAR(calls[[#This Row],[Date of Call]]), YEAR(calls[[#This Row],[Date of Call]])+1)</f>
        <v>2024</v>
      </c>
      <c r="K660" t="str">
        <f>TEXT(calls[[#This Row],[Date of Call]],"DDDD")</f>
        <v>Sunday</v>
      </c>
      <c r="L660" t="str" cm="1">
        <f t="array" ref="L660">_xlfn.IFS(calls[[#This Row],[Duration]]&lt;=10,"under 10 mins",calls[[#This Row],[Duration]]&lt;=30,"10 to 30mins",calls[[#This Row],[Duration]]&lt;=60,"60 to 30mins",calls[[#This Row],[Duration]]&lt;=120,"1 to 2hrs",TRUE,"More than 2 hrs")</f>
        <v>1 to 2hrs</v>
      </c>
      <c r="M660">
        <f>ROUND(calls[[#This Row],[Satisfaction Rating]],0)</f>
        <v>4</v>
      </c>
      <c r="N660">
        <f>COUNTIF(calls[Customer ID], calls[[#This Row],[Customer ID]])</f>
        <v>67</v>
      </c>
      <c r="O660">
        <f>SUMIF(calls[Customer ID], calls[[#This Row],[Customer ID]], calls[Purchase Amount])</f>
        <v>7216</v>
      </c>
      <c r="P660">
        <f>calls[[#This Row],[call count]]/calls[[#This Row],[Purchase Amount]]</f>
        <v>0.95714285714285718</v>
      </c>
      <c r="Q660">
        <f>COUNTIF(calls[Customer ID],calls[[#This Row],[Customer ID]])</f>
        <v>67</v>
      </c>
      <c r="R660">
        <f>calls[[#This Row],[call count]]/calls[[#This Row],[Purchase Amount]]</f>
        <v>0.95714285714285718</v>
      </c>
    </row>
    <row r="661" spans="1:18" x14ac:dyDescent="0.4">
      <c r="A661" t="s">
        <v>691</v>
      </c>
      <c r="B661" t="s">
        <v>54</v>
      </c>
      <c r="C661">
        <v>18</v>
      </c>
      <c r="D661" s="4" t="s">
        <v>14</v>
      </c>
      <c r="E661" s="5">
        <v>45144</v>
      </c>
      <c r="F661">
        <v>22</v>
      </c>
      <c r="G661">
        <f>AVERAGEIF(calls[Representative], calls[[#This Row],[Representative]], calls[Satisfaction Rating])</f>
        <v>3.9227513227513247</v>
      </c>
      <c r="H661" t="str">
        <f>IF(AVERAGEIF(calls[Representative],calls[[#This Row],[Representative]],calls[Satisfaction Rating])&lt;3.5,"Needs Training","OK")</f>
        <v>OK</v>
      </c>
      <c r="I661">
        <v>3.5</v>
      </c>
      <c r="J661">
        <f>IF(MONTH(calls[[#This Row],[Date of Call]])&lt;=6, YEAR(calls[[#This Row],[Date of Call]]), YEAR(calls[[#This Row],[Date of Call]])+1)</f>
        <v>2024</v>
      </c>
      <c r="K661" t="str">
        <f>TEXT(calls[[#This Row],[Date of Call]],"DDDD")</f>
        <v>Sunday</v>
      </c>
      <c r="L661" t="str" cm="1">
        <f t="array" ref="L661">_xlfn.IFS(calls[[#This Row],[Duration]]&lt;=10,"under 10 mins",calls[[#This Row],[Duration]]&lt;=30,"10 to 30mins",calls[[#This Row],[Duration]]&lt;=60,"60 to 30mins",calls[[#This Row],[Duration]]&lt;=120,"1 to 2hrs",TRUE,"More than 2 hrs")</f>
        <v>10 to 30mins</v>
      </c>
      <c r="M661">
        <f>ROUND(calls[[#This Row],[Satisfaction Rating]],0)</f>
        <v>4</v>
      </c>
      <c r="N661">
        <f>COUNTIF(calls[Customer ID], calls[[#This Row],[Customer ID]])</f>
        <v>70</v>
      </c>
      <c r="O661">
        <f>SUMIF(calls[Customer ID], calls[[#This Row],[Customer ID]], calls[Purchase Amount])</f>
        <v>6819</v>
      </c>
      <c r="P661">
        <f>calls[[#This Row],[call count]]/calls[[#This Row],[Purchase Amount]]</f>
        <v>3.1818181818181817</v>
      </c>
      <c r="Q661">
        <f>COUNTIF(calls[Customer ID],calls[[#This Row],[Customer ID]])</f>
        <v>70</v>
      </c>
      <c r="R661">
        <f>calls[[#This Row],[call count]]/calls[[#This Row],[Purchase Amount]]</f>
        <v>3.1818181818181817</v>
      </c>
    </row>
    <row r="662" spans="1:18" x14ac:dyDescent="0.4">
      <c r="A662" t="s">
        <v>692</v>
      </c>
      <c r="B662" t="s">
        <v>13</v>
      </c>
      <c r="C662">
        <v>115</v>
      </c>
      <c r="D662" s="4" t="s">
        <v>27</v>
      </c>
      <c r="E662" s="5">
        <v>45145</v>
      </c>
      <c r="F662">
        <v>40</v>
      </c>
      <c r="G662">
        <f>AVERAGEIF(calls[Representative], calls[[#This Row],[Representative]], calls[Satisfaction Rating])</f>
        <v>3.8589371980676304</v>
      </c>
      <c r="H662" t="str">
        <f>IF(AVERAGEIF(calls[Representative],calls[[#This Row],[Representative]],calls[Satisfaction Rating])&lt;3.5,"Needs Training","OK")</f>
        <v>OK</v>
      </c>
      <c r="I662">
        <v>3.3</v>
      </c>
      <c r="J662">
        <f>IF(MONTH(calls[[#This Row],[Date of Call]])&lt;=6, YEAR(calls[[#This Row],[Date of Call]]), YEAR(calls[[#This Row],[Date of Call]])+1)</f>
        <v>2024</v>
      </c>
      <c r="K662" t="str">
        <f>TEXT(calls[[#This Row],[Date of Call]],"DDDD")</f>
        <v>Monday</v>
      </c>
      <c r="L662" t="str" cm="1">
        <f t="array" ref="L662">_xlfn.IFS(calls[[#This Row],[Duration]]&lt;=10,"under 10 mins",calls[[#This Row],[Duration]]&lt;=30,"10 to 30mins",calls[[#This Row],[Duration]]&lt;=60,"60 to 30mins",calls[[#This Row],[Duration]]&lt;=120,"1 to 2hrs",TRUE,"More than 2 hrs")</f>
        <v>1 to 2hrs</v>
      </c>
      <c r="M662">
        <f>ROUND(calls[[#This Row],[Satisfaction Rating]],0)</f>
        <v>3</v>
      </c>
      <c r="N662">
        <f>COUNTIF(calls[Customer ID], calls[[#This Row],[Customer ID]])</f>
        <v>74</v>
      </c>
      <c r="O662">
        <f>SUMIF(calls[Customer ID], calls[[#This Row],[Customer ID]], calls[Purchase Amount])</f>
        <v>6749</v>
      </c>
      <c r="P662">
        <f>calls[[#This Row],[call count]]/calls[[#This Row],[Purchase Amount]]</f>
        <v>1.85</v>
      </c>
      <c r="Q662">
        <f>COUNTIF(calls[Customer ID],calls[[#This Row],[Customer ID]])</f>
        <v>74</v>
      </c>
      <c r="R662">
        <f>calls[[#This Row],[call count]]/calls[[#This Row],[Purchase Amount]]</f>
        <v>1.85</v>
      </c>
    </row>
    <row r="663" spans="1:18" x14ac:dyDescent="0.4">
      <c r="A663" t="s">
        <v>693</v>
      </c>
      <c r="B663" t="s">
        <v>13</v>
      </c>
      <c r="C663">
        <v>124</v>
      </c>
      <c r="D663" s="4" t="s">
        <v>9</v>
      </c>
      <c r="E663" s="5">
        <v>45146</v>
      </c>
      <c r="F663">
        <v>54</v>
      </c>
      <c r="G663">
        <f>AVERAGEIF(calls[Representative], calls[[#This Row],[Representative]], calls[Satisfaction Rating])</f>
        <v>3.8706422018348627</v>
      </c>
      <c r="H663" t="str">
        <f>IF(AVERAGEIF(calls[Representative],calls[[#This Row],[Representative]],calls[Satisfaction Rating])&lt;3.5,"Needs Training","OK")</f>
        <v>OK</v>
      </c>
      <c r="I663">
        <v>3.8</v>
      </c>
      <c r="J663">
        <f>IF(MONTH(calls[[#This Row],[Date of Call]])&lt;=6, YEAR(calls[[#This Row],[Date of Call]]), YEAR(calls[[#This Row],[Date of Call]])+1)</f>
        <v>2024</v>
      </c>
      <c r="K663" t="str">
        <f>TEXT(calls[[#This Row],[Date of Call]],"DDDD")</f>
        <v>Tuesday</v>
      </c>
      <c r="L663" t="str" cm="1">
        <f t="array" ref="L663">_xlfn.IFS(calls[[#This Row],[Duration]]&lt;=10,"under 10 mins",calls[[#This Row],[Duration]]&lt;=30,"10 to 30mins",calls[[#This Row],[Duration]]&lt;=60,"60 to 30mins",calls[[#This Row],[Duration]]&lt;=120,"1 to 2hrs",TRUE,"More than 2 hrs")</f>
        <v>More than 2 hrs</v>
      </c>
      <c r="M663">
        <f>ROUND(calls[[#This Row],[Satisfaction Rating]],0)</f>
        <v>4</v>
      </c>
      <c r="N663">
        <f>COUNTIF(calls[Customer ID], calls[[#This Row],[Customer ID]])</f>
        <v>74</v>
      </c>
      <c r="O663">
        <f>SUMIF(calls[Customer ID], calls[[#This Row],[Customer ID]], calls[Purchase Amount])</f>
        <v>6749</v>
      </c>
      <c r="P663">
        <f>calls[[#This Row],[call count]]/calls[[#This Row],[Purchase Amount]]</f>
        <v>1.3703703703703705</v>
      </c>
      <c r="Q663">
        <f>COUNTIF(calls[Customer ID],calls[[#This Row],[Customer ID]])</f>
        <v>74</v>
      </c>
      <c r="R663">
        <f>calls[[#This Row],[call count]]/calls[[#This Row],[Purchase Amount]]</f>
        <v>1.3703703703703705</v>
      </c>
    </row>
    <row r="664" spans="1:18" x14ac:dyDescent="0.4">
      <c r="A664" t="s">
        <v>694</v>
      </c>
      <c r="B664" t="s">
        <v>6</v>
      </c>
      <c r="C664">
        <v>130</v>
      </c>
      <c r="D664" s="4" t="s">
        <v>9</v>
      </c>
      <c r="E664" s="5">
        <v>45146</v>
      </c>
      <c r="F664">
        <v>60</v>
      </c>
      <c r="G664">
        <f>AVERAGEIF(calls[Representative], calls[[#This Row],[Representative]], calls[Satisfaction Rating])</f>
        <v>3.8706422018348627</v>
      </c>
      <c r="H664" t="str">
        <f>IF(AVERAGEIF(calls[Representative],calls[[#This Row],[Representative]],calls[Satisfaction Rating])&lt;3.5,"Needs Training","OK")</f>
        <v>OK</v>
      </c>
      <c r="I664">
        <v>2.5</v>
      </c>
      <c r="J664">
        <f>IF(MONTH(calls[[#This Row],[Date of Call]])&lt;=6, YEAR(calls[[#This Row],[Date of Call]]), YEAR(calls[[#This Row],[Date of Call]])+1)</f>
        <v>2024</v>
      </c>
      <c r="K664" t="str">
        <f>TEXT(calls[[#This Row],[Date of Call]],"DDDD")</f>
        <v>Tuesday</v>
      </c>
      <c r="L664" t="str" cm="1">
        <f t="array" ref="L664">_xlfn.IFS(calls[[#This Row],[Duration]]&lt;=10,"under 10 mins",calls[[#This Row],[Duration]]&lt;=30,"10 to 30mins",calls[[#This Row],[Duration]]&lt;=60,"60 to 30mins",calls[[#This Row],[Duration]]&lt;=120,"1 to 2hrs",TRUE,"More than 2 hrs")</f>
        <v>More than 2 hrs</v>
      </c>
      <c r="M664">
        <f>ROUND(calls[[#This Row],[Satisfaction Rating]],0)</f>
        <v>3</v>
      </c>
      <c r="N664">
        <f>COUNTIF(calls[Customer ID], calls[[#This Row],[Customer ID]])</f>
        <v>82</v>
      </c>
      <c r="O664">
        <f>SUMIF(calls[Customer ID], calls[[#This Row],[Customer ID]], calls[Purchase Amount])</f>
        <v>7689</v>
      </c>
      <c r="P664">
        <f>calls[[#This Row],[call count]]/calls[[#This Row],[Purchase Amount]]</f>
        <v>1.3666666666666667</v>
      </c>
      <c r="Q664">
        <f>COUNTIF(calls[Customer ID],calls[[#This Row],[Customer ID]])</f>
        <v>82</v>
      </c>
      <c r="R664">
        <f>calls[[#This Row],[call count]]/calls[[#This Row],[Purchase Amount]]</f>
        <v>1.3666666666666667</v>
      </c>
    </row>
    <row r="665" spans="1:18" x14ac:dyDescent="0.4">
      <c r="A665" t="s">
        <v>695</v>
      </c>
      <c r="B665" t="s">
        <v>51</v>
      </c>
      <c r="C665">
        <v>120</v>
      </c>
      <c r="D665" s="4" t="s">
        <v>2</v>
      </c>
      <c r="E665" s="5">
        <v>45148</v>
      </c>
      <c r="F665">
        <v>58</v>
      </c>
      <c r="G665">
        <f>AVERAGEIF(calls[Representative], calls[[#This Row],[Representative]], calls[Satisfaction Rating])</f>
        <v>3.8824999999999998</v>
      </c>
      <c r="H665" t="str">
        <f>IF(AVERAGEIF(calls[Representative],calls[[#This Row],[Representative]],calls[Satisfaction Rating])&lt;3.5,"Needs Training","OK")</f>
        <v>OK</v>
      </c>
      <c r="I665">
        <v>4.5999999999999996</v>
      </c>
      <c r="J665">
        <f>IF(MONTH(calls[[#This Row],[Date of Call]])&lt;=6, YEAR(calls[[#This Row],[Date of Call]]), YEAR(calls[[#This Row],[Date of Call]])+1)</f>
        <v>2024</v>
      </c>
      <c r="K665" t="str">
        <f>TEXT(calls[[#This Row],[Date of Call]],"DDDD")</f>
        <v>Thursday</v>
      </c>
      <c r="L665" t="str" cm="1">
        <f t="array" ref="L665">_xlfn.IFS(calls[[#This Row],[Duration]]&lt;=10,"under 10 mins",calls[[#This Row],[Duration]]&lt;=30,"10 to 30mins",calls[[#This Row],[Duration]]&lt;=60,"60 to 30mins",calls[[#This Row],[Duration]]&lt;=120,"1 to 2hrs",TRUE,"More than 2 hrs")</f>
        <v>1 to 2hrs</v>
      </c>
      <c r="M665">
        <f>ROUND(calls[[#This Row],[Satisfaction Rating]],0)</f>
        <v>5</v>
      </c>
      <c r="N665">
        <f>COUNTIF(calls[Customer ID], calls[[#This Row],[Customer ID]])</f>
        <v>59</v>
      </c>
      <c r="O665">
        <f>SUMIF(calls[Customer ID], calls[[#This Row],[Customer ID]], calls[Purchase Amount])</f>
        <v>6518</v>
      </c>
      <c r="P665">
        <f>calls[[#This Row],[call count]]/calls[[#This Row],[Purchase Amount]]</f>
        <v>1.0172413793103448</v>
      </c>
      <c r="Q665">
        <f>COUNTIF(calls[Customer ID],calls[[#This Row],[Customer ID]])</f>
        <v>59</v>
      </c>
      <c r="R665">
        <f>calls[[#This Row],[call count]]/calls[[#This Row],[Purchase Amount]]</f>
        <v>1.0172413793103448</v>
      </c>
    </row>
    <row r="666" spans="1:18" x14ac:dyDescent="0.4">
      <c r="A666" t="s">
        <v>696</v>
      </c>
      <c r="B666" t="s">
        <v>26</v>
      </c>
      <c r="C666">
        <v>75</v>
      </c>
      <c r="D666" s="4" t="s">
        <v>27</v>
      </c>
      <c r="E666" s="5">
        <v>45148</v>
      </c>
      <c r="F666">
        <v>220</v>
      </c>
      <c r="G666">
        <f>AVERAGEIF(calls[Representative], calls[[#This Row],[Representative]], calls[Satisfaction Rating])</f>
        <v>3.8589371980676304</v>
      </c>
      <c r="H666" t="str">
        <f>IF(AVERAGEIF(calls[Representative],calls[[#This Row],[Representative]],calls[Satisfaction Rating])&lt;3.5,"Needs Training","OK")</f>
        <v>OK</v>
      </c>
      <c r="I666">
        <v>4.7</v>
      </c>
      <c r="J666">
        <f>IF(MONTH(calls[[#This Row],[Date of Call]])&lt;=6, YEAR(calls[[#This Row],[Date of Call]]), YEAR(calls[[#This Row],[Date of Call]])+1)</f>
        <v>2024</v>
      </c>
      <c r="K666" t="str">
        <f>TEXT(calls[[#This Row],[Date of Call]],"DDDD")</f>
        <v>Thursday</v>
      </c>
      <c r="L666" t="str" cm="1">
        <f t="array" ref="L666">_xlfn.IFS(calls[[#This Row],[Duration]]&lt;=10,"under 10 mins",calls[[#This Row],[Duration]]&lt;=30,"10 to 30mins",calls[[#This Row],[Duration]]&lt;=60,"60 to 30mins",calls[[#This Row],[Duration]]&lt;=120,"1 to 2hrs",TRUE,"More than 2 hrs")</f>
        <v>1 to 2hrs</v>
      </c>
      <c r="M666">
        <f>ROUND(calls[[#This Row],[Satisfaction Rating]],0)</f>
        <v>5</v>
      </c>
      <c r="N666">
        <f>COUNTIF(calls[Customer ID], calls[[#This Row],[Customer ID]])</f>
        <v>72</v>
      </c>
      <c r="O666">
        <f>SUMIF(calls[Customer ID], calls[[#This Row],[Customer ID]], calls[Purchase Amount])</f>
        <v>6242</v>
      </c>
      <c r="P666">
        <f>calls[[#This Row],[call count]]/calls[[#This Row],[Purchase Amount]]</f>
        <v>0.32727272727272727</v>
      </c>
      <c r="Q666">
        <f>COUNTIF(calls[Customer ID],calls[[#This Row],[Customer ID]])</f>
        <v>72</v>
      </c>
      <c r="R666">
        <f>calls[[#This Row],[call count]]/calls[[#This Row],[Purchase Amount]]</f>
        <v>0.32727272727272727</v>
      </c>
    </row>
    <row r="667" spans="1:18" x14ac:dyDescent="0.4">
      <c r="A667" t="s">
        <v>697</v>
      </c>
      <c r="B667" t="s">
        <v>1</v>
      </c>
      <c r="C667">
        <v>63</v>
      </c>
      <c r="D667" s="4" t="s">
        <v>27</v>
      </c>
      <c r="E667" s="5">
        <v>45148</v>
      </c>
      <c r="F667">
        <v>27</v>
      </c>
      <c r="G667">
        <f>AVERAGEIF(calls[Representative], calls[[#This Row],[Representative]], calls[Satisfaction Rating])</f>
        <v>3.8589371980676304</v>
      </c>
      <c r="H667" t="str">
        <f>IF(AVERAGEIF(calls[Representative],calls[[#This Row],[Representative]],calls[Satisfaction Rating])&lt;3.5,"Needs Training","OK")</f>
        <v>OK</v>
      </c>
      <c r="I667">
        <v>3.6</v>
      </c>
      <c r="J667">
        <f>IF(MONTH(calls[[#This Row],[Date of Call]])&lt;=6, YEAR(calls[[#This Row],[Date of Call]]), YEAR(calls[[#This Row],[Date of Call]])+1)</f>
        <v>2024</v>
      </c>
      <c r="K667" t="str">
        <f>TEXT(calls[[#This Row],[Date of Call]],"DDDD")</f>
        <v>Thursday</v>
      </c>
      <c r="L667" t="str" cm="1">
        <f t="array" ref="L667">_xlfn.IFS(calls[[#This Row],[Duration]]&lt;=10,"under 10 mins",calls[[#This Row],[Duration]]&lt;=30,"10 to 30mins",calls[[#This Row],[Duration]]&lt;=60,"60 to 30mins",calls[[#This Row],[Duration]]&lt;=120,"1 to 2hrs",TRUE,"More than 2 hrs")</f>
        <v>1 to 2hrs</v>
      </c>
      <c r="M667">
        <f>ROUND(calls[[#This Row],[Satisfaction Rating]],0)</f>
        <v>4</v>
      </c>
      <c r="N667">
        <f>COUNTIF(calls[Customer ID], calls[[#This Row],[Customer ID]])</f>
        <v>50</v>
      </c>
      <c r="O667">
        <f>SUMIF(calls[Customer ID], calls[[#This Row],[Customer ID]], calls[Purchase Amount])</f>
        <v>4804</v>
      </c>
      <c r="P667">
        <f>calls[[#This Row],[call count]]/calls[[#This Row],[Purchase Amount]]</f>
        <v>1.8518518518518519</v>
      </c>
      <c r="Q667">
        <f>COUNTIF(calls[Customer ID],calls[[#This Row],[Customer ID]])</f>
        <v>50</v>
      </c>
      <c r="R667">
        <f>calls[[#This Row],[call count]]/calls[[#This Row],[Purchase Amount]]</f>
        <v>1.8518518518518519</v>
      </c>
    </row>
    <row r="668" spans="1:18" x14ac:dyDescent="0.4">
      <c r="A668" t="s">
        <v>698</v>
      </c>
      <c r="B668" t="s">
        <v>30</v>
      </c>
      <c r="C668">
        <v>74</v>
      </c>
      <c r="D668" s="4" t="s">
        <v>27</v>
      </c>
      <c r="E668" s="5">
        <v>45150</v>
      </c>
      <c r="F668">
        <v>26</v>
      </c>
      <c r="G668">
        <f>AVERAGEIF(calls[Representative], calls[[#This Row],[Representative]], calls[Satisfaction Rating])</f>
        <v>3.8589371980676304</v>
      </c>
      <c r="H668" t="str">
        <f>IF(AVERAGEIF(calls[Representative],calls[[#This Row],[Representative]],calls[Satisfaction Rating])&lt;3.5,"Needs Training","OK")</f>
        <v>OK</v>
      </c>
      <c r="I668">
        <v>4.3</v>
      </c>
      <c r="J668">
        <f>IF(MONTH(calls[[#This Row],[Date of Call]])&lt;=6, YEAR(calls[[#This Row],[Date of Call]]), YEAR(calls[[#This Row],[Date of Call]])+1)</f>
        <v>2024</v>
      </c>
      <c r="K668" t="str">
        <f>TEXT(calls[[#This Row],[Date of Call]],"DDDD")</f>
        <v>Saturday</v>
      </c>
      <c r="L668" t="str" cm="1">
        <f t="array" ref="L668">_xlfn.IFS(calls[[#This Row],[Duration]]&lt;=10,"under 10 mins",calls[[#This Row],[Duration]]&lt;=30,"10 to 30mins",calls[[#This Row],[Duration]]&lt;=60,"60 to 30mins",calls[[#This Row],[Duration]]&lt;=120,"1 to 2hrs",TRUE,"More than 2 hrs")</f>
        <v>1 to 2hrs</v>
      </c>
      <c r="M668">
        <f>ROUND(calls[[#This Row],[Satisfaction Rating]],0)</f>
        <v>4</v>
      </c>
      <c r="N668">
        <f>COUNTIF(calls[Customer ID], calls[[#This Row],[Customer ID]])</f>
        <v>69</v>
      </c>
      <c r="O668">
        <f>SUMIF(calls[Customer ID], calls[[#This Row],[Customer ID]], calls[Purchase Amount])</f>
        <v>7230</v>
      </c>
      <c r="P668">
        <f>calls[[#This Row],[call count]]/calls[[#This Row],[Purchase Amount]]</f>
        <v>2.6538461538461537</v>
      </c>
      <c r="Q668">
        <f>COUNTIF(calls[Customer ID],calls[[#This Row],[Customer ID]])</f>
        <v>69</v>
      </c>
      <c r="R668">
        <f>calls[[#This Row],[call count]]/calls[[#This Row],[Purchase Amount]]</f>
        <v>2.6538461538461537</v>
      </c>
    </row>
    <row r="669" spans="1:18" x14ac:dyDescent="0.4">
      <c r="A669" t="s">
        <v>699</v>
      </c>
      <c r="B669" t="s">
        <v>44</v>
      </c>
      <c r="C669">
        <v>134</v>
      </c>
      <c r="D669" s="4" t="s">
        <v>23</v>
      </c>
      <c r="E669" s="5">
        <v>45151</v>
      </c>
      <c r="F669">
        <v>160</v>
      </c>
      <c r="G669">
        <f>AVERAGEIF(calls[Representative], calls[[#This Row],[Representative]], calls[Satisfaction Rating])</f>
        <v>3.8973118279569863</v>
      </c>
      <c r="H669" t="str">
        <f>IF(AVERAGEIF(calls[Representative],calls[[#This Row],[Representative]],calls[Satisfaction Rating])&lt;3.5,"Needs Training","OK")</f>
        <v>OK</v>
      </c>
      <c r="I669">
        <v>4.7</v>
      </c>
      <c r="J669">
        <f>IF(MONTH(calls[[#This Row],[Date of Call]])&lt;=6, YEAR(calls[[#This Row],[Date of Call]]), YEAR(calls[[#This Row],[Date of Call]])+1)</f>
        <v>2024</v>
      </c>
      <c r="K669" t="str">
        <f>TEXT(calls[[#This Row],[Date of Call]],"DDDD")</f>
        <v>Sunday</v>
      </c>
      <c r="L669" t="str" cm="1">
        <f t="array" ref="L669">_xlfn.IFS(calls[[#This Row],[Duration]]&lt;=10,"under 10 mins",calls[[#This Row],[Duration]]&lt;=30,"10 to 30mins",calls[[#This Row],[Duration]]&lt;=60,"60 to 30mins",calls[[#This Row],[Duration]]&lt;=120,"1 to 2hrs",TRUE,"More than 2 hrs")</f>
        <v>More than 2 hrs</v>
      </c>
      <c r="M669">
        <f>ROUND(calls[[#This Row],[Satisfaction Rating]],0)</f>
        <v>5</v>
      </c>
      <c r="N669">
        <f>COUNTIF(calls[Customer ID], calls[[#This Row],[Customer ID]])</f>
        <v>62</v>
      </c>
      <c r="O669">
        <f>SUMIF(calls[Customer ID], calls[[#This Row],[Customer ID]], calls[Purchase Amount])</f>
        <v>6176</v>
      </c>
      <c r="P669">
        <f>calls[[#This Row],[call count]]/calls[[#This Row],[Purchase Amount]]</f>
        <v>0.38750000000000001</v>
      </c>
      <c r="Q669">
        <f>COUNTIF(calls[Customer ID],calls[[#This Row],[Customer ID]])</f>
        <v>62</v>
      </c>
      <c r="R669">
        <f>calls[[#This Row],[call count]]/calls[[#This Row],[Purchase Amount]]</f>
        <v>0.38750000000000001</v>
      </c>
    </row>
    <row r="670" spans="1:18" x14ac:dyDescent="0.4">
      <c r="A670" t="s">
        <v>700</v>
      </c>
      <c r="B670" t="s">
        <v>54</v>
      </c>
      <c r="C670">
        <v>103</v>
      </c>
      <c r="D670" s="4" t="s">
        <v>9</v>
      </c>
      <c r="E670" s="5">
        <v>45151</v>
      </c>
      <c r="F670">
        <v>200</v>
      </c>
      <c r="G670">
        <f>AVERAGEIF(calls[Representative], calls[[#This Row],[Representative]], calls[Satisfaction Rating])</f>
        <v>3.8706422018348627</v>
      </c>
      <c r="H670" t="str">
        <f>IF(AVERAGEIF(calls[Representative],calls[[#This Row],[Representative]],calls[Satisfaction Rating])&lt;3.5,"Needs Training","OK")</f>
        <v>OK</v>
      </c>
      <c r="I670">
        <v>4.9000000000000004</v>
      </c>
      <c r="J670">
        <f>IF(MONTH(calls[[#This Row],[Date of Call]])&lt;=6, YEAR(calls[[#This Row],[Date of Call]]), YEAR(calls[[#This Row],[Date of Call]])+1)</f>
        <v>2024</v>
      </c>
      <c r="K670" t="str">
        <f>TEXT(calls[[#This Row],[Date of Call]],"DDDD")</f>
        <v>Sunday</v>
      </c>
      <c r="L670" t="str" cm="1">
        <f t="array" ref="L670">_xlfn.IFS(calls[[#This Row],[Duration]]&lt;=10,"under 10 mins",calls[[#This Row],[Duration]]&lt;=30,"10 to 30mins",calls[[#This Row],[Duration]]&lt;=60,"60 to 30mins",calls[[#This Row],[Duration]]&lt;=120,"1 to 2hrs",TRUE,"More than 2 hrs")</f>
        <v>1 to 2hrs</v>
      </c>
      <c r="M670">
        <f>ROUND(calls[[#This Row],[Satisfaction Rating]],0)</f>
        <v>5</v>
      </c>
      <c r="N670">
        <f>COUNTIF(calls[Customer ID], calls[[#This Row],[Customer ID]])</f>
        <v>70</v>
      </c>
      <c r="O670">
        <f>SUMIF(calls[Customer ID], calls[[#This Row],[Customer ID]], calls[Purchase Amount])</f>
        <v>6819</v>
      </c>
      <c r="P670">
        <f>calls[[#This Row],[call count]]/calls[[#This Row],[Purchase Amount]]</f>
        <v>0.35</v>
      </c>
      <c r="Q670">
        <f>COUNTIF(calls[Customer ID],calls[[#This Row],[Customer ID]])</f>
        <v>70</v>
      </c>
      <c r="R670">
        <f>calls[[#This Row],[call count]]/calls[[#This Row],[Purchase Amount]]</f>
        <v>0.35</v>
      </c>
    </row>
    <row r="671" spans="1:18" x14ac:dyDescent="0.4">
      <c r="A671" t="s">
        <v>701</v>
      </c>
      <c r="B671" t="s">
        <v>54</v>
      </c>
      <c r="C671">
        <v>155</v>
      </c>
      <c r="D671" s="4" t="s">
        <v>2</v>
      </c>
      <c r="E671" s="5">
        <v>45154</v>
      </c>
      <c r="F671">
        <v>135</v>
      </c>
      <c r="G671">
        <f>AVERAGEIF(calls[Representative], calls[[#This Row],[Representative]], calls[Satisfaction Rating])</f>
        <v>3.8824999999999998</v>
      </c>
      <c r="H671" t="str">
        <f>IF(AVERAGEIF(calls[Representative],calls[[#This Row],[Representative]],calls[Satisfaction Rating])&lt;3.5,"Needs Training","OK")</f>
        <v>OK</v>
      </c>
      <c r="I671">
        <v>4.9000000000000004</v>
      </c>
      <c r="J671">
        <f>IF(MONTH(calls[[#This Row],[Date of Call]])&lt;=6, YEAR(calls[[#This Row],[Date of Call]]), YEAR(calls[[#This Row],[Date of Call]])+1)</f>
        <v>2024</v>
      </c>
      <c r="K671" t="str">
        <f>TEXT(calls[[#This Row],[Date of Call]],"DDDD")</f>
        <v>Wednesday</v>
      </c>
      <c r="L671" t="str" cm="1">
        <f t="array" ref="L671">_xlfn.IFS(calls[[#This Row],[Duration]]&lt;=10,"under 10 mins",calls[[#This Row],[Duration]]&lt;=30,"10 to 30mins",calls[[#This Row],[Duration]]&lt;=60,"60 to 30mins",calls[[#This Row],[Duration]]&lt;=120,"1 to 2hrs",TRUE,"More than 2 hrs")</f>
        <v>More than 2 hrs</v>
      </c>
      <c r="M671">
        <f>ROUND(calls[[#This Row],[Satisfaction Rating]],0)</f>
        <v>5</v>
      </c>
      <c r="N671">
        <f>COUNTIF(calls[Customer ID], calls[[#This Row],[Customer ID]])</f>
        <v>70</v>
      </c>
      <c r="O671">
        <f>SUMIF(calls[Customer ID], calls[[#This Row],[Customer ID]], calls[Purchase Amount])</f>
        <v>6819</v>
      </c>
      <c r="P671">
        <f>calls[[#This Row],[call count]]/calls[[#This Row],[Purchase Amount]]</f>
        <v>0.51851851851851849</v>
      </c>
      <c r="Q671">
        <f>COUNTIF(calls[Customer ID],calls[[#This Row],[Customer ID]])</f>
        <v>70</v>
      </c>
      <c r="R671">
        <f>calls[[#This Row],[call count]]/calls[[#This Row],[Purchase Amount]]</f>
        <v>0.51851851851851849</v>
      </c>
    </row>
    <row r="672" spans="1:18" x14ac:dyDescent="0.4">
      <c r="A672" t="s">
        <v>702</v>
      </c>
      <c r="B672" t="s">
        <v>1</v>
      </c>
      <c r="C672">
        <v>128</v>
      </c>
      <c r="D672" s="4" t="s">
        <v>9</v>
      </c>
      <c r="E672" s="5">
        <v>45155</v>
      </c>
      <c r="F672">
        <v>22</v>
      </c>
      <c r="G672">
        <f>AVERAGEIF(calls[Representative], calls[[#This Row],[Representative]], calls[Satisfaction Rating])</f>
        <v>3.8706422018348627</v>
      </c>
      <c r="H672" t="str">
        <f>IF(AVERAGEIF(calls[Representative],calls[[#This Row],[Representative]],calls[Satisfaction Rating])&lt;3.5,"Needs Training","OK")</f>
        <v>OK</v>
      </c>
      <c r="I672">
        <v>1.9</v>
      </c>
      <c r="J672">
        <f>IF(MONTH(calls[[#This Row],[Date of Call]])&lt;=6, YEAR(calls[[#This Row],[Date of Call]]), YEAR(calls[[#This Row],[Date of Call]])+1)</f>
        <v>2024</v>
      </c>
      <c r="K672" t="str">
        <f>TEXT(calls[[#This Row],[Date of Call]],"DDDD")</f>
        <v>Thursday</v>
      </c>
      <c r="L672" t="str" cm="1">
        <f t="array" ref="L672">_xlfn.IFS(calls[[#This Row],[Duration]]&lt;=10,"under 10 mins",calls[[#This Row],[Duration]]&lt;=30,"10 to 30mins",calls[[#This Row],[Duration]]&lt;=60,"60 to 30mins",calls[[#This Row],[Duration]]&lt;=120,"1 to 2hrs",TRUE,"More than 2 hrs")</f>
        <v>More than 2 hrs</v>
      </c>
      <c r="M672">
        <f>ROUND(calls[[#This Row],[Satisfaction Rating]],0)</f>
        <v>2</v>
      </c>
      <c r="N672">
        <f>COUNTIF(calls[Customer ID], calls[[#This Row],[Customer ID]])</f>
        <v>50</v>
      </c>
      <c r="O672">
        <f>SUMIF(calls[Customer ID], calls[[#This Row],[Customer ID]], calls[Purchase Amount])</f>
        <v>4804</v>
      </c>
      <c r="P672">
        <f>calls[[#This Row],[call count]]/calls[[#This Row],[Purchase Amount]]</f>
        <v>2.2727272727272729</v>
      </c>
      <c r="Q672">
        <f>COUNTIF(calls[Customer ID],calls[[#This Row],[Customer ID]])</f>
        <v>50</v>
      </c>
      <c r="R672">
        <f>calls[[#This Row],[call count]]/calls[[#This Row],[Purchase Amount]]</f>
        <v>2.2727272727272729</v>
      </c>
    </row>
    <row r="673" spans="1:18" x14ac:dyDescent="0.4">
      <c r="A673" t="s">
        <v>703</v>
      </c>
      <c r="B673" t="s">
        <v>26</v>
      </c>
      <c r="C673">
        <v>89</v>
      </c>
      <c r="D673" s="4" t="s">
        <v>23</v>
      </c>
      <c r="E673" s="5">
        <v>45156</v>
      </c>
      <c r="F673">
        <v>164</v>
      </c>
      <c r="G673">
        <f>AVERAGEIF(calls[Representative], calls[[#This Row],[Representative]], calls[Satisfaction Rating])</f>
        <v>3.8973118279569863</v>
      </c>
      <c r="H673" t="str">
        <f>IF(AVERAGEIF(calls[Representative],calls[[#This Row],[Representative]],calls[Satisfaction Rating])&lt;3.5,"Needs Training","OK")</f>
        <v>OK</v>
      </c>
      <c r="I673">
        <v>4.5</v>
      </c>
      <c r="J673">
        <f>IF(MONTH(calls[[#This Row],[Date of Call]])&lt;=6, YEAR(calls[[#This Row],[Date of Call]]), YEAR(calls[[#This Row],[Date of Call]])+1)</f>
        <v>2024</v>
      </c>
      <c r="K673" t="str">
        <f>TEXT(calls[[#This Row],[Date of Call]],"DDDD")</f>
        <v>Friday</v>
      </c>
      <c r="L673" t="str" cm="1">
        <f t="array" ref="L673">_xlfn.IFS(calls[[#This Row],[Duration]]&lt;=10,"under 10 mins",calls[[#This Row],[Duration]]&lt;=30,"10 to 30mins",calls[[#This Row],[Duration]]&lt;=60,"60 to 30mins",calls[[#This Row],[Duration]]&lt;=120,"1 to 2hrs",TRUE,"More than 2 hrs")</f>
        <v>1 to 2hrs</v>
      </c>
      <c r="M673">
        <f>ROUND(calls[[#This Row],[Satisfaction Rating]],0)</f>
        <v>5</v>
      </c>
      <c r="N673">
        <f>COUNTIF(calls[Customer ID], calls[[#This Row],[Customer ID]])</f>
        <v>72</v>
      </c>
      <c r="O673">
        <f>SUMIF(calls[Customer ID], calls[[#This Row],[Customer ID]], calls[Purchase Amount])</f>
        <v>6242</v>
      </c>
      <c r="P673">
        <f>calls[[#This Row],[call count]]/calls[[#This Row],[Purchase Amount]]</f>
        <v>0.43902439024390244</v>
      </c>
      <c r="Q673">
        <f>COUNTIF(calls[Customer ID],calls[[#This Row],[Customer ID]])</f>
        <v>72</v>
      </c>
      <c r="R673">
        <f>calls[[#This Row],[call count]]/calls[[#This Row],[Purchase Amount]]</f>
        <v>0.43902439024390244</v>
      </c>
    </row>
    <row r="674" spans="1:18" x14ac:dyDescent="0.4">
      <c r="A674" t="s">
        <v>704</v>
      </c>
      <c r="B674" t="s">
        <v>13</v>
      </c>
      <c r="C674">
        <v>81</v>
      </c>
      <c r="D674" s="4" t="s">
        <v>2</v>
      </c>
      <c r="E674" s="5">
        <v>45156</v>
      </c>
      <c r="F674">
        <v>21</v>
      </c>
      <c r="G674">
        <f>AVERAGEIF(calls[Representative], calls[[#This Row],[Representative]], calls[Satisfaction Rating])</f>
        <v>3.8824999999999998</v>
      </c>
      <c r="H674" t="str">
        <f>IF(AVERAGEIF(calls[Representative],calls[[#This Row],[Representative]],calls[Satisfaction Rating])&lt;3.5,"Needs Training","OK")</f>
        <v>OK</v>
      </c>
      <c r="I674">
        <v>4.9000000000000004</v>
      </c>
      <c r="J674">
        <f>IF(MONTH(calls[[#This Row],[Date of Call]])&lt;=6, YEAR(calls[[#This Row],[Date of Call]]), YEAR(calls[[#This Row],[Date of Call]])+1)</f>
        <v>2024</v>
      </c>
      <c r="K674" t="str">
        <f>TEXT(calls[[#This Row],[Date of Call]],"DDDD")</f>
        <v>Friday</v>
      </c>
      <c r="L674" t="str" cm="1">
        <f t="array" ref="L674">_xlfn.IFS(calls[[#This Row],[Duration]]&lt;=10,"under 10 mins",calls[[#This Row],[Duration]]&lt;=30,"10 to 30mins",calls[[#This Row],[Duration]]&lt;=60,"60 to 30mins",calls[[#This Row],[Duration]]&lt;=120,"1 to 2hrs",TRUE,"More than 2 hrs")</f>
        <v>1 to 2hrs</v>
      </c>
      <c r="M674">
        <f>ROUND(calls[[#This Row],[Satisfaction Rating]],0)</f>
        <v>5</v>
      </c>
      <c r="N674">
        <f>COUNTIF(calls[Customer ID], calls[[#This Row],[Customer ID]])</f>
        <v>74</v>
      </c>
      <c r="O674">
        <f>SUMIF(calls[Customer ID], calls[[#This Row],[Customer ID]], calls[Purchase Amount])</f>
        <v>6749</v>
      </c>
      <c r="P674">
        <f>calls[[#This Row],[call count]]/calls[[#This Row],[Purchase Amount]]</f>
        <v>3.5238095238095237</v>
      </c>
      <c r="Q674">
        <f>COUNTIF(calls[Customer ID],calls[[#This Row],[Customer ID]])</f>
        <v>74</v>
      </c>
      <c r="R674">
        <f>calls[[#This Row],[call count]]/calls[[#This Row],[Purchase Amount]]</f>
        <v>3.5238095238095237</v>
      </c>
    </row>
    <row r="675" spans="1:18" x14ac:dyDescent="0.4">
      <c r="A675" t="s">
        <v>705</v>
      </c>
      <c r="B675" t="s">
        <v>26</v>
      </c>
      <c r="C675">
        <v>66</v>
      </c>
      <c r="D675" s="4" t="s">
        <v>23</v>
      </c>
      <c r="E675" s="5">
        <v>45157</v>
      </c>
      <c r="F675">
        <v>120</v>
      </c>
      <c r="G675">
        <f>AVERAGEIF(calls[Representative], calls[[#This Row],[Representative]], calls[Satisfaction Rating])</f>
        <v>3.8973118279569863</v>
      </c>
      <c r="H675" t="str">
        <f>IF(AVERAGEIF(calls[Representative],calls[[#This Row],[Representative]],calls[Satisfaction Rating])&lt;3.5,"Needs Training","OK")</f>
        <v>OK</v>
      </c>
      <c r="I675">
        <v>4.5</v>
      </c>
      <c r="J675">
        <f>IF(MONTH(calls[[#This Row],[Date of Call]])&lt;=6, YEAR(calls[[#This Row],[Date of Call]]), YEAR(calls[[#This Row],[Date of Call]])+1)</f>
        <v>2024</v>
      </c>
      <c r="K675" t="str">
        <f>TEXT(calls[[#This Row],[Date of Call]],"DDDD")</f>
        <v>Saturday</v>
      </c>
      <c r="L675" t="str" cm="1">
        <f t="array" ref="L675">_xlfn.IFS(calls[[#This Row],[Duration]]&lt;=10,"under 10 mins",calls[[#This Row],[Duration]]&lt;=30,"10 to 30mins",calls[[#This Row],[Duration]]&lt;=60,"60 to 30mins",calls[[#This Row],[Duration]]&lt;=120,"1 to 2hrs",TRUE,"More than 2 hrs")</f>
        <v>1 to 2hrs</v>
      </c>
      <c r="M675">
        <f>ROUND(calls[[#This Row],[Satisfaction Rating]],0)</f>
        <v>5</v>
      </c>
      <c r="N675">
        <f>COUNTIF(calls[Customer ID], calls[[#This Row],[Customer ID]])</f>
        <v>72</v>
      </c>
      <c r="O675">
        <f>SUMIF(calls[Customer ID], calls[[#This Row],[Customer ID]], calls[Purchase Amount])</f>
        <v>6242</v>
      </c>
      <c r="P675">
        <f>calls[[#This Row],[call count]]/calls[[#This Row],[Purchase Amount]]</f>
        <v>0.6</v>
      </c>
      <c r="Q675">
        <f>COUNTIF(calls[Customer ID],calls[[#This Row],[Customer ID]])</f>
        <v>72</v>
      </c>
      <c r="R675">
        <f>calls[[#This Row],[call count]]/calls[[#This Row],[Purchase Amount]]</f>
        <v>0.6</v>
      </c>
    </row>
    <row r="676" spans="1:18" x14ac:dyDescent="0.4">
      <c r="A676" t="s">
        <v>706</v>
      </c>
      <c r="B676" t="s">
        <v>21</v>
      </c>
      <c r="C676">
        <v>61</v>
      </c>
      <c r="D676" s="4" t="s">
        <v>14</v>
      </c>
      <c r="E676" s="5">
        <v>45157</v>
      </c>
      <c r="F676">
        <v>93</v>
      </c>
      <c r="G676">
        <f>AVERAGEIF(calls[Representative], calls[[#This Row],[Representative]], calls[Satisfaction Rating])</f>
        <v>3.9227513227513247</v>
      </c>
      <c r="H676" t="str">
        <f>IF(AVERAGEIF(calls[Representative],calls[[#This Row],[Representative]],calls[Satisfaction Rating])&lt;3.5,"Needs Training","OK")</f>
        <v>OK</v>
      </c>
      <c r="I676">
        <v>2.7</v>
      </c>
      <c r="J676">
        <f>IF(MONTH(calls[[#This Row],[Date of Call]])&lt;=6, YEAR(calls[[#This Row],[Date of Call]]), YEAR(calls[[#This Row],[Date of Call]])+1)</f>
        <v>2024</v>
      </c>
      <c r="K676" t="str">
        <f>TEXT(calls[[#This Row],[Date of Call]],"DDDD")</f>
        <v>Saturday</v>
      </c>
      <c r="L676" t="str" cm="1">
        <f t="array" ref="L676">_xlfn.IFS(calls[[#This Row],[Duration]]&lt;=10,"under 10 mins",calls[[#This Row],[Duration]]&lt;=30,"10 to 30mins",calls[[#This Row],[Duration]]&lt;=60,"60 to 30mins",calls[[#This Row],[Duration]]&lt;=120,"1 to 2hrs",TRUE,"More than 2 hrs")</f>
        <v>1 to 2hrs</v>
      </c>
      <c r="M676">
        <f>ROUND(calls[[#This Row],[Satisfaction Rating]],0)</f>
        <v>3</v>
      </c>
      <c r="N676">
        <f>COUNTIF(calls[Customer ID], calls[[#This Row],[Customer ID]])</f>
        <v>67</v>
      </c>
      <c r="O676">
        <f>SUMIF(calls[Customer ID], calls[[#This Row],[Customer ID]], calls[Purchase Amount])</f>
        <v>7216</v>
      </c>
      <c r="P676">
        <f>calls[[#This Row],[call count]]/calls[[#This Row],[Purchase Amount]]</f>
        <v>0.72043010752688175</v>
      </c>
      <c r="Q676">
        <f>COUNTIF(calls[Customer ID],calls[[#This Row],[Customer ID]])</f>
        <v>67</v>
      </c>
      <c r="R676">
        <f>calls[[#This Row],[call count]]/calls[[#This Row],[Purchase Amount]]</f>
        <v>0.72043010752688175</v>
      </c>
    </row>
    <row r="677" spans="1:18" x14ac:dyDescent="0.4">
      <c r="A677" t="s">
        <v>707</v>
      </c>
      <c r="B677" t="s">
        <v>13</v>
      </c>
      <c r="C677">
        <v>128</v>
      </c>
      <c r="D677" s="4" t="s">
        <v>14</v>
      </c>
      <c r="E677" s="5">
        <v>45157</v>
      </c>
      <c r="F677">
        <v>135</v>
      </c>
      <c r="G677">
        <f>AVERAGEIF(calls[Representative], calls[[#This Row],[Representative]], calls[Satisfaction Rating])</f>
        <v>3.9227513227513247</v>
      </c>
      <c r="H677" t="str">
        <f>IF(AVERAGEIF(calls[Representative],calls[[#This Row],[Representative]],calls[Satisfaction Rating])&lt;3.5,"Needs Training","OK")</f>
        <v>OK</v>
      </c>
      <c r="I677">
        <v>2.1</v>
      </c>
      <c r="J677">
        <f>IF(MONTH(calls[[#This Row],[Date of Call]])&lt;=6, YEAR(calls[[#This Row],[Date of Call]]), YEAR(calls[[#This Row],[Date of Call]])+1)</f>
        <v>2024</v>
      </c>
      <c r="K677" t="str">
        <f>TEXT(calls[[#This Row],[Date of Call]],"DDDD")</f>
        <v>Saturday</v>
      </c>
      <c r="L677" t="str" cm="1">
        <f t="array" ref="L677">_xlfn.IFS(calls[[#This Row],[Duration]]&lt;=10,"under 10 mins",calls[[#This Row],[Duration]]&lt;=30,"10 to 30mins",calls[[#This Row],[Duration]]&lt;=60,"60 to 30mins",calls[[#This Row],[Duration]]&lt;=120,"1 to 2hrs",TRUE,"More than 2 hrs")</f>
        <v>More than 2 hrs</v>
      </c>
      <c r="M677">
        <f>ROUND(calls[[#This Row],[Satisfaction Rating]],0)</f>
        <v>2</v>
      </c>
      <c r="N677">
        <f>COUNTIF(calls[Customer ID], calls[[#This Row],[Customer ID]])</f>
        <v>74</v>
      </c>
      <c r="O677">
        <f>SUMIF(calls[Customer ID], calls[[#This Row],[Customer ID]], calls[Purchase Amount])</f>
        <v>6749</v>
      </c>
      <c r="P677">
        <f>calls[[#This Row],[call count]]/calls[[#This Row],[Purchase Amount]]</f>
        <v>0.54814814814814816</v>
      </c>
      <c r="Q677">
        <f>COUNTIF(calls[Customer ID],calls[[#This Row],[Customer ID]])</f>
        <v>74</v>
      </c>
      <c r="R677">
        <f>calls[[#This Row],[call count]]/calls[[#This Row],[Purchase Amount]]</f>
        <v>0.54814814814814816</v>
      </c>
    </row>
    <row r="678" spans="1:18" x14ac:dyDescent="0.4">
      <c r="A678" t="s">
        <v>708</v>
      </c>
      <c r="B678" t="s">
        <v>54</v>
      </c>
      <c r="C678">
        <v>30</v>
      </c>
      <c r="D678" s="4" t="s">
        <v>2</v>
      </c>
      <c r="E678" s="5">
        <v>45157</v>
      </c>
      <c r="F678">
        <v>210</v>
      </c>
      <c r="G678">
        <f>AVERAGEIF(calls[Representative], calls[[#This Row],[Representative]], calls[Satisfaction Rating])</f>
        <v>3.8824999999999998</v>
      </c>
      <c r="H678" t="str">
        <f>IF(AVERAGEIF(calls[Representative],calls[[#This Row],[Representative]],calls[Satisfaction Rating])&lt;3.5,"Needs Training","OK")</f>
        <v>OK</v>
      </c>
      <c r="I678">
        <v>4.2</v>
      </c>
      <c r="J678">
        <f>IF(MONTH(calls[[#This Row],[Date of Call]])&lt;=6, YEAR(calls[[#This Row],[Date of Call]]), YEAR(calls[[#This Row],[Date of Call]])+1)</f>
        <v>2024</v>
      </c>
      <c r="K678" t="str">
        <f>TEXT(calls[[#This Row],[Date of Call]],"DDDD")</f>
        <v>Saturday</v>
      </c>
      <c r="L678" t="str" cm="1">
        <f t="array" ref="L678">_xlfn.IFS(calls[[#This Row],[Duration]]&lt;=10,"under 10 mins",calls[[#This Row],[Duration]]&lt;=30,"10 to 30mins",calls[[#This Row],[Duration]]&lt;=60,"60 to 30mins",calls[[#This Row],[Duration]]&lt;=120,"1 to 2hrs",TRUE,"More than 2 hrs")</f>
        <v>10 to 30mins</v>
      </c>
      <c r="M678">
        <f>ROUND(calls[[#This Row],[Satisfaction Rating]],0)</f>
        <v>4</v>
      </c>
      <c r="N678">
        <f>COUNTIF(calls[Customer ID], calls[[#This Row],[Customer ID]])</f>
        <v>70</v>
      </c>
      <c r="O678">
        <f>SUMIF(calls[Customer ID], calls[[#This Row],[Customer ID]], calls[Purchase Amount])</f>
        <v>6819</v>
      </c>
      <c r="P678">
        <f>calls[[#This Row],[call count]]/calls[[#This Row],[Purchase Amount]]</f>
        <v>0.33333333333333331</v>
      </c>
      <c r="Q678">
        <f>COUNTIF(calls[Customer ID],calls[[#This Row],[Customer ID]])</f>
        <v>70</v>
      </c>
      <c r="R678">
        <f>calls[[#This Row],[call count]]/calls[[#This Row],[Purchase Amount]]</f>
        <v>0.33333333333333331</v>
      </c>
    </row>
    <row r="679" spans="1:18" x14ac:dyDescent="0.4">
      <c r="A679" t="s">
        <v>709</v>
      </c>
      <c r="B679" t="s">
        <v>84</v>
      </c>
      <c r="C679">
        <v>63</v>
      </c>
      <c r="D679" s="4" t="s">
        <v>14</v>
      </c>
      <c r="E679" s="5">
        <v>45158</v>
      </c>
      <c r="F679">
        <v>29</v>
      </c>
      <c r="G679">
        <f>AVERAGEIF(calls[Representative], calls[[#This Row],[Representative]], calls[Satisfaction Rating])</f>
        <v>3.9227513227513247</v>
      </c>
      <c r="H679" t="str">
        <f>IF(AVERAGEIF(calls[Representative],calls[[#This Row],[Representative]],calls[Satisfaction Rating])&lt;3.5,"Needs Training","OK")</f>
        <v>OK</v>
      </c>
      <c r="I679">
        <v>4.7</v>
      </c>
      <c r="J679">
        <f>IF(MONTH(calls[[#This Row],[Date of Call]])&lt;=6, YEAR(calls[[#This Row],[Date of Call]]), YEAR(calls[[#This Row],[Date of Call]])+1)</f>
        <v>2024</v>
      </c>
      <c r="K679" t="str">
        <f>TEXT(calls[[#This Row],[Date of Call]],"DDDD")</f>
        <v>Sunday</v>
      </c>
      <c r="L679" t="str" cm="1">
        <f t="array" ref="L679">_xlfn.IFS(calls[[#This Row],[Duration]]&lt;=10,"under 10 mins",calls[[#This Row],[Duration]]&lt;=30,"10 to 30mins",calls[[#This Row],[Duration]]&lt;=60,"60 to 30mins",calls[[#This Row],[Duration]]&lt;=120,"1 to 2hrs",TRUE,"More than 2 hrs")</f>
        <v>1 to 2hrs</v>
      </c>
      <c r="M679">
        <f>ROUND(calls[[#This Row],[Satisfaction Rating]],0)</f>
        <v>5</v>
      </c>
      <c r="N679">
        <f>COUNTIF(calls[Customer ID], calls[[#This Row],[Customer ID]])</f>
        <v>59</v>
      </c>
      <c r="O679">
        <f>SUMIF(calls[Customer ID], calls[[#This Row],[Customer ID]], calls[Purchase Amount])</f>
        <v>5009</v>
      </c>
      <c r="P679">
        <f>calls[[#This Row],[call count]]/calls[[#This Row],[Purchase Amount]]</f>
        <v>2.0344827586206895</v>
      </c>
      <c r="Q679">
        <f>COUNTIF(calls[Customer ID],calls[[#This Row],[Customer ID]])</f>
        <v>59</v>
      </c>
      <c r="R679">
        <f>calls[[#This Row],[call count]]/calls[[#This Row],[Purchase Amount]]</f>
        <v>2.0344827586206895</v>
      </c>
    </row>
    <row r="680" spans="1:18" x14ac:dyDescent="0.4">
      <c r="A680" t="s">
        <v>710</v>
      </c>
      <c r="B680" t="s">
        <v>32</v>
      </c>
      <c r="C680">
        <v>64</v>
      </c>
      <c r="D680" s="4" t="s">
        <v>27</v>
      </c>
      <c r="E680" s="5">
        <v>45158</v>
      </c>
      <c r="F680">
        <v>111</v>
      </c>
      <c r="G680">
        <f>AVERAGEIF(calls[Representative], calls[[#This Row],[Representative]], calls[Satisfaction Rating])</f>
        <v>3.8589371980676304</v>
      </c>
      <c r="H680" t="str">
        <f>IF(AVERAGEIF(calls[Representative],calls[[#This Row],[Representative]],calls[Satisfaction Rating])&lt;3.5,"Needs Training","OK")</f>
        <v>OK</v>
      </c>
      <c r="I680">
        <v>3.9</v>
      </c>
      <c r="J680">
        <f>IF(MONTH(calls[[#This Row],[Date of Call]])&lt;=6, YEAR(calls[[#This Row],[Date of Call]]), YEAR(calls[[#This Row],[Date of Call]])+1)</f>
        <v>2024</v>
      </c>
      <c r="K680" t="str">
        <f>TEXT(calls[[#This Row],[Date of Call]],"DDDD")</f>
        <v>Sunday</v>
      </c>
      <c r="L680" t="str" cm="1">
        <f t="array" ref="L680">_xlfn.IFS(calls[[#This Row],[Duration]]&lt;=10,"under 10 mins",calls[[#This Row],[Duration]]&lt;=30,"10 to 30mins",calls[[#This Row],[Duration]]&lt;=60,"60 to 30mins",calls[[#This Row],[Duration]]&lt;=120,"1 to 2hrs",TRUE,"More than 2 hrs")</f>
        <v>1 to 2hrs</v>
      </c>
      <c r="M680">
        <f>ROUND(calls[[#This Row],[Satisfaction Rating]],0)</f>
        <v>4</v>
      </c>
      <c r="N680">
        <f>COUNTIF(calls[Customer ID], calls[[#This Row],[Customer ID]])</f>
        <v>63</v>
      </c>
      <c r="O680">
        <f>SUMIF(calls[Customer ID], calls[[#This Row],[Customer ID]], calls[Purchase Amount])</f>
        <v>5634</v>
      </c>
      <c r="P680">
        <f>calls[[#This Row],[call count]]/calls[[#This Row],[Purchase Amount]]</f>
        <v>0.56756756756756754</v>
      </c>
      <c r="Q680">
        <f>COUNTIF(calls[Customer ID],calls[[#This Row],[Customer ID]])</f>
        <v>63</v>
      </c>
      <c r="R680">
        <f>calls[[#This Row],[call count]]/calls[[#This Row],[Purchase Amount]]</f>
        <v>0.56756756756756754</v>
      </c>
    </row>
    <row r="681" spans="1:18" x14ac:dyDescent="0.4">
      <c r="A681" t="s">
        <v>711</v>
      </c>
      <c r="B681" t="s">
        <v>11</v>
      </c>
      <c r="C681">
        <v>151</v>
      </c>
      <c r="D681" s="4" t="s">
        <v>9</v>
      </c>
      <c r="E681" s="5">
        <v>45159</v>
      </c>
      <c r="F681">
        <v>63</v>
      </c>
      <c r="G681">
        <f>AVERAGEIF(calls[Representative], calls[[#This Row],[Representative]], calls[Satisfaction Rating])</f>
        <v>3.8706422018348627</v>
      </c>
      <c r="H681" t="str">
        <f>IF(AVERAGEIF(calls[Representative],calls[[#This Row],[Representative]],calls[Satisfaction Rating])&lt;3.5,"Needs Training","OK")</f>
        <v>OK</v>
      </c>
      <c r="I681">
        <v>4.0999999999999996</v>
      </c>
      <c r="J681">
        <f>IF(MONTH(calls[[#This Row],[Date of Call]])&lt;=6, YEAR(calls[[#This Row],[Date of Call]]), YEAR(calls[[#This Row],[Date of Call]])+1)</f>
        <v>2024</v>
      </c>
      <c r="K681" t="str">
        <f>TEXT(calls[[#This Row],[Date of Call]],"DDDD")</f>
        <v>Monday</v>
      </c>
      <c r="L681" t="str" cm="1">
        <f t="array" ref="L681">_xlfn.IFS(calls[[#This Row],[Duration]]&lt;=10,"under 10 mins",calls[[#This Row],[Duration]]&lt;=30,"10 to 30mins",calls[[#This Row],[Duration]]&lt;=60,"60 to 30mins",calls[[#This Row],[Duration]]&lt;=120,"1 to 2hrs",TRUE,"More than 2 hrs")</f>
        <v>More than 2 hrs</v>
      </c>
      <c r="M681">
        <f>ROUND(calls[[#This Row],[Satisfaction Rating]],0)</f>
        <v>4</v>
      </c>
      <c r="N681">
        <f>COUNTIF(calls[Customer ID], calls[[#This Row],[Customer ID]])</f>
        <v>60</v>
      </c>
      <c r="O681">
        <f>SUMIF(calls[Customer ID], calls[[#This Row],[Customer ID]], calls[Purchase Amount])</f>
        <v>5404</v>
      </c>
      <c r="P681">
        <f>calls[[#This Row],[call count]]/calls[[#This Row],[Purchase Amount]]</f>
        <v>0.95238095238095233</v>
      </c>
      <c r="Q681">
        <f>COUNTIF(calls[Customer ID],calls[[#This Row],[Customer ID]])</f>
        <v>60</v>
      </c>
      <c r="R681">
        <f>calls[[#This Row],[call count]]/calls[[#This Row],[Purchase Amount]]</f>
        <v>0.95238095238095233</v>
      </c>
    </row>
    <row r="682" spans="1:18" x14ac:dyDescent="0.4">
      <c r="A682" t="s">
        <v>712</v>
      </c>
      <c r="B682" t="s">
        <v>64</v>
      </c>
      <c r="C682">
        <v>116</v>
      </c>
      <c r="D682" s="4" t="s">
        <v>23</v>
      </c>
      <c r="E682" s="5">
        <v>45159</v>
      </c>
      <c r="F682">
        <v>44</v>
      </c>
      <c r="G682">
        <f>AVERAGEIF(calls[Representative], calls[[#This Row],[Representative]], calls[Satisfaction Rating])</f>
        <v>3.8973118279569863</v>
      </c>
      <c r="H682" t="str">
        <f>IF(AVERAGEIF(calls[Representative],calls[[#This Row],[Representative]],calls[Satisfaction Rating])&lt;3.5,"Needs Training","OK")</f>
        <v>OK</v>
      </c>
      <c r="I682">
        <v>3.8</v>
      </c>
      <c r="J682">
        <f>IF(MONTH(calls[[#This Row],[Date of Call]])&lt;=6, YEAR(calls[[#This Row],[Date of Call]]), YEAR(calls[[#This Row],[Date of Call]])+1)</f>
        <v>2024</v>
      </c>
      <c r="K682" t="str">
        <f>TEXT(calls[[#This Row],[Date of Call]],"DDDD")</f>
        <v>Monday</v>
      </c>
      <c r="L682" t="str" cm="1">
        <f t="array" ref="L682">_xlfn.IFS(calls[[#This Row],[Duration]]&lt;=10,"under 10 mins",calls[[#This Row],[Duration]]&lt;=30,"10 to 30mins",calls[[#This Row],[Duration]]&lt;=60,"60 to 30mins",calls[[#This Row],[Duration]]&lt;=120,"1 to 2hrs",TRUE,"More than 2 hrs")</f>
        <v>1 to 2hrs</v>
      </c>
      <c r="M682">
        <f>ROUND(calls[[#This Row],[Satisfaction Rating]],0)</f>
        <v>4</v>
      </c>
      <c r="N682">
        <f>COUNTIF(calls[Customer ID], calls[[#This Row],[Customer ID]])</f>
        <v>65</v>
      </c>
      <c r="O682">
        <f>SUMIF(calls[Customer ID], calls[[#This Row],[Customer ID]], calls[Purchase Amount])</f>
        <v>6785</v>
      </c>
      <c r="P682">
        <f>calls[[#This Row],[call count]]/calls[[#This Row],[Purchase Amount]]</f>
        <v>1.4772727272727273</v>
      </c>
      <c r="Q682">
        <f>COUNTIF(calls[Customer ID],calls[[#This Row],[Customer ID]])</f>
        <v>65</v>
      </c>
      <c r="R682">
        <f>calls[[#This Row],[call count]]/calls[[#This Row],[Purchase Amount]]</f>
        <v>1.4772727272727273</v>
      </c>
    </row>
    <row r="683" spans="1:18" x14ac:dyDescent="0.4">
      <c r="A683" t="s">
        <v>713</v>
      </c>
      <c r="B683" t="s">
        <v>11</v>
      </c>
      <c r="C683">
        <v>111</v>
      </c>
      <c r="D683" s="4" t="s">
        <v>23</v>
      </c>
      <c r="E683" s="5">
        <v>45161</v>
      </c>
      <c r="F683">
        <v>120</v>
      </c>
      <c r="G683">
        <f>AVERAGEIF(calls[Representative], calls[[#This Row],[Representative]], calls[Satisfaction Rating])</f>
        <v>3.8973118279569863</v>
      </c>
      <c r="H683" t="str">
        <f>IF(AVERAGEIF(calls[Representative],calls[[#This Row],[Representative]],calls[Satisfaction Rating])&lt;3.5,"Needs Training","OK")</f>
        <v>OK</v>
      </c>
      <c r="I683">
        <v>1.8</v>
      </c>
      <c r="J683">
        <f>IF(MONTH(calls[[#This Row],[Date of Call]])&lt;=6, YEAR(calls[[#This Row],[Date of Call]]), YEAR(calls[[#This Row],[Date of Call]])+1)</f>
        <v>2024</v>
      </c>
      <c r="K683" t="str">
        <f>TEXT(calls[[#This Row],[Date of Call]],"DDDD")</f>
        <v>Wednesday</v>
      </c>
      <c r="L683" t="str" cm="1">
        <f t="array" ref="L683">_xlfn.IFS(calls[[#This Row],[Duration]]&lt;=10,"under 10 mins",calls[[#This Row],[Duration]]&lt;=30,"10 to 30mins",calls[[#This Row],[Duration]]&lt;=60,"60 to 30mins",calls[[#This Row],[Duration]]&lt;=120,"1 to 2hrs",TRUE,"More than 2 hrs")</f>
        <v>1 to 2hrs</v>
      </c>
      <c r="M683">
        <f>ROUND(calls[[#This Row],[Satisfaction Rating]],0)</f>
        <v>2</v>
      </c>
      <c r="N683">
        <f>COUNTIF(calls[Customer ID], calls[[#This Row],[Customer ID]])</f>
        <v>60</v>
      </c>
      <c r="O683">
        <f>SUMIF(calls[Customer ID], calls[[#This Row],[Customer ID]], calls[Purchase Amount])</f>
        <v>5404</v>
      </c>
      <c r="P683">
        <f>calls[[#This Row],[call count]]/calls[[#This Row],[Purchase Amount]]</f>
        <v>0.5</v>
      </c>
      <c r="Q683">
        <f>COUNTIF(calls[Customer ID],calls[[#This Row],[Customer ID]])</f>
        <v>60</v>
      </c>
      <c r="R683">
        <f>calls[[#This Row],[call count]]/calls[[#This Row],[Purchase Amount]]</f>
        <v>0.5</v>
      </c>
    </row>
    <row r="684" spans="1:18" x14ac:dyDescent="0.4">
      <c r="A684" t="s">
        <v>714</v>
      </c>
      <c r="B684" t="s">
        <v>13</v>
      </c>
      <c r="C684">
        <v>15</v>
      </c>
      <c r="D684" s="4" t="s">
        <v>23</v>
      </c>
      <c r="E684" s="5">
        <v>45161</v>
      </c>
      <c r="F684">
        <v>120</v>
      </c>
      <c r="G684">
        <f>AVERAGEIF(calls[Representative], calls[[#This Row],[Representative]], calls[Satisfaction Rating])</f>
        <v>3.8973118279569863</v>
      </c>
      <c r="H684" t="str">
        <f>IF(AVERAGEIF(calls[Representative],calls[[#This Row],[Representative]],calls[Satisfaction Rating])&lt;3.5,"Needs Training","OK")</f>
        <v>OK</v>
      </c>
      <c r="I684">
        <v>4.0999999999999996</v>
      </c>
      <c r="J684">
        <f>IF(MONTH(calls[[#This Row],[Date of Call]])&lt;=6, YEAR(calls[[#This Row],[Date of Call]]), YEAR(calls[[#This Row],[Date of Call]])+1)</f>
        <v>2024</v>
      </c>
      <c r="K684" t="str">
        <f>TEXT(calls[[#This Row],[Date of Call]],"DDDD")</f>
        <v>Wednesday</v>
      </c>
      <c r="L684" t="str" cm="1">
        <f t="array" ref="L684">_xlfn.IFS(calls[[#This Row],[Duration]]&lt;=10,"under 10 mins",calls[[#This Row],[Duration]]&lt;=30,"10 to 30mins",calls[[#This Row],[Duration]]&lt;=60,"60 to 30mins",calls[[#This Row],[Duration]]&lt;=120,"1 to 2hrs",TRUE,"More than 2 hrs")</f>
        <v>10 to 30mins</v>
      </c>
      <c r="M684">
        <f>ROUND(calls[[#This Row],[Satisfaction Rating]],0)</f>
        <v>4</v>
      </c>
      <c r="N684">
        <f>COUNTIF(calls[Customer ID], calls[[#This Row],[Customer ID]])</f>
        <v>74</v>
      </c>
      <c r="O684">
        <f>SUMIF(calls[Customer ID], calls[[#This Row],[Customer ID]], calls[Purchase Amount])</f>
        <v>6749</v>
      </c>
      <c r="P684">
        <f>calls[[#This Row],[call count]]/calls[[#This Row],[Purchase Amount]]</f>
        <v>0.6166666666666667</v>
      </c>
      <c r="Q684">
        <f>COUNTIF(calls[Customer ID],calls[[#This Row],[Customer ID]])</f>
        <v>74</v>
      </c>
      <c r="R684">
        <f>calls[[#This Row],[call count]]/calls[[#This Row],[Purchase Amount]]</f>
        <v>0.6166666666666667</v>
      </c>
    </row>
    <row r="685" spans="1:18" x14ac:dyDescent="0.4">
      <c r="A685" t="s">
        <v>715</v>
      </c>
      <c r="B685" t="s">
        <v>32</v>
      </c>
      <c r="C685">
        <v>18</v>
      </c>
      <c r="D685" s="4" t="s">
        <v>9</v>
      </c>
      <c r="E685" s="5">
        <v>45162</v>
      </c>
      <c r="F685">
        <v>40</v>
      </c>
      <c r="G685">
        <f>AVERAGEIF(calls[Representative], calls[[#This Row],[Representative]], calls[Satisfaction Rating])</f>
        <v>3.8706422018348627</v>
      </c>
      <c r="H685" t="str">
        <f>IF(AVERAGEIF(calls[Representative],calls[[#This Row],[Representative]],calls[Satisfaction Rating])&lt;3.5,"Needs Training","OK")</f>
        <v>OK</v>
      </c>
      <c r="I685">
        <v>4.4000000000000004</v>
      </c>
      <c r="J685">
        <f>IF(MONTH(calls[[#This Row],[Date of Call]])&lt;=6, YEAR(calls[[#This Row],[Date of Call]]), YEAR(calls[[#This Row],[Date of Call]])+1)</f>
        <v>2024</v>
      </c>
      <c r="K685" t="str">
        <f>TEXT(calls[[#This Row],[Date of Call]],"DDDD")</f>
        <v>Thursday</v>
      </c>
      <c r="L685" t="str" cm="1">
        <f t="array" ref="L685">_xlfn.IFS(calls[[#This Row],[Duration]]&lt;=10,"under 10 mins",calls[[#This Row],[Duration]]&lt;=30,"10 to 30mins",calls[[#This Row],[Duration]]&lt;=60,"60 to 30mins",calls[[#This Row],[Duration]]&lt;=120,"1 to 2hrs",TRUE,"More than 2 hrs")</f>
        <v>10 to 30mins</v>
      </c>
      <c r="M685">
        <f>ROUND(calls[[#This Row],[Satisfaction Rating]],0)</f>
        <v>4</v>
      </c>
      <c r="N685">
        <f>COUNTIF(calls[Customer ID], calls[[#This Row],[Customer ID]])</f>
        <v>63</v>
      </c>
      <c r="O685">
        <f>SUMIF(calls[Customer ID], calls[[#This Row],[Customer ID]], calls[Purchase Amount])</f>
        <v>5634</v>
      </c>
      <c r="P685">
        <f>calls[[#This Row],[call count]]/calls[[#This Row],[Purchase Amount]]</f>
        <v>1.575</v>
      </c>
      <c r="Q685">
        <f>COUNTIF(calls[Customer ID],calls[[#This Row],[Customer ID]])</f>
        <v>63</v>
      </c>
      <c r="R685">
        <f>calls[[#This Row],[call count]]/calls[[#This Row],[Purchase Amount]]</f>
        <v>1.575</v>
      </c>
    </row>
    <row r="686" spans="1:18" x14ac:dyDescent="0.4">
      <c r="A686" t="s">
        <v>716</v>
      </c>
      <c r="B686" t="s">
        <v>21</v>
      </c>
      <c r="C686">
        <v>146</v>
      </c>
      <c r="D686" s="4" t="s">
        <v>14</v>
      </c>
      <c r="E686" s="5">
        <v>45162</v>
      </c>
      <c r="F686">
        <v>160</v>
      </c>
      <c r="G686">
        <f>AVERAGEIF(calls[Representative], calls[[#This Row],[Representative]], calls[Satisfaction Rating])</f>
        <v>3.9227513227513247</v>
      </c>
      <c r="H686" t="str">
        <f>IF(AVERAGEIF(calls[Representative],calls[[#This Row],[Representative]],calls[Satisfaction Rating])&lt;3.5,"Needs Training","OK")</f>
        <v>OK</v>
      </c>
      <c r="I686">
        <v>4.0999999999999996</v>
      </c>
      <c r="J686">
        <f>IF(MONTH(calls[[#This Row],[Date of Call]])&lt;=6, YEAR(calls[[#This Row],[Date of Call]]), YEAR(calls[[#This Row],[Date of Call]])+1)</f>
        <v>2024</v>
      </c>
      <c r="K686" t="str">
        <f>TEXT(calls[[#This Row],[Date of Call]],"DDDD")</f>
        <v>Thursday</v>
      </c>
      <c r="L686" t="str" cm="1">
        <f t="array" ref="L686">_xlfn.IFS(calls[[#This Row],[Duration]]&lt;=10,"under 10 mins",calls[[#This Row],[Duration]]&lt;=30,"10 to 30mins",calls[[#This Row],[Duration]]&lt;=60,"60 to 30mins",calls[[#This Row],[Duration]]&lt;=120,"1 to 2hrs",TRUE,"More than 2 hrs")</f>
        <v>More than 2 hrs</v>
      </c>
      <c r="M686">
        <f>ROUND(calls[[#This Row],[Satisfaction Rating]],0)</f>
        <v>4</v>
      </c>
      <c r="N686">
        <f>COUNTIF(calls[Customer ID], calls[[#This Row],[Customer ID]])</f>
        <v>67</v>
      </c>
      <c r="O686">
        <f>SUMIF(calls[Customer ID], calls[[#This Row],[Customer ID]], calls[Purchase Amount])</f>
        <v>7216</v>
      </c>
      <c r="P686">
        <f>calls[[#This Row],[call count]]/calls[[#This Row],[Purchase Amount]]</f>
        <v>0.41875000000000001</v>
      </c>
      <c r="Q686">
        <f>COUNTIF(calls[Customer ID],calls[[#This Row],[Customer ID]])</f>
        <v>67</v>
      </c>
      <c r="R686">
        <f>calls[[#This Row],[call count]]/calls[[#This Row],[Purchase Amount]]</f>
        <v>0.41875000000000001</v>
      </c>
    </row>
    <row r="687" spans="1:18" x14ac:dyDescent="0.4">
      <c r="A687" t="s">
        <v>717</v>
      </c>
      <c r="B687" t="s">
        <v>54</v>
      </c>
      <c r="C687">
        <v>73</v>
      </c>
      <c r="D687" s="4" t="s">
        <v>23</v>
      </c>
      <c r="E687" s="5">
        <v>45163</v>
      </c>
      <c r="F687">
        <v>44</v>
      </c>
      <c r="G687">
        <f>AVERAGEIF(calls[Representative], calls[[#This Row],[Representative]], calls[Satisfaction Rating])</f>
        <v>3.8973118279569863</v>
      </c>
      <c r="H687" t="str">
        <f>IF(AVERAGEIF(calls[Representative],calls[[#This Row],[Representative]],calls[Satisfaction Rating])&lt;3.5,"Needs Training","OK")</f>
        <v>OK</v>
      </c>
      <c r="I687">
        <v>3.8</v>
      </c>
      <c r="J687">
        <f>IF(MONTH(calls[[#This Row],[Date of Call]])&lt;=6, YEAR(calls[[#This Row],[Date of Call]]), YEAR(calls[[#This Row],[Date of Call]])+1)</f>
        <v>2024</v>
      </c>
      <c r="K687" t="str">
        <f>TEXT(calls[[#This Row],[Date of Call]],"DDDD")</f>
        <v>Friday</v>
      </c>
      <c r="L687" t="str" cm="1">
        <f t="array" ref="L687">_xlfn.IFS(calls[[#This Row],[Duration]]&lt;=10,"under 10 mins",calls[[#This Row],[Duration]]&lt;=30,"10 to 30mins",calls[[#This Row],[Duration]]&lt;=60,"60 to 30mins",calls[[#This Row],[Duration]]&lt;=120,"1 to 2hrs",TRUE,"More than 2 hrs")</f>
        <v>1 to 2hrs</v>
      </c>
      <c r="M687">
        <f>ROUND(calls[[#This Row],[Satisfaction Rating]],0)</f>
        <v>4</v>
      </c>
      <c r="N687">
        <f>COUNTIF(calls[Customer ID], calls[[#This Row],[Customer ID]])</f>
        <v>70</v>
      </c>
      <c r="O687">
        <f>SUMIF(calls[Customer ID], calls[[#This Row],[Customer ID]], calls[Purchase Amount])</f>
        <v>6819</v>
      </c>
      <c r="P687">
        <f>calls[[#This Row],[call count]]/calls[[#This Row],[Purchase Amount]]</f>
        <v>1.5909090909090908</v>
      </c>
      <c r="Q687">
        <f>COUNTIF(calls[Customer ID],calls[[#This Row],[Customer ID]])</f>
        <v>70</v>
      </c>
      <c r="R687">
        <f>calls[[#This Row],[call count]]/calls[[#This Row],[Purchase Amount]]</f>
        <v>1.5909090909090908</v>
      </c>
    </row>
    <row r="688" spans="1:18" x14ac:dyDescent="0.4">
      <c r="A688" t="s">
        <v>718</v>
      </c>
      <c r="B688" t="s">
        <v>11</v>
      </c>
      <c r="C688">
        <v>108</v>
      </c>
      <c r="D688" s="4" t="s">
        <v>9</v>
      </c>
      <c r="E688" s="5">
        <v>45163</v>
      </c>
      <c r="F688">
        <v>80</v>
      </c>
      <c r="G688">
        <f>AVERAGEIF(calls[Representative], calls[[#This Row],[Representative]], calls[Satisfaction Rating])</f>
        <v>3.8706422018348627</v>
      </c>
      <c r="H688" t="str">
        <f>IF(AVERAGEIF(calls[Representative],calls[[#This Row],[Representative]],calls[Satisfaction Rating])&lt;3.5,"Needs Training","OK")</f>
        <v>OK</v>
      </c>
      <c r="I688">
        <v>4.3</v>
      </c>
      <c r="J688">
        <f>IF(MONTH(calls[[#This Row],[Date of Call]])&lt;=6, YEAR(calls[[#This Row],[Date of Call]]), YEAR(calls[[#This Row],[Date of Call]])+1)</f>
        <v>2024</v>
      </c>
      <c r="K688" t="str">
        <f>TEXT(calls[[#This Row],[Date of Call]],"DDDD")</f>
        <v>Friday</v>
      </c>
      <c r="L688" t="str" cm="1">
        <f t="array" ref="L688">_xlfn.IFS(calls[[#This Row],[Duration]]&lt;=10,"under 10 mins",calls[[#This Row],[Duration]]&lt;=30,"10 to 30mins",calls[[#This Row],[Duration]]&lt;=60,"60 to 30mins",calls[[#This Row],[Duration]]&lt;=120,"1 to 2hrs",TRUE,"More than 2 hrs")</f>
        <v>1 to 2hrs</v>
      </c>
      <c r="M688">
        <f>ROUND(calls[[#This Row],[Satisfaction Rating]],0)</f>
        <v>4</v>
      </c>
      <c r="N688">
        <f>COUNTIF(calls[Customer ID], calls[[#This Row],[Customer ID]])</f>
        <v>60</v>
      </c>
      <c r="O688">
        <f>SUMIF(calls[Customer ID], calls[[#This Row],[Customer ID]], calls[Purchase Amount])</f>
        <v>5404</v>
      </c>
      <c r="P688">
        <f>calls[[#This Row],[call count]]/calls[[#This Row],[Purchase Amount]]</f>
        <v>0.75</v>
      </c>
      <c r="Q688">
        <f>COUNTIF(calls[Customer ID],calls[[#This Row],[Customer ID]])</f>
        <v>60</v>
      </c>
      <c r="R688">
        <f>calls[[#This Row],[call count]]/calls[[#This Row],[Purchase Amount]]</f>
        <v>0.75</v>
      </c>
    </row>
    <row r="689" spans="1:18" x14ac:dyDescent="0.4">
      <c r="A689" t="s">
        <v>719</v>
      </c>
      <c r="B689" t="s">
        <v>44</v>
      </c>
      <c r="C689">
        <v>52</v>
      </c>
      <c r="D689" s="4" t="s">
        <v>9</v>
      </c>
      <c r="E689" s="5">
        <v>45164</v>
      </c>
      <c r="F689">
        <v>66</v>
      </c>
      <c r="G689">
        <f>AVERAGEIF(calls[Representative], calls[[#This Row],[Representative]], calls[Satisfaction Rating])</f>
        <v>3.8706422018348627</v>
      </c>
      <c r="H689" t="str">
        <f>IF(AVERAGEIF(calls[Representative],calls[[#This Row],[Representative]],calls[Satisfaction Rating])&lt;3.5,"Needs Training","OK")</f>
        <v>OK</v>
      </c>
      <c r="I689">
        <v>4.5</v>
      </c>
      <c r="J689">
        <f>IF(MONTH(calls[[#This Row],[Date of Call]])&lt;=6, YEAR(calls[[#This Row],[Date of Call]]), YEAR(calls[[#This Row],[Date of Call]])+1)</f>
        <v>2024</v>
      </c>
      <c r="K689" t="str">
        <f>TEXT(calls[[#This Row],[Date of Call]],"DDDD")</f>
        <v>Saturday</v>
      </c>
      <c r="L689" t="str" cm="1">
        <f t="array" ref="L689">_xlfn.IFS(calls[[#This Row],[Duration]]&lt;=10,"under 10 mins",calls[[#This Row],[Duration]]&lt;=30,"10 to 30mins",calls[[#This Row],[Duration]]&lt;=60,"60 to 30mins",calls[[#This Row],[Duration]]&lt;=120,"1 to 2hrs",TRUE,"More than 2 hrs")</f>
        <v>60 to 30mins</v>
      </c>
      <c r="M689">
        <f>ROUND(calls[[#This Row],[Satisfaction Rating]],0)</f>
        <v>5</v>
      </c>
      <c r="N689">
        <f>COUNTIF(calls[Customer ID], calls[[#This Row],[Customer ID]])</f>
        <v>62</v>
      </c>
      <c r="O689">
        <f>SUMIF(calls[Customer ID], calls[[#This Row],[Customer ID]], calls[Purchase Amount])</f>
        <v>6176</v>
      </c>
      <c r="P689">
        <f>calls[[#This Row],[call count]]/calls[[#This Row],[Purchase Amount]]</f>
        <v>0.93939393939393945</v>
      </c>
      <c r="Q689">
        <f>COUNTIF(calls[Customer ID],calls[[#This Row],[Customer ID]])</f>
        <v>62</v>
      </c>
      <c r="R689">
        <f>calls[[#This Row],[call count]]/calls[[#This Row],[Purchase Amount]]</f>
        <v>0.93939393939393945</v>
      </c>
    </row>
    <row r="690" spans="1:18" x14ac:dyDescent="0.4">
      <c r="A690" t="s">
        <v>720</v>
      </c>
      <c r="B690" t="s">
        <v>64</v>
      </c>
      <c r="C690">
        <v>165</v>
      </c>
      <c r="D690" s="4" t="s">
        <v>27</v>
      </c>
      <c r="E690" s="5">
        <v>45164</v>
      </c>
      <c r="F690">
        <v>82</v>
      </c>
      <c r="G690">
        <f>AVERAGEIF(calls[Representative], calls[[#This Row],[Representative]], calls[Satisfaction Rating])</f>
        <v>3.8589371980676304</v>
      </c>
      <c r="H690" t="str">
        <f>IF(AVERAGEIF(calls[Representative],calls[[#This Row],[Representative]],calls[Satisfaction Rating])&lt;3.5,"Needs Training","OK")</f>
        <v>OK</v>
      </c>
      <c r="I690">
        <v>3.4</v>
      </c>
      <c r="J690">
        <f>IF(MONTH(calls[[#This Row],[Date of Call]])&lt;=6, YEAR(calls[[#This Row],[Date of Call]]), YEAR(calls[[#This Row],[Date of Call]])+1)</f>
        <v>2024</v>
      </c>
      <c r="K690" t="str">
        <f>TEXT(calls[[#This Row],[Date of Call]],"DDDD")</f>
        <v>Saturday</v>
      </c>
      <c r="L690" t="str" cm="1">
        <f t="array" ref="L690">_xlfn.IFS(calls[[#This Row],[Duration]]&lt;=10,"under 10 mins",calls[[#This Row],[Duration]]&lt;=30,"10 to 30mins",calls[[#This Row],[Duration]]&lt;=60,"60 to 30mins",calls[[#This Row],[Duration]]&lt;=120,"1 to 2hrs",TRUE,"More than 2 hrs")</f>
        <v>More than 2 hrs</v>
      </c>
      <c r="M690">
        <f>ROUND(calls[[#This Row],[Satisfaction Rating]],0)</f>
        <v>3</v>
      </c>
      <c r="N690">
        <f>COUNTIF(calls[Customer ID], calls[[#This Row],[Customer ID]])</f>
        <v>65</v>
      </c>
      <c r="O690">
        <f>SUMIF(calls[Customer ID], calls[[#This Row],[Customer ID]], calls[Purchase Amount])</f>
        <v>6785</v>
      </c>
      <c r="P690">
        <f>calls[[#This Row],[call count]]/calls[[#This Row],[Purchase Amount]]</f>
        <v>0.79268292682926833</v>
      </c>
      <c r="Q690">
        <f>COUNTIF(calls[Customer ID],calls[[#This Row],[Customer ID]])</f>
        <v>65</v>
      </c>
      <c r="R690">
        <f>calls[[#This Row],[call count]]/calls[[#This Row],[Purchase Amount]]</f>
        <v>0.79268292682926833</v>
      </c>
    </row>
    <row r="691" spans="1:18" x14ac:dyDescent="0.4">
      <c r="A691" t="s">
        <v>721</v>
      </c>
      <c r="B691" t="s">
        <v>21</v>
      </c>
      <c r="C691">
        <v>104</v>
      </c>
      <c r="D691" s="4" t="s">
        <v>23</v>
      </c>
      <c r="E691" s="5">
        <v>45164</v>
      </c>
      <c r="F691">
        <v>66</v>
      </c>
      <c r="G691">
        <f>AVERAGEIF(calls[Representative], calls[[#This Row],[Representative]], calls[Satisfaction Rating])</f>
        <v>3.8973118279569863</v>
      </c>
      <c r="H691" t="str">
        <f>IF(AVERAGEIF(calls[Representative],calls[[#This Row],[Representative]],calls[Satisfaction Rating])&lt;3.5,"Needs Training","OK")</f>
        <v>OK</v>
      </c>
      <c r="I691">
        <v>4.8</v>
      </c>
      <c r="J691">
        <f>IF(MONTH(calls[[#This Row],[Date of Call]])&lt;=6, YEAR(calls[[#This Row],[Date of Call]]), YEAR(calls[[#This Row],[Date of Call]])+1)</f>
        <v>2024</v>
      </c>
      <c r="K691" t="str">
        <f>TEXT(calls[[#This Row],[Date of Call]],"DDDD")</f>
        <v>Saturday</v>
      </c>
      <c r="L691" t="str" cm="1">
        <f t="array" ref="L691">_xlfn.IFS(calls[[#This Row],[Duration]]&lt;=10,"under 10 mins",calls[[#This Row],[Duration]]&lt;=30,"10 to 30mins",calls[[#This Row],[Duration]]&lt;=60,"60 to 30mins",calls[[#This Row],[Duration]]&lt;=120,"1 to 2hrs",TRUE,"More than 2 hrs")</f>
        <v>1 to 2hrs</v>
      </c>
      <c r="M691">
        <f>ROUND(calls[[#This Row],[Satisfaction Rating]],0)</f>
        <v>5</v>
      </c>
      <c r="N691">
        <f>COUNTIF(calls[Customer ID], calls[[#This Row],[Customer ID]])</f>
        <v>67</v>
      </c>
      <c r="O691">
        <f>SUMIF(calls[Customer ID], calls[[#This Row],[Customer ID]], calls[Purchase Amount])</f>
        <v>7216</v>
      </c>
      <c r="P691">
        <f>calls[[#This Row],[call count]]/calls[[#This Row],[Purchase Amount]]</f>
        <v>1.0151515151515151</v>
      </c>
      <c r="Q691">
        <f>COUNTIF(calls[Customer ID],calls[[#This Row],[Customer ID]])</f>
        <v>67</v>
      </c>
      <c r="R691">
        <f>calls[[#This Row],[call count]]/calls[[#This Row],[Purchase Amount]]</f>
        <v>1.0151515151515151</v>
      </c>
    </row>
    <row r="692" spans="1:18" x14ac:dyDescent="0.4">
      <c r="A692" t="s">
        <v>722</v>
      </c>
      <c r="B692" t="s">
        <v>54</v>
      </c>
      <c r="C692">
        <v>131</v>
      </c>
      <c r="D692" s="4" t="s">
        <v>14</v>
      </c>
      <c r="E692" s="5">
        <v>45164</v>
      </c>
      <c r="F692">
        <v>92</v>
      </c>
      <c r="G692">
        <f>AVERAGEIF(calls[Representative], calls[[#This Row],[Representative]], calls[Satisfaction Rating])</f>
        <v>3.9227513227513247</v>
      </c>
      <c r="H692" t="str">
        <f>IF(AVERAGEIF(calls[Representative],calls[[#This Row],[Representative]],calls[Satisfaction Rating])&lt;3.5,"Needs Training","OK")</f>
        <v>OK</v>
      </c>
      <c r="I692">
        <v>4.9000000000000004</v>
      </c>
      <c r="J692">
        <f>IF(MONTH(calls[[#This Row],[Date of Call]])&lt;=6, YEAR(calls[[#This Row],[Date of Call]]), YEAR(calls[[#This Row],[Date of Call]])+1)</f>
        <v>2024</v>
      </c>
      <c r="K692" t="str">
        <f>TEXT(calls[[#This Row],[Date of Call]],"DDDD")</f>
        <v>Saturday</v>
      </c>
      <c r="L692" t="str" cm="1">
        <f t="array" ref="L692">_xlfn.IFS(calls[[#This Row],[Duration]]&lt;=10,"under 10 mins",calls[[#This Row],[Duration]]&lt;=30,"10 to 30mins",calls[[#This Row],[Duration]]&lt;=60,"60 to 30mins",calls[[#This Row],[Duration]]&lt;=120,"1 to 2hrs",TRUE,"More than 2 hrs")</f>
        <v>More than 2 hrs</v>
      </c>
      <c r="M692">
        <f>ROUND(calls[[#This Row],[Satisfaction Rating]],0)</f>
        <v>5</v>
      </c>
      <c r="N692">
        <f>COUNTIF(calls[Customer ID], calls[[#This Row],[Customer ID]])</f>
        <v>70</v>
      </c>
      <c r="O692">
        <f>SUMIF(calls[Customer ID], calls[[#This Row],[Customer ID]], calls[Purchase Amount])</f>
        <v>6819</v>
      </c>
      <c r="P692">
        <f>calls[[#This Row],[call count]]/calls[[#This Row],[Purchase Amount]]</f>
        <v>0.76086956521739135</v>
      </c>
      <c r="Q692">
        <f>COUNTIF(calls[Customer ID],calls[[#This Row],[Customer ID]])</f>
        <v>70</v>
      </c>
      <c r="R692">
        <f>calls[[#This Row],[call count]]/calls[[#This Row],[Purchase Amount]]</f>
        <v>0.76086956521739135</v>
      </c>
    </row>
    <row r="693" spans="1:18" x14ac:dyDescent="0.4">
      <c r="A693" t="s">
        <v>723</v>
      </c>
      <c r="B693" t="s">
        <v>51</v>
      </c>
      <c r="C693">
        <v>80</v>
      </c>
      <c r="D693" s="4" t="s">
        <v>27</v>
      </c>
      <c r="E693" s="5">
        <v>45165</v>
      </c>
      <c r="F693">
        <v>104</v>
      </c>
      <c r="G693">
        <f>AVERAGEIF(calls[Representative], calls[[#This Row],[Representative]], calls[Satisfaction Rating])</f>
        <v>3.8589371980676304</v>
      </c>
      <c r="H693" t="str">
        <f>IF(AVERAGEIF(calls[Representative],calls[[#This Row],[Representative]],calls[Satisfaction Rating])&lt;3.5,"Needs Training","OK")</f>
        <v>OK</v>
      </c>
      <c r="I693">
        <v>4.7</v>
      </c>
      <c r="J693">
        <f>IF(MONTH(calls[[#This Row],[Date of Call]])&lt;=6, YEAR(calls[[#This Row],[Date of Call]]), YEAR(calls[[#This Row],[Date of Call]])+1)</f>
        <v>2024</v>
      </c>
      <c r="K693" t="str">
        <f>TEXT(calls[[#This Row],[Date of Call]],"DDDD")</f>
        <v>Sunday</v>
      </c>
      <c r="L693" t="str" cm="1">
        <f t="array" ref="L693">_xlfn.IFS(calls[[#This Row],[Duration]]&lt;=10,"under 10 mins",calls[[#This Row],[Duration]]&lt;=30,"10 to 30mins",calls[[#This Row],[Duration]]&lt;=60,"60 to 30mins",calls[[#This Row],[Duration]]&lt;=120,"1 to 2hrs",TRUE,"More than 2 hrs")</f>
        <v>1 to 2hrs</v>
      </c>
      <c r="M693">
        <f>ROUND(calls[[#This Row],[Satisfaction Rating]],0)</f>
        <v>5</v>
      </c>
      <c r="N693">
        <f>COUNTIF(calls[Customer ID], calls[[#This Row],[Customer ID]])</f>
        <v>59</v>
      </c>
      <c r="O693">
        <f>SUMIF(calls[Customer ID], calls[[#This Row],[Customer ID]], calls[Purchase Amount])</f>
        <v>6518</v>
      </c>
      <c r="P693">
        <f>calls[[#This Row],[call count]]/calls[[#This Row],[Purchase Amount]]</f>
        <v>0.56730769230769229</v>
      </c>
      <c r="Q693">
        <f>COUNTIF(calls[Customer ID],calls[[#This Row],[Customer ID]])</f>
        <v>59</v>
      </c>
      <c r="R693">
        <f>calls[[#This Row],[call count]]/calls[[#This Row],[Purchase Amount]]</f>
        <v>0.56730769230769229</v>
      </c>
    </row>
    <row r="694" spans="1:18" x14ac:dyDescent="0.4">
      <c r="A694" t="s">
        <v>724</v>
      </c>
      <c r="B694" t="s">
        <v>13</v>
      </c>
      <c r="C694">
        <v>49</v>
      </c>
      <c r="D694" s="4" t="s">
        <v>23</v>
      </c>
      <c r="E694" s="5">
        <v>45165</v>
      </c>
      <c r="F694">
        <v>105</v>
      </c>
      <c r="G694">
        <f>AVERAGEIF(calls[Representative], calls[[#This Row],[Representative]], calls[Satisfaction Rating])</f>
        <v>3.8973118279569863</v>
      </c>
      <c r="H694" t="str">
        <f>IF(AVERAGEIF(calls[Representative],calls[[#This Row],[Representative]],calls[Satisfaction Rating])&lt;3.5,"Needs Training","OK")</f>
        <v>OK</v>
      </c>
      <c r="I694">
        <v>3.3</v>
      </c>
      <c r="J694">
        <f>IF(MONTH(calls[[#This Row],[Date of Call]])&lt;=6, YEAR(calls[[#This Row],[Date of Call]]), YEAR(calls[[#This Row],[Date of Call]])+1)</f>
        <v>2024</v>
      </c>
      <c r="K694" t="str">
        <f>TEXT(calls[[#This Row],[Date of Call]],"DDDD")</f>
        <v>Sunday</v>
      </c>
      <c r="L694" t="str" cm="1">
        <f t="array" ref="L694">_xlfn.IFS(calls[[#This Row],[Duration]]&lt;=10,"under 10 mins",calls[[#This Row],[Duration]]&lt;=30,"10 to 30mins",calls[[#This Row],[Duration]]&lt;=60,"60 to 30mins",calls[[#This Row],[Duration]]&lt;=120,"1 to 2hrs",TRUE,"More than 2 hrs")</f>
        <v>60 to 30mins</v>
      </c>
      <c r="M694">
        <f>ROUND(calls[[#This Row],[Satisfaction Rating]],0)</f>
        <v>3</v>
      </c>
      <c r="N694">
        <f>COUNTIF(calls[Customer ID], calls[[#This Row],[Customer ID]])</f>
        <v>74</v>
      </c>
      <c r="O694">
        <f>SUMIF(calls[Customer ID], calls[[#This Row],[Customer ID]], calls[Purchase Amount])</f>
        <v>6749</v>
      </c>
      <c r="P694">
        <f>calls[[#This Row],[call count]]/calls[[#This Row],[Purchase Amount]]</f>
        <v>0.70476190476190481</v>
      </c>
      <c r="Q694">
        <f>COUNTIF(calls[Customer ID],calls[[#This Row],[Customer ID]])</f>
        <v>74</v>
      </c>
      <c r="R694">
        <f>calls[[#This Row],[call count]]/calls[[#This Row],[Purchase Amount]]</f>
        <v>0.70476190476190481</v>
      </c>
    </row>
    <row r="695" spans="1:18" x14ac:dyDescent="0.4">
      <c r="A695" t="s">
        <v>725</v>
      </c>
      <c r="B695" t="s">
        <v>64</v>
      </c>
      <c r="C695">
        <v>73</v>
      </c>
      <c r="D695" s="4" t="s">
        <v>23</v>
      </c>
      <c r="E695" s="5">
        <v>45165</v>
      </c>
      <c r="F695">
        <v>100</v>
      </c>
      <c r="G695">
        <f>AVERAGEIF(calls[Representative], calls[[#This Row],[Representative]], calls[Satisfaction Rating])</f>
        <v>3.8973118279569863</v>
      </c>
      <c r="H695" t="str">
        <f>IF(AVERAGEIF(calls[Representative],calls[[#This Row],[Representative]],calls[Satisfaction Rating])&lt;3.5,"Needs Training","OK")</f>
        <v>OK</v>
      </c>
      <c r="I695">
        <v>2.8</v>
      </c>
      <c r="J695">
        <f>IF(MONTH(calls[[#This Row],[Date of Call]])&lt;=6, YEAR(calls[[#This Row],[Date of Call]]), YEAR(calls[[#This Row],[Date of Call]])+1)</f>
        <v>2024</v>
      </c>
      <c r="K695" t="str">
        <f>TEXT(calls[[#This Row],[Date of Call]],"DDDD")</f>
        <v>Sunday</v>
      </c>
      <c r="L695" t="str" cm="1">
        <f t="array" ref="L695">_xlfn.IFS(calls[[#This Row],[Duration]]&lt;=10,"under 10 mins",calls[[#This Row],[Duration]]&lt;=30,"10 to 30mins",calls[[#This Row],[Duration]]&lt;=60,"60 to 30mins",calls[[#This Row],[Duration]]&lt;=120,"1 to 2hrs",TRUE,"More than 2 hrs")</f>
        <v>1 to 2hrs</v>
      </c>
      <c r="M695">
        <f>ROUND(calls[[#This Row],[Satisfaction Rating]],0)</f>
        <v>3</v>
      </c>
      <c r="N695">
        <f>COUNTIF(calls[Customer ID], calls[[#This Row],[Customer ID]])</f>
        <v>65</v>
      </c>
      <c r="O695">
        <f>SUMIF(calls[Customer ID], calls[[#This Row],[Customer ID]], calls[Purchase Amount])</f>
        <v>6785</v>
      </c>
      <c r="P695">
        <f>calls[[#This Row],[call count]]/calls[[#This Row],[Purchase Amount]]</f>
        <v>0.65</v>
      </c>
      <c r="Q695">
        <f>COUNTIF(calls[Customer ID],calls[[#This Row],[Customer ID]])</f>
        <v>65</v>
      </c>
      <c r="R695">
        <f>calls[[#This Row],[call count]]/calls[[#This Row],[Purchase Amount]]</f>
        <v>0.65</v>
      </c>
    </row>
    <row r="696" spans="1:18" x14ac:dyDescent="0.4">
      <c r="A696" t="s">
        <v>726</v>
      </c>
      <c r="B696" t="s">
        <v>21</v>
      </c>
      <c r="C696">
        <v>117</v>
      </c>
      <c r="D696" s="4" t="s">
        <v>27</v>
      </c>
      <c r="E696" s="5">
        <v>45165</v>
      </c>
      <c r="F696">
        <v>90</v>
      </c>
      <c r="G696">
        <f>AVERAGEIF(calls[Representative], calls[[#This Row],[Representative]], calls[Satisfaction Rating])</f>
        <v>3.8589371980676304</v>
      </c>
      <c r="H696" t="str">
        <f>IF(AVERAGEIF(calls[Representative],calls[[#This Row],[Representative]],calls[Satisfaction Rating])&lt;3.5,"Needs Training","OK")</f>
        <v>OK</v>
      </c>
      <c r="I696">
        <v>4.0999999999999996</v>
      </c>
      <c r="J696">
        <f>IF(MONTH(calls[[#This Row],[Date of Call]])&lt;=6, YEAR(calls[[#This Row],[Date of Call]]), YEAR(calls[[#This Row],[Date of Call]])+1)</f>
        <v>2024</v>
      </c>
      <c r="K696" t="str">
        <f>TEXT(calls[[#This Row],[Date of Call]],"DDDD")</f>
        <v>Sunday</v>
      </c>
      <c r="L696" t="str" cm="1">
        <f t="array" ref="L696">_xlfn.IFS(calls[[#This Row],[Duration]]&lt;=10,"under 10 mins",calls[[#This Row],[Duration]]&lt;=30,"10 to 30mins",calls[[#This Row],[Duration]]&lt;=60,"60 to 30mins",calls[[#This Row],[Duration]]&lt;=120,"1 to 2hrs",TRUE,"More than 2 hrs")</f>
        <v>1 to 2hrs</v>
      </c>
      <c r="M696">
        <f>ROUND(calls[[#This Row],[Satisfaction Rating]],0)</f>
        <v>4</v>
      </c>
      <c r="N696">
        <f>COUNTIF(calls[Customer ID], calls[[#This Row],[Customer ID]])</f>
        <v>67</v>
      </c>
      <c r="O696">
        <f>SUMIF(calls[Customer ID], calls[[#This Row],[Customer ID]], calls[Purchase Amount])</f>
        <v>7216</v>
      </c>
      <c r="P696">
        <f>calls[[#This Row],[call count]]/calls[[#This Row],[Purchase Amount]]</f>
        <v>0.74444444444444446</v>
      </c>
      <c r="Q696">
        <f>COUNTIF(calls[Customer ID],calls[[#This Row],[Customer ID]])</f>
        <v>67</v>
      </c>
      <c r="R696">
        <f>calls[[#This Row],[call count]]/calls[[#This Row],[Purchase Amount]]</f>
        <v>0.74444444444444446</v>
      </c>
    </row>
    <row r="697" spans="1:18" x14ac:dyDescent="0.4">
      <c r="A697" t="s">
        <v>727</v>
      </c>
      <c r="B697" t="s">
        <v>8</v>
      </c>
      <c r="C697">
        <v>38</v>
      </c>
      <c r="D697" s="4" t="s">
        <v>2</v>
      </c>
      <c r="E697" s="5">
        <v>45165</v>
      </c>
      <c r="F697">
        <v>110</v>
      </c>
      <c r="G697">
        <f>AVERAGEIF(calls[Representative], calls[[#This Row],[Representative]], calls[Satisfaction Rating])</f>
        <v>3.8824999999999998</v>
      </c>
      <c r="H697" t="str">
        <f>IF(AVERAGEIF(calls[Representative],calls[[#This Row],[Representative]],calls[Satisfaction Rating])&lt;3.5,"Needs Training","OK")</f>
        <v>OK</v>
      </c>
      <c r="I697">
        <v>3.5</v>
      </c>
      <c r="J697">
        <f>IF(MONTH(calls[[#This Row],[Date of Call]])&lt;=6, YEAR(calls[[#This Row],[Date of Call]]), YEAR(calls[[#This Row],[Date of Call]])+1)</f>
        <v>2024</v>
      </c>
      <c r="K697" t="str">
        <f>TEXT(calls[[#This Row],[Date of Call]],"DDDD")</f>
        <v>Sunday</v>
      </c>
      <c r="L697" t="str" cm="1">
        <f t="array" ref="L697">_xlfn.IFS(calls[[#This Row],[Duration]]&lt;=10,"under 10 mins",calls[[#This Row],[Duration]]&lt;=30,"10 to 30mins",calls[[#This Row],[Duration]]&lt;=60,"60 to 30mins",calls[[#This Row],[Duration]]&lt;=120,"1 to 2hrs",TRUE,"More than 2 hrs")</f>
        <v>60 to 30mins</v>
      </c>
      <c r="M697">
        <f>ROUND(calls[[#This Row],[Satisfaction Rating]],0)</f>
        <v>4</v>
      </c>
      <c r="N697">
        <f>COUNTIF(calls[Customer ID], calls[[#This Row],[Customer ID]])</f>
        <v>79</v>
      </c>
      <c r="O697">
        <f>SUMIF(calls[Customer ID], calls[[#This Row],[Customer ID]], calls[Purchase Amount])</f>
        <v>7747</v>
      </c>
      <c r="P697">
        <f>calls[[#This Row],[call count]]/calls[[#This Row],[Purchase Amount]]</f>
        <v>0.71818181818181814</v>
      </c>
      <c r="Q697">
        <f>COUNTIF(calls[Customer ID],calls[[#This Row],[Customer ID]])</f>
        <v>79</v>
      </c>
      <c r="R697">
        <f>calls[[#This Row],[call count]]/calls[[#This Row],[Purchase Amount]]</f>
        <v>0.71818181818181814</v>
      </c>
    </row>
    <row r="698" spans="1:18" x14ac:dyDescent="0.4">
      <c r="A698" t="s">
        <v>728</v>
      </c>
      <c r="B698" t="s">
        <v>44</v>
      </c>
      <c r="C698">
        <v>109</v>
      </c>
      <c r="D698" s="4" t="s">
        <v>27</v>
      </c>
      <c r="E698" s="5">
        <v>45167</v>
      </c>
      <c r="F698">
        <v>68</v>
      </c>
      <c r="G698">
        <f>AVERAGEIF(calls[Representative], calls[[#This Row],[Representative]], calls[Satisfaction Rating])</f>
        <v>3.8589371980676304</v>
      </c>
      <c r="H698" t="str">
        <f>IF(AVERAGEIF(calls[Representative],calls[[#This Row],[Representative]],calls[Satisfaction Rating])&lt;3.5,"Needs Training","OK")</f>
        <v>OK</v>
      </c>
      <c r="I698">
        <v>2.2999999999999998</v>
      </c>
      <c r="J698">
        <f>IF(MONTH(calls[[#This Row],[Date of Call]])&lt;=6, YEAR(calls[[#This Row],[Date of Call]]), YEAR(calls[[#This Row],[Date of Call]])+1)</f>
        <v>2024</v>
      </c>
      <c r="K698" t="str">
        <f>TEXT(calls[[#This Row],[Date of Call]],"DDDD")</f>
        <v>Tuesday</v>
      </c>
      <c r="L698" t="str" cm="1">
        <f t="array" ref="L698">_xlfn.IFS(calls[[#This Row],[Duration]]&lt;=10,"under 10 mins",calls[[#This Row],[Duration]]&lt;=30,"10 to 30mins",calls[[#This Row],[Duration]]&lt;=60,"60 to 30mins",calls[[#This Row],[Duration]]&lt;=120,"1 to 2hrs",TRUE,"More than 2 hrs")</f>
        <v>1 to 2hrs</v>
      </c>
      <c r="M698">
        <f>ROUND(calls[[#This Row],[Satisfaction Rating]],0)</f>
        <v>2</v>
      </c>
      <c r="N698">
        <f>COUNTIF(calls[Customer ID], calls[[#This Row],[Customer ID]])</f>
        <v>62</v>
      </c>
      <c r="O698">
        <f>SUMIF(calls[Customer ID], calls[[#This Row],[Customer ID]], calls[Purchase Amount])</f>
        <v>6176</v>
      </c>
      <c r="P698">
        <f>calls[[#This Row],[call count]]/calls[[#This Row],[Purchase Amount]]</f>
        <v>0.91176470588235292</v>
      </c>
      <c r="Q698">
        <f>COUNTIF(calls[Customer ID],calls[[#This Row],[Customer ID]])</f>
        <v>62</v>
      </c>
      <c r="R698">
        <f>calls[[#This Row],[call count]]/calls[[#This Row],[Purchase Amount]]</f>
        <v>0.91176470588235292</v>
      </c>
    </row>
    <row r="699" spans="1:18" x14ac:dyDescent="0.4">
      <c r="A699" t="s">
        <v>729</v>
      </c>
      <c r="B699" t="s">
        <v>13</v>
      </c>
      <c r="C699">
        <v>70</v>
      </c>
      <c r="D699" s="4" t="s">
        <v>9</v>
      </c>
      <c r="E699" s="5">
        <v>45168</v>
      </c>
      <c r="F699">
        <v>210</v>
      </c>
      <c r="G699">
        <f>AVERAGEIF(calls[Representative], calls[[#This Row],[Representative]], calls[Satisfaction Rating])</f>
        <v>3.8706422018348627</v>
      </c>
      <c r="H699" t="str">
        <f>IF(AVERAGEIF(calls[Representative],calls[[#This Row],[Representative]],calls[Satisfaction Rating])&lt;3.5,"Needs Training","OK")</f>
        <v>OK</v>
      </c>
      <c r="I699">
        <v>4.0999999999999996</v>
      </c>
      <c r="J699">
        <f>IF(MONTH(calls[[#This Row],[Date of Call]])&lt;=6, YEAR(calls[[#This Row],[Date of Call]]), YEAR(calls[[#This Row],[Date of Call]])+1)</f>
        <v>2024</v>
      </c>
      <c r="K699" t="str">
        <f>TEXT(calls[[#This Row],[Date of Call]],"DDDD")</f>
        <v>Wednesday</v>
      </c>
      <c r="L699" t="str" cm="1">
        <f t="array" ref="L699">_xlfn.IFS(calls[[#This Row],[Duration]]&lt;=10,"under 10 mins",calls[[#This Row],[Duration]]&lt;=30,"10 to 30mins",calls[[#This Row],[Duration]]&lt;=60,"60 to 30mins",calls[[#This Row],[Duration]]&lt;=120,"1 to 2hrs",TRUE,"More than 2 hrs")</f>
        <v>1 to 2hrs</v>
      </c>
      <c r="M699">
        <f>ROUND(calls[[#This Row],[Satisfaction Rating]],0)</f>
        <v>4</v>
      </c>
      <c r="N699">
        <f>COUNTIF(calls[Customer ID], calls[[#This Row],[Customer ID]])</f>
        <v>74</v>
      </c>
      <c r="O699">
        <f>SUMIF(calls[Customer ID], calls[[#This Row],[Customer ID]], calls[Purchase Amount])</f>
        <v>6749</v>
      </c>
      <c r="P699">
        <f>calls[[#This Row],[call count]]/calls[[#This Row],[Purchase Amount]]</f>
        <v>0.35238095238095241</v>
      </c>
      <c r="Q699">
        <f>COUNTIF(calls[Customer ID],calls[[#This Row],[Customer ID]])</f>
        <v>74</v>
      </c>
      <c r="R699">
        <f>calls[[#This Row],[call count]]/calls[[#This Row],[Purchase Amount]]</f>
        <v>0.35238095238095241</v>
      </c>
    </row>
    <row r="700" spans="1:18" x14ac:dyDescent="0.4">
      <c r="A700" t="s">
        <v>730</v>
      </c>
      <c r="B700" t="s">
        <v>6</v>
      </c>
      <c r="C700">
        <v>51</v>
      </c>
      <c r="D700" s="4" t="s">
        <v>2</v>
      </c>
      <c r="E700" s="5">
        <v>45168</v>
      </c>
      <c r="F700">
        <v>111</v>
      </c>
      <c r="G700">
        <f>AVERAGEIF(calls[Representative], calls[[#This Row],[Representative]], calls[Satisfaction Rating])</f>
        <v>3.8824999999999998</v>
      </c>
      <c r="H700" t="str">
        <f>IF(AVERAGEIF(calls[Representative],calls[[#This Row],[Representative]],calls[Satisfaction Rating])&lt;3.5,"Needs Training","OK")</f>
        <v>OK</v>
      </c>
      <c r="I700">
        <v>4.3</v>
      </c>
      <c r="J700">
        <f>IF(MONTH(calls[[#This Row],[Date of Call]])&lt;=6, YEAR(calls[[#This Row],[Date of Call]]), YEAR(calls[[#This Row],[Date of Call]])+1)</f>
        <v>2024</v>
      </c>
      <c r="K700" t="str">
        <f>TEXT(calls[[#This Row],[Date of Call]],"DDDD")</f>
        <v>Wednesday</v>
      </c>
      <c r="L700" t="str" cm="1">
        <f t="array" ref="L700">_xlfn.IFS(calls[[#This Row],[Duration]]&lt;=10,"under 10 mins",calls[[#This Row],[Duration]]&lt;=30,"10 to 30mins",calls[[#This Row],[Duration]]&lt;=60,"60 to 30mins",calls[[#This Row],[Duration]]&lt;=120,"1 to 2hrs",TRUE,"More than 2 hrs")</f>
        <v>60 to 30mins</v>
      </c>
      <c r="M700">
        <f>ROUND(calls[[#This Row],[Satisfaction Rating]],0)</f>
        <v>4</v>
      </c>
      <c r="N700">
        <f>COUNTIF(calls[Customer ID], calls[[#This Row],[Customer ID]])</f>
        <v>82</v>
      </c>
      <c r="O700">
        <f>SUMIF(calls[Customer ID], calls[[#This Row],[Customer ID]], calls[Purchase Amount])</f>
        <v>7689</v>
      </c>
      <c r="P700">
        <f>calls[[#This Row],[call count]]/calls[[#This Row],[Purchase Amount]]</f>
        <v>0.73873873873873874</v>
      </c>
      <c r="Q700">
        <f>COUNTIF(calls[Customer ID],calls[[#This Row],[Customer ID]])</f>
        <v>82</v>
      </c>
      <c r="R700">
        <f>calls[[#This Row],[call count]]/calls[[#This Row],[Purchase Amount]]</f>
        <v>0.73873873873873874</v>
      </c>
    </row>
    <row r="701" spans="1:18" x14ac:dyDescent="0.4">
      <c r="A701" t="s">
        <v>731</v>
      </c>
      <c r="B701" t="s">
        <v>6</v>
      </c>
      <c r="C701">
        <v>100</v>
      </c>
      <c r="D701" s="4" t="s">
        <v>9</v>
      </c>
      <c r="E701" s="5">
        <v>45169</v>
      </c>
      <c r="F701">
        <v>45</v>
      </c>
      <c r="G701">
        <f>AVERAGEIF(calls[Representative], calls[[#This Row],[Representative]], calls[Satisfaction Rating])</f>
        <v>3.8706422018348627</v>
      </c>
      <c r="H701" t="str">
        <f>IF(AVERAGEIF(calls[Representative],calls[[#This Row],[Representative]],calls[Satisfaction Rating])&lt;3.5,"Needs Training","OK")</f>
        <v>OK</v>
      </c>
      <c r="I701">
        <v>4.9000000000000004</v>
      </c>
      <c r="J701">
        <f>IF(MONTH(calls[[#This Row],[Date of Call]])&lt;=6, YEAR(calls[[#This Row],[Date of Call]]), YEAR(calls[[#This Row],[Date of Call]])+1)</f>
        <v>2024</v>
      </c>
      <c r="K701" t="str">
        <f>TEXT(calls[[#This Row],[Date of Call]],"DDDD")</f>
        <v>Thursday</v>
      </c>
      <c r="L701" t="str" cm="1">
        <f t="array" ref="L701">_xlfn.IFS(calls[[#This Row],[Duration]]&lt;=10,"under 10 mins",calls[[#This Row],[Duration]]&lt;=30,"10 to 30mins",calls[[#This Row],[Duration]]&lt;=60,"60 to 30mins",calls[[#This Row],[Duration]]&lt;=120,"1 to 2hrs",TRUE,"More than 2 hrs")</f>
        <v>1 to 2hrs</v>
      </c>
      <c r="M701">
        <f>ROUND(calls[[#This Row],[Satisfaction Rating]],0)</f>
        <v>5</v>
      </c>
      <c r="N701">
        <f>COUNTIF(calls[Customer ID], calls[[#This Row],[Customer ID]])</f>
        <v>82</v>
      </c>
      <c r="O701">
        <f>SUMIF(calls[Customer ID], calls[[#This Row],[Customer ID]], calls[Purchase Amount])</f>
        <v>7689</v>
      </c>
      <c r="P701">
        <f>calls[[#This Row],[call count]]/calls[[#This Row],[Purchase Amount]]</f>
        <v>1.8222222222222222</v>
      </c>
      <c r="Q701">
        <f>COUNTIF(calls[Customer ID],calls[[#This Row],[Customer ID]])</f>
        <v>82</v>
      </c>
      <c r="R701">
        <f>calls[[#This Row],[call count]]/calls[[#This Row],[Purchase Amount]]</f>
        <v>1.8222222222222222</v>
      </c>
    </row>
    <row r="702" spans="1:18" x14ac:dyDescent="0.4">
      <c r="A702" t="s">
        <v>732</v>
      </c>
      <c r="B702" t="s">
        <v>30</v>
      </c>
      <c r="C702">
        <v>124</v>
      </c>
      <c r="D702" s="4" t="s">
        <v>2</v>
      </c>
      <c r="E702" s="5">
        <v>45170</v>
      </c>
      <c r="F702">
        <v>132</v>
      </c>
      <c r="G702">
        <f>AVERAGEIF(calls[Representative], calls[[#This Row],[Representative]], calls[Satisfaction Rating])</f>
        <v>3.8824999999999998</v>
      </c>
      <c r="H702" t="str">
        <f>IF(AVERAGEIF(calls[Representative],calls[[#This Row],[Representative]],calls[Satisfaction Rating])&lt;3.5,"Needs Training","OK")</f>
        <v>OK</v>
      </c>
      <c r="I702">
        <v>4</v>
      </c>
      <c r="J702">
        <f>IF(MONTH(calls[[#This Row],[Date of Call]])&lt;=6, YEAR(calls[[#This Row],[Date of Call]]), YEAR(calls[[#This Row],[Date of Call]])+1)</f>
        <v>2024</v>
      </c>
      <c r="K702" t="str">
        <f>TEXT(calls[[#This Row],[Date of Call]],"DDDD")</f>
        <v>Friday</v>
      </c>
      <c r="L702" t="str" cm="1">
        <f t="array" ref="L702">_xlfn.IFS(calls[[#This Row],[Duration]]&lt;=10,"under 10 mins",calls[[#This Row],[Duration]]&lt;=30,"10 to 30mins",calls[[#This Row],[Duration]]&lt;=60,"60 to 30mins",calls[[#This Row],[Duration]]&lt;=120,"1 to 2hrs",TRUE,"More than 2 hrs")</f>
        <v>More than 2 hrs</v>
      </c>
      <c r="M702">
        <f>ROUND(calls[[#This Row],[Satisfaction Rating]],0)</f>
        <v>4</v>
      </c>
      <c r="N702">
        <f>COUNTIF(calls[Customer ID], calls[[#This Row],[Customer ID]])</f>
        <v>69</v>
      </c>
      <c r="O702">
        <f>SUMIF(calls[Customer ID], calls[[#This Row],[Customer ID]], calls[Purchase Amount])</f>
        <v>7230</v>
      </c>
      <c r="P702">
        <f>calls[[#This Row],[call count]]/calls[[#This Row],[Purchase Amount]]</f>
        <v>0.52272727272727271</v>
      </c>
      <c r="Q702">
        <f>COUNTIF(calls[Customer ID],calls[[#This Row],[Customer ID]])</f>
        <v>69</v>
      </c>
      <c r="R702">
        <f>calls[[#This Row],[call count]]/calls[[#This Row],[Purchase Amount]]</f>
        <v>0.52272727272727271</v>
      </c>
    </row>
    <row r="703" spans="1:18" x14ac:dyDescent="0.4">
      <c r="A703" t="s">
        <v>733</v>
      </c>
      <c r="B703" t="s">
        <v>1</v>
      </c>
      <c r="C703">
        <v>143</v>
      </c>
      <c r="D703" s="4" t="s">
        <v>27</v>
      </c>
      <c r="E703" s="5">
        <v>45170</v>
      </c>
      <c r="F703">
        <v>20</v>
      </c>
      <c r="G703">
        <f>AVERAGEIF(calls[Representative], calls[[#This Row],[Representative]], calls[Satisfaction Rating])</f>
        <v>3.8589371980676304</v>
      </c>
      <c r="H703" t="str">
        <f>IF(AVERAGEIF(calls[Representative],calls[[#This Row],[Representative]],calls[Satisfaction Rating])&lt;3.5,"Needs Training","OK")</f>
        <v>OK</v>
      </c>
      <c r="I703">
        <v>4.7</v>
      </c>
      <c r="J703">
        <f>IF(MONTH(calls[[#This Row],[Date of Call]])&lt;=6, YEAR(calls[[#This Row],[Date of Call]]), YEAR(calls[[#This Row],[Date of Call]])+1)</f>
        <v>2024</v>
      </c>
      <c r="K703" t="str">
        <f>TEXT(calls[[#This Row],[Date of Call]],"DDDD")</f>
        <v>Friday</v>
      </c>
      <c r="L703" t="str" cm="1">
        <f t="array" ref="L703">_xlfn.IFS(calls[[#This Row],[Duration]]&lt;=10,"under 10 mins",calls[[#This Row],[Duration]]&lt;=30,"10 to 30mins",calls[[#This Row],[Duration]]&lt;=60,"60 to 30mins",calls[[#This Row],[Duration]]&lt;=120,"1 to 2hrs",TRUE,"More than 2 hrs")</f>
        <v>More than 2 hrs</v>
      </c>
      <c r="M703">
        <f>ROUND(calls[[#This Row],[Satisfaction Rating]],0)</f>
        <v>5</v>
      </c>
      <c r="N703">
        <f>COUNTIF(calls[Customer ID], calls[[#This Row],[Customer ID]])</f>
        <v>50</v>
      </c>
      <c r="O703">
        <f>SUMIF(calls[Customer ID], calls[[#This Row],[Customer ID]], calls[Purchase Amount])</f>
        <v>4804</v>
      </c>
      <c r="P703">
        <f>calls[[#This Row],[call count]]/calls[[#This Row],[Purchase Amount]]</f>
        <v>2.5</v>
      </c>
      <c r="Q703">
        <f>COUNTIF(calls[Customer ID],calls[[#This Row],[Customer ID]])</f>
        <v>50</v>
      </c>
      <c r="R703">
        <f>calls[[#This Row],[call count]]/calls[[#This Row],[Purchase Amount]]</f>
        <v>2.5</v>
      </c>
    </row>
    <row r="704" spans="1:18" x14ac:dyDescent="0.4">
      <c r="A704" t="s">
        <v>734</v>
      </c>
      <c r="B704" t="s">
        <v>26</v>
      </c>
      <c r="C704">
        <v>96</v>
      </c>
      <c r="D704" s="4" t="s">
        <v>23</v>
      </c>
      <c r="E704" s="5">
        <v>45170</v>
      </c>
      <c r="F704">
        <v>36</v>
      </c>
      <c r="G704">
        <f>AVERAGEIF(calls[Representative], calls[[#This Row],[Representative]], calls[Satisfaction Rating])</f>
        <v>3.8973118279569863</v>
      </c>
      <c r="H704" t="str">
        <f>IF(AVERAGEIF(calls[Representative],calls[[#This Row],[Representative]],calls[Satisfaction Rating])&lt;3.5,"Needs Training","OK")</f>
        <v>OK</v>
      </c>
      <c r="I704">
        <v>3.4</v>
      </c>
      <c r="J704">
        <f>IF(MONTH(calls[[#This Row],[Date of Call]])&lt;=6, YEAR(calls[[#This Row],[Date of Call]]), YEAR(calls[[#This Row],[Date of Call]])+1)</f>
        <v>2024</v>
      </c>
      <c r="K704" t="str">
        <f>TEXT(calls[[#This Row],[Date of Call]],"DDDD")</f>
        <v>Friday</v>
      </c>
      <c r="L704" t="str" cm="1">
        <f t="array" ref="L704">_xlfn.IFS(calls[[#This Row],[Duration]]&lt;=10,"under 10 mins",calls[[#This Row],[Duration]]&lt;=30,"10 to 30mins",calls[[#This Row],[Duration]]&lt;=60,"60 to 30mins",calls[[#This Row],[Duration]]&lt;=120,"1 to 2hrs",TRUE,"More than 2 hrs")</f>
        <v>1 to 2hrs</v>
      </c>
      <c r="M704">
        <f>ROUND(calls[[#This Row],[Satisfaction Rating]],0)</f>
        <v>3</v>
      </c>
      <c r="N704">
        <f>COUNTIF(calls[Customer ID], calls[[#This Row],[Customer ID]])</f>
        <v>72</v>
      </c>
      <c r="O704">
        <f>SUMIF(calls[Customer ID], calls[[#This Row],[Customer ID]], calls[Purchase Amount])</f>
        <v>6242</v>
      </c>
      <c r="P704">
        <f>calls[[#This Row],[call count]]/calls[[#This Row],[Purchase Amount]]</f>
        <v>2</v>
      </c>
      <c r="Q704">
        <f>COUNTIF(calls[Customer ID],calls[[#This Row],[Customer ID]])</f>
        <v>72</v>
      </c>
      <c r="R704">
        <f>calls[[#This Row],[call count]]/calls[[#This Row],[Purchase Amount]]</f>
        <v>2</v>
      </c>
    </row>
    <row r="705" spans="1:18" x14ac:dyDescent="0.4">
      <c r="A705" t="s">
        <v>735</v>
      </c>
      <c r="B705" t="s">
        <v>64</v>
      </c>
      <c r="C705">
        <v>84</v>
      </c>
      <c r="D705" s="4" t="s">
        <v>9</v>
      </c>
      <c r="E705" s="5">
        <v>45172</v>
      </c>
      <c r="F705">
        <v>72</v>
      </c>
      <c r="G705">
        <f>AVERAGEIF(calls[Representative], calls[[#This Row],[Representative]], calls[Satisfaction Rating])</f>
        <v>3.8706422018348627</v>
      </c>
      <c r="H705" t="str">
        <f>IF(AVERAGEIF(calls[Representative],calls[[#This Row],[Representative]],calls[Satisfaction Rating])&lt;3.5,"Needs Training","OK")</f>
        <v>OK</v>
      </c>
      <c r="I705">
        <v>4</v>
      </c>
      <c r="J705">
        <f>IF(MONTH(calls[[#This Row],[Date of Call]])&lt;=6, YEAR(calls[[#This Row],[Date of Call]]), YEAR(calls[[#This Row],[Date of Call]])+1)</f>
        <v>2024</v>
      </c>
      <c r="K705" t="str">
        <f>TEXT(calls[[#This Row],[Date of Call]],"DDDD")</f>
        <v>Sunday</v>
      </c>
      <c r="L705" t="str" cm="1">
        <f t="array" ref="L705">_xlfn.IFS(calls[[#This Row],[Duration]]&lt;=10,"under 10 mins",calls[[#This Row],[Duration]]&lt;=30,"10 to 30mins",calls[[#This Row],[Duration]]&lt;=60,"60 to 30mins",calls[[#This Row],[Duration]]&lt;=120,"1 to 2hrs",TRUE,"More than 2 hrs")</f>
        <v>1 to 2hrs</v>
      </c>
      <c r="M705">
        <f>ROUND(calls[[#This Row],[Satisfaction Rating]],0)</f>
        <v>4</v>
      </c>
      <c r="N705">
        <f>COUNTIF(calls[Customer ID], calls[[#This Row],[Customer ID]])</f>
        <v>65</v>
      </c>
      <c r="O705">
        <f>SUMIF(calls[Customer ID], calls[[#This Row],[Customer ID]], calls[Purchase Amount])</f>
        <v>6785</v>
      </c>
      <c r="P705">
        <f>calls[[#This Row],[call count]]/calls[[#This Row],[Purchase Amount]]</f>
        <v>0.90277777777777779</v>
      </c>
      <c r="Q705">
        <f>COUNTIF(calls[Customer ID],calls[[#This Row],[Customer ID]])</f>
        <v>65</v>
      </c>
      <c r="R705">
        <f>calls[[#This Row],[call count]]/calls[[#This Row],[Purchase Amount]]</f>
        <v>0.90277777777777779</v>
      </c>
    </row>
    <row r="706" spans="1:18" x14ac:dyDescent="0.4">
      <c r="A706" t="s">
        <v>736</v>
      </c>
      <c r="B706" t="s">
        <v>40</v>
      </c>
      <c r="C706">
        <v>111</v>
      </c>
      <c r="D706" s="4" t="s">
        <v>9</v>
      </c>
      <c r="E706" s="5">
        <v>45172</v>
      </c>
      <c r="F706">
        <v>63</v>
      </c>
      <c r="G706">
        <f>AVERAGEIF(calls[Representative], calls[[#This Row],[Representative]], calls[Satisfaction Rating])</f>
        <v>3.8706422018348627</v>
      </c>
      <c r="H706" t="str">
        <f>IF(AVERAGEIF(calls[Representative],calls[[#This Row],[Representative]],calls[Satisfaction Rating])&lt;3.5,"Needs Training","OK")</f>
        <v>OK</v>
      </c>
      <c r="I706">
        <v>4.5</v>
      </c>
      <c r="J706">
        <f>IF(MONTH(calls[[#This Row],[Date of Call]])&lt;=6, YEAR(calls[[#This Row],[Date of Call]]), YEAR(calls[[#This Row],[Date of Call]])+1)</f>
        <v>2024</v>
      </c>
      <c r="K706" t="str">
        <f>TEXT(calls[[#This Row],[Date of Call]],"DDDD")</f>
        <v>Sunday</v>
      </c>
      <c r="L706" t="str" cm="1">
        <f t="array" ref="L706">_xlfn.IFS(calls[[#This Row],[Duration]]&lt;=10,"under 10 mins",calls[[#This Row],[Duration]]&lt;=30,"10 to 30mins",calls[[#This Row],[Duration]]&lt;=60,"60 to 30mins",calls[[#This Row],[Duration]]&lt;=120,"1 to 2hrs",TRUE,"More than 2 hrs")</f>
        <v>1 to 2hrs</v>
      </c>
      <c r="M706">
        <f>ROUND(calls[[#This Row],[Satisfaction Rating]],0)</f>
        <v>5</v>
      </c>
      <c r="N706">
        <f>COUNTIF(calls[Customer ID], calls[[#This Row],[Customer ID]])</f>
        <v>69</v>
      </c>
      <c r="O706">
        <f>SUMIF(calls[Customer ID], calls[[#This Row],[Customer ID]], calls[Purchase Amount])</f>
        <v>6601</v>
      </c>
      <c r="P706">
        <f>calls[[#This Row],[call count]]/calls[[#This Row],[Purchase Amount]]</f>
        <v>1.0952380952380953</v>
      </c>
      <c r="Q706">
        <f>COUNTIF(calls[Customer ID],calls[[#This Row],[Customer ID]])</f>
        <v>69</v>
      </c>
      <c r="R706">
        <f>calls[[#This Row],[call count]]/calls[[#This Row],[Purchase Amount]]</f>
        <v>1.0952380952380953</v>
      </c>
    </row>
    <row r="707" spans="1:18" x14ac:dyDescent="0.4">
      <c r="A707" t="s">
        <v>737</v>
      </c>
      <c r="B707" t="s">
        <v>40</v>
      </c>
      <c r="C707">
        <v>103</v>
      </c>
      <c r="D707" s="4" t="s">
        <v>2</v>
      </c>
      <c r="E707" s="5">
        <v>45173</v>
      </c>
      <c r="F707">
        <v>44</v>
      </c>
      <c r="G707">
        <f>AVERAGEIF(calls[Representative], calls[[#This Row],[Representative]], calls[Satisfaction Rating])</f>
        <v>3.8824999999999998</v>
      </c>
      <c r="H707" t="str">
        <f>IF(AVERAGEIF(calls[Representative],calls[[#This Row],[Representative]],calls[Satisfaction Rating])&lt;3.5,"Needs Training","OK")</f>
        <v>OK</v>
      </c>
      <c r="I707">
        <v>4.5</v>
      </c>
      <c r="J707">
        <f>IF(MONTH(calls[[#This Row],[Date of Call]])&lt;=6, YEAR(calls[[#This Row],[Date of Call]]), YEAR(calls[[#This Row],[Date of Call]])+1)</f>
        <v>2024</v>
      </c>
      <c r="K707" t="str">
        <f>TEXT(calls[[#This Row],[Date of Call]],"DDDD")</f>
        <v>Monday</v>
      </c>
      <c r="L707" t="str" cm="1">
        <f t="array" ref="L707">_xlfn.IFS(calls[[#This Row],[Duration]]&lt;=10,"under 10 mins",calls[[#This Row],[Duration]]&lt;=30,"10 to 30mins",calls[[#This Row],[Duration]]&lt;=60,"60 to 30mins",calls[[#This Row],[Duration]]&lt;=120,"1 to 2hrs",TRUE,"More than 2 hrs")</f>
        <v>1 to 2hrs</v>
      </c>
      <c r="M707">
        <f>ROUND(calls[[#This Row],[Satisfaction Rating]],0)</f>
        <v>5</v>
      </c>
      <c r="N707">
        <f>COUNTIF(calls[Customer ID], calls[[#This Row],[Customer ID]])</f>
        <v>69</v>
      </c>
      <c r="O707">
        <f>SUMIF(calls[Customer ID], calls[[#This Row],[Customer ID]], calls[Purchase Amount])</f>
        <v>6601</v>
      </c>
      <c r="P707">
        <f>calls[[#This Row],[call count]]/calls[[#This Row],[Purchase Amount]]</f>
        <v>1.5681818181818181</v>
      </c>
      <c r="Q707">
        <f>COUNTIF(calls[Customer ID],calls[[#This Row],[Customer ID]])</f>
        <v>69</v>
      </c>
      <c r="R707">
        <f>calls[[#This Row],[call count]]/calls[[#This Row],[Purchase Amount]]</f>
        <v>1.5681818181818181</v>
      </c>
    </row>
    <row r="708" spans="1:18" x14ac:dyDescent="0.4">
      <c r="A708" t="s">
        <v>738</v>
      </c>
      <c r="B708" t="s">
        <v>1</v>
      </c>
      <c r="C708">
        <v>61</v>
      </c>
      <c r="D708" s="4" t="s">
        <v>14</v>
      </c>
      <c r="E708" s="5">
        <v>45173</v>
      </c>
      <c r="F708">
        <v>132</v>
      </c>
      <c r="G708">
        <f>AVERAGEIF(calls[Representative], calls[[#This Row],[Representative]], calls[Satisfaction Rating])</f>
        <v>3.9227513227513247</v>
      </c>
      <c r="H708" t="str">
        <f>IF(AVERAGEIF(calls[Representative],calls[[#This Row],[Representative]],calls[Satisfaction Rating])&lt;3.5,"Needs Training","OK")</f>
        <v>OK</v>
      </c>
      <c r="I708">
        <v>4.9000000000000004</v>
      </c>
      <c r="J708">
        <f>IF(MONTH(calls[[#This Row],[Date of Call]])&lt;=6, YEAR(calls[[#This Row],[Date of Call]]), YEAR(calls[[#This Row],[Date of Call]])+1)</f>
        <v>2024</v>
      </c>
      <c r="K708" t="str">
        <f>TEXT(calls[[#This Row],[Date of Call]],"DDDD")</f>
        <v>Monday</v>
      </c>
      <c r="L708" t="str" cm="1">
        <f t="array" ref="L708">_xlfn.IFS(calls[[#This Row],[Duration]]&lt;=10,"under 10 mins",calls[[#This Row],[Duration]]&lt;=30,"10 to 30mins",calls[[#This Row],[Duration]]&lt;=60,"60 to 30mins",calls[[#This Row],[Duration]]&lt;=120,"1 to 2hrs",TRUE,"More than 2 hrs")</f>
        <v>1 to 2hrs</v>
      </c>
      <c r="M708">
        <f>ROUND(calls[[#This Row],[Satisfaction Rating]],0)</f>
        <v>5</v>
      </c>
      <c r="N708">
        <f>COUNTIF(calls[Customer ID], calls[[#This Row],[Customer ID]])</f>
        <v>50</v>
      </c>
      <c r="O708">
        <f>SUMIF(calls[Customer ID], calls[[#This Row],[Customer ID]], calls[Purchase Amount])</f>
        <v>4804</v>
      </c>
      <c r="P708">
        <f>calls[[#This Row],[call count]]/calls[[#This Row],[Purchase Amount]]</f>
        <v>0.37878787878787878</v>
      </c>
      <c r="Q708">
        <f>COUNTIF(calls[Customer ID],calls[[#This Row],[Customer ID]])</f>
        <v>50</v>
      </c>
      <c r="R708">
        <f>calls[[#This Row],[call count]]/calls[[#This Row],[Purchase Amount]]</f>
        <v>0.37878787878787878</v>
      </c>
    </row>
    <row r="709" spans="1:18" x14ac:dyDescent="0.4">
      <c r="A709" t="s">
        <v>739</v>
      </c>
      <c r="B709" t="s">
        <v>54</v>
      </c>
      <c r="C709">
        <v>113</v>
      </c>
      <c r="D709" s="4" t="s">
        <v>23</v>
      </c>
      <c r="E709" s="5">
        <v>45173</v>
      </c>
      <c r="F709">
        <v>46</v>
      </c>
      <c r="G709">
        <f>AVERAGEIF(calls[Representative], calls[[#This Row],[Representative]], calls[Satisfaction Rating])</f>
        <v>3.8973118279569863</v>
      </c>
      <c r="H709" t="str">
        <f>IF(AVERAGEIF(calls[Representative],calls[[#This Row],[Representative]],calls[Satisfaction Rating])&lt;3.5,"Needs Training","OK")</f>
        <v>OK</v>
      </c>
      <c r="I709">
        <v>4.4000000000000004</v>
      </c>
      <c r="J709">
        <f>IF(MONTH(calls[[#This Row],[Date of Call]])&lt;=6, YEAR(calls[[#This Row],[Date of Call]]), YEAR(calls[[#This Row],[Date of Call]])+1)</f>
        <v>2024</v>
      </c>
      <c r="K709" t="str">
        <f>TEXT(calls[[#This Row],[Date of Call]],"DDDD")</f>
        <v>Monday</v>
      </c>
      <c r="L709" t="str" cm="1">
        <f t="array" ref="L709">_xlfn.IFS(calls[[#This Row],[Duration]]&lt;=10,"under 10 mins",calls[[#This Row],[Duration]]&lt;=30,"10 to 30mins",calls[[#This Row],[Duration]]&lt;=60,"60 to 30mins",calls[[#This Row],[Duration]]&lt;=120,"1 to 2hrs",TRUE,"More than 2 hrs")</f>
        <v>1 to 2hrs</v>
      </c>
      <c r="M709">
        <f>ROUND(calls[[#This Row],[Satisfaction Rating]],0)</f>
        <v>4</v>
      </c>
      <c r="N709">
        <f>COUNTIF(calls[Customer ID], calls[[#This Row],[Customer ID]])</f>
        <v>70</v>
      </c>
      <c r="O709">
        <f>SUMIF(calls[Customer ID], calls[[#This Row],[Customer ID]], calls[Purchase Amount])</f>
        <v>6819</v>
      </c>
      <c r="P709">
        <f>calls[[#This Row],[call count]]/calls[[#This Row],[Purchase Amount]]</f>
        <v>1.5217391304347827</v>
      </c>
      <c r="Q709">
        <f>COUNTIF(calls[Customer ID],calls[[#This Row],[Customer ID]])</f>
        <v>70</v>
      </c>
      <c r="R709">
        <f>calls[[#This Row],[call count]]/calls[[#This Row],[Purchase Amount]]</f>
        <v>1.5217391304347827</v>
      </c>
    </row>
    <row r="710" spans="1:18" x14ac:dyDescent="0.4">
      <c r="A710" t="s">
        <v>740</v>
      </c>
      <c r="B710" t="s">
        <v>54</v>
      </c>
      <c r="C710">
        <v>96</v>
      </c>
      <c r="D710" s="4" t="s">
        <v>23</v>
      </c>
      <c r="E710" s="5">
        <v>45173</v>
      </c>
      <c r="F710">
        <v>96</v>
      </c>
      <c r="G710">
        <f>AVERAGEIF(calls[Representative], calls[[#This Row],[Representative]], calls[Satisfaction Rating])</f>
        <v>3.8973118279569863</v>
      </c>
      <c r="H710" t="str">
        <f>IF(AVERAGEIF(calls[Representative],calls[[#This Row],[Representative]],calls[Satisfaction Rating])&lt;3.5,"Needs Training","OK")</f>
        <v>OK</v>
      </c>
      <c r="I710">
        <v>2.9</v>
      </c>
      <c r="J710">
        <f>IF(MONTH(calls[[#This Row],[Date of Call]])&lt;=6, YEAR(calls[[#This Row],[Date of Call]]), YEAR(calls[[#This Row],[Date of Call]])+1)</f>
        <v>2024</v>
      </c>
      <c r="K710" t="str">
        <f>TEXT(calls[[#This Row],[Date of Call]],"DDDD")</f>
        <v>Monday</v>
      </c>
      <c r="L710" t="str" cm="1">
        <f t="array" ref="L710">_xlfn.IFS(calls[[#This Row],[Duration]]&lt;=10,"under 10 mins",calls[[#This Row],[Duration]]&lt;=30,"10 to 30mins",calls[[#This Row],[Duration]]&lt;=60,"60 to 30mins",calls[[#This Row],[Duration]]&lt;=120,"1 to 2hrs",TRUE,"More than 2 hrs")</f>
        <v>1 to 2hrs</v>
      </c>
      <c r="M710">
        <f>ROUND(calls[[#This Row],[Satisfaction Rating]],0)</f>
        <v>3</v>
      </c>
      <c r="N710">
        <f>COUNTIF(calls[Customer ID], calls[[#This Row],[Customer ID]])</f>
        <v>70</v>
      </c>
      <c r="O710">
        <f>SUMIF(calls[Customer ID], calls[[#This Row],[Customer ID]], calls[Purchase Amount])</f>
        <v>6819</v>
      </c>
      <c r="P710">
        <f>calls[[#This Row],[call count]]/calls[[#This Row],[Purchase Amount]]</f>
        <v>0.72916666666666663</v>
      </c>
      <c r="Q710">
        <f>COUNTIF(calls[Customer ID],calls[[#This Row],[Customer ID]])</f>
        <v>70</v>
      </c>
      <c r="R710">
        <f>calls[[#This Row],[call count]]/calls[[#This Row],[Purchase Amount]]</f>
        <v>0.72916666666666663</v>
      </c>
    </row>
    <row r="711" spans="1:18" x14ac:dyDescent="0.4">
      <c r="A711" t="s">
        <v>741</v>
      </c>
      <c r="B711" t="s">
        <v>32</v>
      </c>
      <c r="C711">
        <v>131</v>
      </c>
      <c r="D711" s="4" t="s">
        <v>2</v>
      </c>
      <c r="E711" s="5">
        <v>45174</v>
      </c>
      <c r="F711">
        <v>75</v>
      </c>
      <c r="G711">
        <f>AVERAGEIF(calls[Representative], calls[[#This Row],[Representative]], calls[Satisfaction Rating])</f>
        <v>3.8824999999999998</v>
      </c>
      <c r="H711" t="str">
        <f>IF(AVERAGEIF(calls[Representative],calls[[#This Row],[Representative]],calls[Satisfaction Rating])&lt;3.5,"Needs Training","OK")</f>
        <v>OK</v>
      </c>
      <c r="I711">
        <v>4.4000000000000004</v>
      </c>
      <c r="J711">
        <f>IF(MONTH(calls[[#This Row],[Date of Call]])&lt;=6, YEAR(calls[[#This Row],[Date of Call]]), YEAR(calls[[#This Row],[Date of Call]])+1)</f>
        <v>2024</v>
      </c>
      <c r="K711" t="str">
        <f>TEXT(calls[[#This Row],[Date of Call]],"DDDD")</f>
        <v>Tuesday</v>
      </c>
      <c r="L711" t="str" cm="1">
        <f t="array" ref="L711">_xlfn.IFS(calls[[#This Row],[Duration]]&lt;=10,"under 10 mins",calls[[#This Row],[Duration]]&lt;=30,"10 to 30mins",calls[[#This Row],[Duration]]&lt;=60,"60 to 30mins",calls[[#This Row],[Duration]]&lt;=120,"1 to 2hrs",TRUE,"More than 2 hrs")</f>
        <v>More than 2 hrs</v>
      </c>
      <c r="M711">
        <f>ROUND(calls[[#This Row],[Satisfaction Rating]],0)</f>
        <v>4</v>
      </c>
      <c r="N711">
        <f>COUNTIF(calls[Customer ID], calls[[#This Row],[Customer ID]])</f>
        <v>63</v>
      </c>
      <c r="O711">
        <f>SUMIF(calls[Customer ID], calls[[#This Row],[Customer ID]], calls[Purchase Amount])</f>
        <v>5634</v>
      </c>
      <c r="P711">
        <f>calls[[#This Row],[call count]]/calls[[#This Row],[Purchase Amount]]</f>
        <v>0.84</v>
      </c>
      <c r="Q711">
        <f>COUNTIF(calls[Customer ID],calls[[#This Row],[Customer ID]])</f>
        <v>63</v>
      </c>
      <c r="R711">
        <f>calls[[#This Row],[call count]]/calls[[#This Row],[Purchase Amount]]</f>
        <v>0.84</v>
      </c>
    </row>
    <row r="712" spans="1:18" x14ac:dyDescent="0.4">
      <c r="A712" t="s">
        <v>742</v>
      </c>
      <c r="B712" t="s">
        <v>21</v>
      </c>
      <c r="C712">
        <v>52</v>
      </c>
      <c r="D712" s="4" t="s">
        <v>23</v>
      </c>
      <c r="E712" s="5">
        <v>45175</v>
      </c>
      <c r="F712">
        <v>88</v>
      </c>
      <c r="G712">
        <f>AVERAGEIF(calls[Representative], calls[[#This Row],[Representative]], calls[Satisfaction Rating])</f>
        <v>3.8973118279569863</v>
      </c>
      <c r="H712" t="str">
        <f>IF(AVERAGEIF(calls[Representative],calls[[#This Row],[Representative]],calls[Satisfaction Rating])&lt;3.5,"Needs Training","OK")</f>
        <v>OK</v>
      </c>
      <c r="I712">
        <v>4.3</v>
      </c>
      <c r="J712">
        <f>IF(MONTH(calls[[#This Row],[Date of Call]])&lt;=6, YEAR(calls[[#This Row],[Date of Call]]), YEAR(calls[[#This Row],[Date of Call]])+1)</f>
        <v>2024</v>
      </c>
      <c r="K712" t="str">
        <f>TEXT(calls[[#This Row],[Date of Call]],"DDDD")</f>
        <v>Wednesday</v>
      </c>
      <c r="L712" t="str" cm="1">
        <f t="array" ref="L712">_xlfn.IFS(calls[[#This Row],[Duration]]&lt;=10,"under 10 mins",calls[[#This Row],[Duration]]&lt;=30,"10 to 30mins",calls[[#This Row],[Duration]]&lt;=60,"60 to 30mins",calls[[#This Row],[Duration]]&lt;=120,"1 to 2hrs",TRUE,"More than 2 hrs")</f>
        <v>60 to 30mins</v>
      </c>
      <c r="M712">
        <f>ROUND(calls[[#This Row],[Satisfaction Rating]],0)</f>
        <v>4</v>
      </c>
      <c r="N712">
        <f>COUNTIF(calls[Customer ID], calls[[#This Row],[Customer ID]])</f>
        <v>67</v>
      </c>
      <c r="O712">
        <f>SUMIF(calls[Customer ID], calls[[#This Row],[Customer ID]], calls[Purchase Amount])</f>
        <v>7216</v>
      </c>
      <c r="P712">
        <f>calls[[#This Row],[call count]]/calls[[#This Row],[Purchase Amount]]</f>
        <v>0.76136363636363635</v>
      </c>
      <c r="Q712">
        <f>COUNTIF(calls[Customer ID],calls[[#This Row],[Customer ID]])</f>
        <v>67</v>
      </c>
      <c r="R712">
        <f>calls[[#This Row],[call count]]/calls[[#This Row],[Purchase Amount]]</f>
        <v>0.76136363636363635</v>
      </c>
    </row>
    <row r="713" spans="1:18" x14ac:dyDescent="0.4">
      <c r="A713" t="s">
        <v>743</v>
      </c>
      <c r="B713" t="s">
        <v>6</v>
      </c>
      <c r="C713">
        <v>100</v>
      </c>
      <c r="D713" s="4" t="s">
        <v>2</v>
      </c>
      <c r="E713" s="5">
        <v>45175</v>
      </c>
      <c r="F713">
        <v>24</v>
      </c>
      <c r="G713">
        <f>AVERAGEIF(calls[Representative], calls[[#This Row],[Representative]], calls[Satisfaction Rating])</f>
        <v>3.8824999999999998</v>
      </c>
      <c r="H713" t="str">
        <f>IF(AVERAGEIF(calls[Representative],calls[[#This Row],[Representative]],calls[Satisfaction Rating])&lt;3.5,"Needs Training","OK")</f>
        <v>OK</v>
      </c>
      <c r="I713">
        <v>4.7</v>
      </c>
      <c r="J713">
        <f>IF(MONTH(calls[[#This Row],[Date of Call]])&lt;=6, YEAR(calls[[#This Row],[Date of Call]]), YEAR(calls[[#This Row],[Date of Call]])+1)</f>
        <v>2024</v>
      </c>
      <c r="K713" t="str">
        <f>TEXT(calls[[#This Row],[Date of Call]],"DDDD")</f>
        <v>Wednesday</v>
      </c>
      <c r="L713" t="str" cm="1">
        <f t="array" ref="L713">_xlfn.IFS(calls[[#This Row],[Duration]]&lt;=10,"under 10 mins",calls[[#This Row],[Duration]]&lt;=30,"10 to 30mins",calls[[#This Row],[Duration]]&lt;=60,"60 to 30mins",calls[[#This Row],[Duration]]&lt;=120,"1 to 2hrs",TRUE,"More than 2 hrs")</f>
        <v>1 to 2hrs</v>
      </c>
      <c r="M713">
        <f>ROUND(calls[[#This Row],[Satisfaction Rating]],0)</f>
        <v>5</v>
      </c>
      <c r="N713">
        <f>COUNTIF(calls[Customer ID], calls[[#This Row],[Customer ID]])</f>
        <v>82</v>
      </c>
      <c r="O713">
        <f>SUMIF(calls[Customer ID], calls[[#This Row],[Customer ID]], calls[Purchase Amount])</f>
        <v>7689</v>
      </c>
      <c r="P713">
        <f>calls[[#This Row],[call count]]/calls[[#This Row],[Purchase Amount]]</f>
        <v>3.4166666666666665</v>
      </c>
      <c r="Q713">
        <f>COUNTIF(calls[Customer ID],calls[[#This Row],[Customer ID]])</f>
        <v>82</v>
      </c>
      <c r="R713">
        <f>calls[[#This Row],[call count]]/calls[[#This Row],[Purchase Amount]]</f>
        <v>3.4166666666666665</v>
      </c>
    </row>
    <row r="714" spans="1:18" x14ac:dyDescent="0.4">
      <c r="A714" t="s">
        <v>744</v>
      </c>
      <c r="B714" t="s">
        <v>11</v>
      </c>
      <c r="C714">
        <v>58</v>
      </c>
      <c r="D714" s="4" t="s">
        <v>27</v>
      </c>
      <c r="E714" s="5">
        <v>45175</v>
      </c>
      <c r="F714">
        <v>96</v>
      </c>
      <c r="G714">
        <f>AVERAGEIF(calls[Representative], calls[[#This Row],[Representative]], calls[Satisfaction Rating])</f>
        <v>3.8589371980676304</v>
      </c>
      <c r="H714" t="str">
        <f>IF(AVERAGEIF(calls[Representative],calls[[#This Row],[Representative]],calls[Satisfaction Rating])&lt;3.5,"Needs Training","OK")</f>
        <v>OK</v>
      </c>
      <c r="I714">
        <v>3.2</v>
      </c>
      <c r="J714">
        <f>IF(MONTH(calls[[#This Row],[Date of Call]])&lt;=6, YEAR(calls[[#This Row],[Date of Call]]), YEAR(calls[[#This Row],[Date of Call]])+1)</f>
        <v>2024</v>
      </c>
      <c r="K714" t="str">
        <f>TEXT(calls[[#This Row],[Date of Call]],"DDDD")</f>
        <v>Wednesday</v>
      </c>
      <c r="L714" t="str" cm="1">
        <f t="array" ref="L714">_xlfn.IFS(calls[[#This Row],[Duration]]&lt;=10,"under 10 mins",calls[[#This Row],[Duration]]&lt;=30,"10 to 30mins",calls[[#This Row],[Duration]]&lt;=60,"60 to 30mins",calls[[#This Row],[Duration]]&lt;=120,"1 to 2hrs",TRUE,"More than 2 hrs")</f>
        <v>60 to 30mins</v>
      </c>
      <c r="M714">
        <f>ROUND(calls[[#This Row],[Satisfaction Rating]],0)</f>
        <v>3</v>
      </c>
      <c r="N714">
        <f>COUNTIF(calls[Customer ID], calls[[#This Row],[Customer ID]])</f>
        <v>60</v>
      </c>
      <c r="O714">
        <f>SUMIF(calls[Customer ID], calls[[#This Row],[Customer ID]], calls[Purchase Amount])</f>
        <v>5404</v>
      </c>
      <c r="P714">
        <f>calls[[#This Row],[call count]]/calls[[#This Row],[Purchase Amount]]</f>
        <v>0.625</v>
      </c>
      <c r="Q714">
        <f>COUNTIF(calls[Customer ID],calls[[#This Row],[Customer ID]])</f>
        <v>60</v>
      </c>
      <c r="R714">
        <f>calls[[#This Row],[call count]]/calls[[#This Row],[Purchase Amount]]</f>
        <v>0.625</v>
      </c>
    </row>
    <row r="715" spans="1:18" x14ac:dyDescent="0.4">
      <c r="A715" t="s">
        <v>745</v>
      </c>
      <c r="B715" t="s">
        <v>13</v>
      </c>
      <c r="C715">
        <v>144</v>
      </c>
      <c r="D715" s="4" t="s">
        <v>27</v>
      </c>
      <c r="E715" s="5">
        <v>45176</v>
      </c>
      <c r="F715">
        <v>124</v>
      </c>
      <c r="G715">
        <f>AVERAGEIF(calls[Representative], calls[[#This Row],[Representative]], calls[Satisfaction Rating])</f>
        <v>3.8589371980676304</v>
      </c>
      <c r="H715" t="str">
        <f>IF(AVERAGEIF(calls[Representative],calls[[#This Row],[Representative]],calls[Satisfaction Rating])&lt;3.5,"Needs Training","OK")</f>
        <v>OK</v>
      </c>
      <c r="I715">
        <v>2.2999999999999998</v>
      </c>
      <c r="J715">
        <f>IF(MONTH(calls[[#This Row],[Date of Call]])&lt;=6, YEAR(calls[[#This Row],[Date of Call]]), YEAR(calls[[#This Row],[Date of Call]])+1)</f>
        <v>2024</v>
      </c>
      <c r="K715" t="str">
        <f>TEXT(calls[[#This Row],[Date of Call]],"DDDD")</f>
        <v>Thursday</v>
      </c>
      <c r="L715" t="str" cm="1">
        <f t="array" ref="L715">_xlfn.IFS(calls[[#This Row],[Duration]]&lt;=10,"under 10 mins",calls[[#This Row],[Duration]]&lt;=30,"10 to 30mins",calls[[#This Row],[Duration]]&lt;=60,"60 to 30mins",calls[[#This Row],[Duration]]&lt;=120,"1 to 2hrs",TRUE,"More than 2 hrs")</f>
        <v>More than 2 hrs</v>
      </c>
      <c r="M715">
        <f>ROUND(calls[[#This Row],[Satisfaction Rating]],0)</f>
        <v>2</v>
      </c>
      <c r="N715">
        <f>COUNTIF(calls[Customer ID], calls[[#This Row],[Customer ID]])</f>
        <v>74</v>
      </c>
      <c r="O715">
        <f>SUMIF(calls[Customer ID], calls[[#This Row],[Customer ID]], calls[Purchase Amount])</f>
        <v>6749</v>
      </c>
      <c r="P715">
        <f>calls[[#This Row],[call count]]/calls[[#This Row],[Purchase Amount]]</f>
        <v>0.59677419354838712</v>
      </c>
      <c r="Q715">
        <f>COUNTIF(calls[Customer ID],calls[[#This Row],[Customer ID]])</f>
        <v>74</v>
      </c>
      <c r="R715">
        <f>calls[[#This Row],[call count]]/calls[[#This Row],[Purchase Amount]]</f>
        <v>0.59677419354838712</v>
      </c>
    </row>
    <row r="716" spans="1:18" x14ac:dyDescent="0.4">
      <c r="A716" t="s">
        <v>746</v>
      </c>
      <c r="B716" t="s">
        <v>11</v>
      </c>
      <c r="C716">
        <v>53</v>
      </c>
      <c r="D716" s="4" t="s">
        <v>14</v>
      </c>
      <c r="E716" s="5">
        <v>45177</v>
      </c>
      <c r="F716">
        <v>130</v>
      </c>
      <c r="G716">
        <f>AVERAGEIF(calls[Representative], calls[[#This Row],[Representative]], calls[Satisfaction Rating])</f>
        <v>3.9227513227513247</v>
      </c>
      <c r="H716" t="str">
        <f>IF(AVERAGEIF(calls[Representative],calls[[#This Row],[Representative]],calls[Satisfaction Rating])&lt;3.5,"Needs Training","OK")</f>
        <v>OK</v>
      </c>
      <c r="I716">
        <v>3.6</v>
      </c>
      <c r="J716">
        <f>IF(MONTH(calls[[#This Row],[Date of Call]])&lt;=6, YEAR(calls[[#This Row],[Date of Call]]), YEAR(calls[[#This Row],[Date of Call]])+1)</f>
        <v>2024</v>
      </c>
      <c r="K716" t="str">
        <f>TEXT(calls[[#This Row],[Date of Call]],"DDDD")</f>
        <v>Friday</v>
      </c>
      <c r="L716" t="str" cm="1">
        <f t="array" ref="L716">_xlfn.IFS(calls[[#This Row],[Duration]]&lt;=10,"under 10 mins",calls[[#This Row],[Duration]]&lt;=30,"10 to 30mins",calls[[#This Row],[Duration]]&lt;=60,"60 to 30mins",calls[[#This Row],[Duration]]&lt;=120,"1 to 2hrs",TRUE,"More than 2 hrs")</f>
        <v>60 to 30mins</v>
      </c>
      <c r="M716">
        <f>ROUND(calls[[#This Row],[Satisfaction Rating]],0)</f>
        <v>4</v>
      </c>
      <c r="N716">
        <f>COUNTIF(calls[Customer ID], calls[[#This Row],[Customer ID]])</f>
        <v>60</v>
      </c>
      <c r="O716">
        <f>SUMIF(calls[Customer ID], calls[[#This Row],[Customer ID]], calls[Purchase Amount])</f>
        <v>5404</v>
      </c>
      <c r="P716">
        <f>calls[[#This Row],[call count]]/calls[[#This Row],[Purchase Amount]]</f>
        <v>0.46153846153846156</v>
      </c>
      <c r="Q716">
        <f>COUNTIF(calls[Customer ID],calls[[#This Row],[Customer ID]])</f>
        <v>60</v>
      </c>
      <c r="R716">
        <f>calls[[#This Row],[call count]]/calls[[#This Row],[Purchase Amount]]</f>
        <v>0.46153846153846156</v>
      </c>
    </row>
    <row r="717" spans="1:18" x14ac:dyDescent="0.4">
      <c r="A717" t="s">
        <v>747</v>
      </c>
      <c r="B717" t="s">
        <v>54</v>
      </c>
      <c r="C717">
        <v>97</v>
      </c>
      <c r="D717" s="4" t="s">
        <v>9</v>
      </c>
      <c r="E717" s="5">
        <v>45177</v>
      </c>
      <c r="F717">
        <v>45</v>
      </c>
      <c r="G717">
        <f>AVERAGEIF(calls[Representative], calls[[#This Row],[Representative]], calls[Satisfaction Rating])</f>
        <v>3.8706422018348627</v>
      </c>
      <c r="H717" t="str">
        <f>IF(AVERAGEIF(calls[Representative],calls[[#This Row],[Representative]],calls[Satisfaction Rating])&lt;3.5,"Needs Training","OK")</f>
        <v>OK</v>
      </c>
      <c r="I717">
        <v>4.5999999999999996</v>
      </c>
      <c r="J717">
        <f>IF(MONTH(calls[[#This Row],[Date of Call]])&lt;=6, YEAR(calls[[#This Row],[Date of Call]]), YEAR(calls[[#This Row],[Date of Call]])+1)</f>
        <v>2024</v>
      </c>
      <c r="K717" t="str">
        <f>TEXT(calls[[#This Row],[Date of Call]],"DDDD")</f>
        <v>Friday</v>
      </c>
      <c r="L717" t="str" cm="1">
        <f t="array" ref="L717">_xlfn.IFS(calls[[#This Row],[Duration]]&lt;=10,"under 10 mins",calls[[#This Row],[Duration]]&lt;=30,"10 to 30mins",calls[[#This Row],[Duration]]&lt;=60,"60 to 30mins",calls[[#This Row],[Duration]]&lt;=120,"1 to 2hrs",TRUE,"More than 2 hrs")</f>
        <v>1 to 2hrs</v>
      </c>
      <c r="M717">
        <f>ROUND(calls[[#This Row],[Satisfaction Rating]],0)</f>
        <v>5</v>
      </c>
      <c r="N717">
        <f>COUNTIF(calls[Customer ID], calls[[#This Row],[Customer ID]])</f>
        <v>70</v>
      </c>
      <c r="O717">
        <f>SUMIF(calls[Customer ID], calls[[#This Row],[Customer ID]], calls[Purchase Amount])</f>
        <v>6819</v>
      </c>
      <c r="P717">
        <f>calls[[#This Row],[call count]]/calls[[#This Row],[Purchase Amount]]</f>
        <v>1.5555555555555556</v>
      </c>
      <c r="Q717">
        <f>COUNTIF(calls[Customer ID],calls[[#This Row],[Customer ID]])</f>
        <v>70</v>
      </c>
      <c r="R717">
        <f>calls[[#This Row],[call count]]/calls[[#This Row],[Purchase Amount]]</f>
        <v>1.5555555555555556</v>
      </c>
    </row>
    <row r="718" spans="1:18" x14ac:dyDescent="0.4">
      <c r="A718" t="s">
        <v>748</v>
      </c>
      <c r="B718" t="s">
        <v>8</v>
      </c>
      <c r="C718">
        <v>64</v>
      </c>
      <c r="D718" s="4" t="s">
        <v>27</v>
      </c>
      <c r="E718" s="5">
        <v>45177</v>
      </c>
      <c r="F718">
        <v>66</v>
      </c>
      <c r="G718">
        <f>AVERAGEIF(calls[Representative], calls[[#This Row],[Representative]], calls[Satisfaction Rating])</f>
        <v>3.8589371980676304</v>
      </c>
      <c r="H718" t="str">
        <f>IF(AVERAGEIF(calls[Representative],calls[[#This Row],[Representative]],calls[Satisfaction Rating])&lt;3.5,"Needs Training","OK")</f>
        <v>OK</v>
      </c>
      <c r="I718">
        <v>4</v>
      </c>
      <c r="J718">
        <f>IF(MONTH(calls[[#This Row],[Date of Call]])&lt;=6, YEAR(calls[[#This Row],[Date of Call]]), YEAR(calls[[#This Row],[Date of Call]])+1)</f>
        <v>2024</v>
      </c>
      <c r="K718" t="str">
        <f>TEXT(calls[[#This Row],[Date of Call]],"DDDD")</f>
        <v>Friday</v>
      </c>
      <c r="L718" t="str" cm="1">
        <f t="array" ref="L718">_xlfn.IFS(calls[[#This Row],[Duration]]&lt;=10,"under 10 mins",calls[[#This Row],[Duration]]&lt;=30,"10 to 30mins",calls[[#This Row],[Duration]]&lt;=60,"60 to 30mins",calls[[#This Row],[Duration]]&lt;=120,"1 to 2hrs",TRUE,"More than 2 hrs")</f>
        <v>1 to 2hrs</v>
      </c>
      <c r="M718">
        <f>ROUND(calls[[#This Row],[Satisfaction Rating]],0)</f>
        <v>4</v>
      </c>
      <c r="N718">
        <f>COUNTIF(calls[Customer ID], calls[[#This Row],[Customer ID]])</f>
        <v>79</v>
      </c>
      <c r="O718">
        <f>SUMIF(calls[Customer ID], calls[[#This Row],[Customer ID]], calls[Purchase Amount])</f>
        <v>7747</v>
      </c>
      <c r="P718">
        <f>calls[[#This Row],[call count]]/calls[[#This Row],[Purchase Amount]]</f>
        <v>1.196969696969697</v>
      </c>
      <c r="Q718">
        <f>COUNTIF(calls[Customer ID],calls[[#This Row],[Customer ID]])</f>
        <v>79</v>
      </c>
      <c r="R718">
        <f>calls[[#This Row],[call count]]/calls[[#This Row],[Purchase Amount]]</f>
        <v>1.196969696969697</v>
      </c>
    </row>
    <row r="719" spans="1:18" x14ac:dyDescent="0.4">
      <c r="A719" t="s">
        <v>749</v>
      </c>
      <c r="B719" t="s">
        <v>1</v>
      </c>
      <c r="C719">
        <v>106</v>
      </c>
      <c r="D719" s="4" t="s">
        <v>2</v>
      </c>
      <c r="E719" s="5">
        <v>45177</v>
      </c>
      <c r="F719">
        <v>58</v>
      </c>
      <c r="G719">
        <f>AVERAGEIF(calls[Representative], calls[[#This Row],[Representative]], calls[Satisfaction Rating])</f>
        <v>3.8824999999999998</v>
      </c>
      <c r="H719" t="str">
        <f>IF(AVERAGEIF(calls[Representative],calls[[#This Row],[Representative]],calls[Satisfaction Rating])&lt;3.5,"Needs Training","OK")</f>
        <v>OK</v>
      </c>
      <c r="I719">
        <v>4.7</v>
      </c>
      <c r="J719">
        <f>IF(MONTH(calls[[#This Row],[Date of Call]])&lt;=6, YEAR(calls[[#This Row],[Date of Call]]), YEAR(calls[[#This Row],[Date of Call]])+1)</f>
        <v>2024</v>
      </c>
      <c r="K719" t="str">
        <f>TEXT(calls[[#This Row],[Date of Call]],"DDDD")</f>
        <v>Friday</v>
      </c>
      <c r="L719" t="str" cm="1">
        <f t="array" ref="L719">_xlfn.IFS(calls[[#This Row],[Duration]]&lt;=10,"under 10 mins",calls[[#This Row],[Duration]]&lt;=30,"10 to 30mins",calls[[#This Row],[Duration]]&lt;=60,"60 to 30mins",calls[[#This Row],[Duration]]&lt;=120,"1 to 2hrs",TRUE,"More than 2 hrs")</f>
        <v>1 to 2hrs</v>
      </c>
      <c r="M719">
        <f>ROUND(calls[[#This Row],[Satisfaction Rating]],0)</f>
        <v>5</v>
      </c>
      <c r="N719">
        <f>COUNTIF(calls[Customer ID], calls[[#This Row],[Customer ID]])</f>
        <v>50</v>
      </c>
      <c r="O719">
        <f>SUMIF(calls[Customer ID], calls[[#This Row],[Customer ID]], calls[Purchase Amount])</f>
        <v>4804</v>
      </c>
      <c r="P719">
        <f>calls[[#This Row],[call count]]/calls[[#This Row],[Purchase Amount]]</f>
        <v>0.86206896551724133</v>
      </c>
      <c r="Q719">
        <f>COUNTIF(calls[Customer ID],calls[[#This Row],[Customer ID]])</f>
        <v>50</v>
      </c>
      <c r="R719">
        <f>calls[[#This Row],[call count]]/calls[[#This Row],[Purchase Amount]]</f>
        <v>0.86206896551724133</v>
      </c>
    </row>
    <row r="720" spans="1:18" x14ac:dyDescent="0.4">
      <c r="A720" t="s">
        <v>750</v>
      </c>
      <c r="B720" t="s">
        <v>64</v>
      </c>
      <c r="C720">
        <v>36</v>
      </c>
      <c r="D720" s="4" t="s">
        <v>27</v>
      </c>
      <c r="E720" s="5">
        <v>45178</v>
      </c>
      <c r="F720">
        <v>152</v>
      </c>
      <c r="G720">
        <f>AVERAGEIF(calls[Representative], calls[[#This Row],[Representative]], calls[Satisfaction Rating])</f>
        <v>3.8589371980676304</v>
      </c>
      <c r="H720" t="str">
        <f>IF(AVERAGEIF(calls[Representative],calls[[#This Row],[Representative]],calls[Satisfaction Rating])&lt;3.5,"Needs Training","OK")</f>
        <v>OK</v>
      </c>
      <c r="I720">
        <v>4.3</v>
      </c>
      <c r="J720">
        <f>IF(MONTH(calls[[#This Row],[Date of Call]])&lt;=6, YEAR(calls[[#This Row],[Date of Call]]), YEAR(calls[[#This Row],[Date of Call]])+1)</f>
        <v>2024</v>
      </c>
      <c r="K720" t="str">
        <f>TEXT(calls[[#This Row],[Date of Call]],"DDDD")</f>
        <v>Saturday</v>
      </c>
      <c r="L720" t="str" cm="1">
        <f t="array" ref="L720">_xlfn.IFS(calls[[#This Row],[Duration]]&lt;=10,"under 10 mins",calls[[#This Row],[Duration]]&lt;=30,"10 to 30mins",calls[[#This Row],[Duration]]&lt;=60,"60 to 30mins",calls[[#This Row],[Duration]]&lt;=120,"1 to 2hrs",TRUE,"More than 2 hrs")</f>
        <v>60 to 30mins</v>
      </c>
      <c r="M720">
        <f>ROUND(calls[[#This Row],[Satisfaction Rating]],0)</f>
        <v>4</v>
      </c>
      <c r="N720">
        <f>COUNTIF(calls[Customer ID], calls[[#This Row],[Customer ID]])</f>
        <v>65</v>
      </c>
      <c r="O720">
        <f>SUMIF(calls[Customer ID], calls[[#This Row],[Customer ID]], calls[Purchase Amount])</f>
        <v>6785</v>
      </c>
      <c r="P720">
        <f>calls[[#This Row],[call count]]/calls[[#This Row],[Purchase Amount]]</f>
        <v>0.42763157894736842</v>
      </c>
      <c r="Q720">
        <f>COUNTIF(calls[Customer ID],calls[[#This Row],[Customer ID]])</f>
        <v>65</v>
      </c>
      <c r="R720">
        <f>calls[[#This Row],[call count]]/calls[[#This Row],[Purchase Amount]]</f>
        <v>0.42763157894736842</v>
      </c>
    </row>
    <row r="721" spans="1:18" x14ac:dyDescent="0.4">
      <c r="A721" t="s">
        <v>751</v>
      </c>
      <c r="B721" t="s">
        <v>13</v>
      </c>
      <c r="C721">
        <v>74</v>
      </c>
      <c r="D721" s="4" t="s">
        <v>23</v>
      </c>
      <c r="E721" s="5">
        <v>45178</v>
      </c>
      <c r="F721">
        <v>75</v>
      </c>
      <c r="G721">
        <f>AVERAGEIF(calls[Representative], calls[[#This Row],[Representative]], calls[Satisfaction Rating])</f>
        <v>3.8973118279569863</v>
      </c>
      <c r="H721" t="str">
        <f>IF(AVERAGEIF(calls[Representative],calls[[#This Row],[Representative]],calls[Satisfaction Rating])&lt;3.5,"Needs Training","OK")</f>
        <v>OK</v>
      </c>
      <c r="I721">
        <v>2.8</v>
      </c>
      <c r="J721">
        <f>IF(MONTH(calls[[#This Row],[Date of Call]])&lt;=6, YEAR(calls[[#This Row],[Date of Call]]), YEAR(calls[[#This Row],[Date of Call]])+1)</f>
        <v>2024</v>
      </c>
      <c r="K721" t="str">
        <f>TEXT(calls[[#This Row],[Date of Call]],"DDDD")</f>
        <v>Saturday</v>
      </c>
      <c r="L721" t="str" cm="1">
        <f t="array" ref="L721">_xlfn.IFS(calls[[#This Row],[Duration]]&lt;=10,"under 10 mins",calls[[#This Row],[Duration]]&lt;=30,"10 to 30mins",calls[[#This Row],[Duration]]&lt;=60,"60 to 30mins",calls[[#This Row],[Duration]]&lt;=120,"1 to 2hrs",TRUE,"More than 2 hrs")</f>
        <v>1 to 2hrs</v>
      </c>
      <c r="M721">
        <f>ROUND(calls[[#This Row],[Satisfaction Rating]],0)</f>
        <v>3</v>
      </c>
      <c r="N721">
        <f>COUNTIF(calls[Customer ID], calls[[#This Row],[Customer ID]])</f>
        <v>74</v>
      </c>
      <c r="O721">
        <f>SUMIF(calls[Customer ID], calls[[#This Row],[Customer ID]], calls[Purchase Amount])</f>
        <v>6749</v>
      </c>
      <c r="P721">
        <f>calls[[#This Row],[call count]]/calls[[#This Row],[Purchase Amount]]</f>
        <v>0.98666666666666669</v>
      </c>
      <c r="Q721">
        <f>COUNTIF(calls[Customer ID],calls[[#This Row],[Customer ID]])</f>
        <v>74</v>
      </c>
      <c r="R721">
        <f>calls[[#This Row],[call count]]/calls[[#This Row],[Purchase Amount]]</f>
        <v>0.98666666666666669</v>
      </c>
    </row>
    <row r="722" spans="1:18" x14ac:dyDescent="0.4">
      <c r="A722" t="s">
        <v>752</v>
      </c>
      <c r="B722" t="s">
        <v>44</v>
      </c>
      <c r="C722">
        <v>143</v>
      </c>
      <c r="D722" s="4" t="s">
        <v>9</v>
      </c>
      <c r="E722" s="5">
        <v>45178</v>
      </c>
      <c r="F722">
        <v>78</v>
      </c>
      <c r="G722">
        <f>AVERAGEIF(calls[Representative], calls[[#This Row],[Representative]], calls[Satisfaction Rating])</f>
        <v>3.8706422018348627</v>
      </c>
      <c r="H722" t="str">
        <f>IF(AVERAGEIF(calls[Representative],calls[[#This Row],[Representative]],calls[Satisfaction Rating])&lt;3.5,"Needs Training","OK")</f>
        <v>OK</v>
      </c>
      <c r="I722">
        <v>4</v>
      </c>
      <c r="J722">
        <f>IF(MONTH(calls[[#This Row],[Date of Call]])&lt;=6, YEAR(calls[[#This Row],[Date of Call]]), YEAR(calls[[#This Row],[Date of Call]])+1)</f>
        <v>2024</v>
      </c>
      <c r="K722" t="str">
        <f>TEXT(calls[[#This Row],[Date of Call]],"DDDD")</f>
        <v>Saturday</v>
      </c>
      <c r="L722" t="str" cm="1">
        <f t="array" ref="L722">_xlfn.IFS(calls[[#This Row],[Duration]]&lt;=10,"under 10 mins",calls[[#This Row],[Duration]]&lt;=30,"10 to 30mins",calls[[#This Row],[Duration]]&lt;=60,"60 to 30mins",calls[[#This Row],[Duration]]&lt;=120,"1 to 2hrs",TRUE,"More than 2 hrs")</f>
        <v>More than 2 hrs</v>
      </c>
      <c r="M722">
        <f>ROUND(calls[[#This Row],[Satisfaction Rating]],0)</f>
        <v>4</v>
      </c>
      <c r="N722">
        <f>COUNTIF(calls[Customer ID], calls[[#This Row],[Customer ID]])</f>
        <v>62</v>
      </c>
      <c r="O722">
        <f>SUMIF(calls[Customer ID], calls[[#This Row],[Customer ID]], calls[Purchase Amount])</f>
        <v>6176</v>
      </c>
      <c r="P722">
        <f>calls[[#This Row],[call count]]/calls[[#This Row],[Purchase Amount]]</f>
        <v>0.79487179487179482</v>
      </c>
      <c r="Q722">
        <f>COUNTIF(calls[Customer ID],calls[[#This Row],[Customer ID]])</f>
        <v>62</v>
      </c>
      <c r="R722">
        <f>calls[[#This Row],[call count]]/calls[[#This Row],[Purchase Amount]]</f>
        <v>0.79487179487179482</v>
      </c>
    </row>
    <row r="723" spans="1:18" x14ac:dyDescent="0.4">
      <c r="A723" t="s">
        <v>753</v>
      </c>
      <c r="B723" t="s">
        <v>1</v>
      </c>
      <c r="C723">
        <v>94</v>
      </c>
      <c r="D723" s="4" t="s">
        <v>14</v>
      </c>
      <c r="E723" s="5">
        <v>45178</v>
      </c>
      <c r="F723">
        <v>69</v>
      </c>
      <c r="G723">
        <f>AVERAGEIF(calls[Representative], calls[[#This Row],[Representative]], calls[Satisfaction Rating])</f>
        <v>3.9227513227513247</v>
      </c>
      <c r="H723" t="str">
        <f>IF(AVERAGEIF(calls[Representative],calls[[#This Row],[Representative]],calls[Satisfaction Rating])&lt;3.5,"Needs Training","OK")</f>
        <v>OK</v>
      </c>
      <c r="I723">
        <v>3.9</v>
      </c>
      <c r="J723">
        <f>IF(MONTH(calls[[#This Row],[Date of Call]])&lt;=6, YEAR(calls[[#This Row],[Date of Call]]), YEAR(calls[[#This Row],[Date of Call]])+1)</f>
        <v>2024</v>
      </c>
      <c r="K723" t="str">
        <f>TEXT(calls[[#This Row],[Date of Call]],"DDDD")</f>
        <v>Saturday</v>
      </c>
      <c r="L723" t="str" cm="1">
        <f t="array" ref="L723">_xlfn.IFS(calls[[#This Row],[Duration]]&lt;=10,"under 10 mins",calls[[#This Row],[Duration]]&lt;=30,"10 to 30mins",calls[[#This Row],[Duration]]&lt;=60,"60 to 30mins",calls[[#This Row],[Duration]]&lt;=120,"1 to 2hrs",TRUE,"More than 2 hrs")</f>
        <v>1 to 2hrs</v>
      </c>
      <c r="M723">
        <f>ROUND(calls[[#This Row],[Satisfaction Rating]],0)</f>
        <v>4</v>
      </c>
      <c r="N723">
        <f>COUNTIF(calls[Customer ID], calls[[#This Row],[Customer ID]])</f>
        <v>50</v>
      </c>
      <c r="O723">
        <f>SUMIF(calls[Customer ID], calls[[#This Row],[Customer ID]], calls[Purchase Amount])</f>
        <v>4804</v>
      </c>
      <c r="P723">
        <f>calls[[#This Row],[call count]]/calls[[#This Row],[Purchase Amount]]</f>
        <v>0.72463768115942029</v>
      </c>
      <c r="Q723">
        <f>COUNTIF(calls[Customer ID],calls[[#This Row],[Customer ID]])</f>
        <v>50</v>
      </c>
      <c r="R723">
        <f>calls[[#This Row],[call count]]/calls[[#This Row],[Purchase Amount]]</f>
        <v>0.72463768115942029</v>
      </c>
    </row>
    <row r="724" spans="1:18" x14ac:dyDescent="0.4">
      <c r="A724" t="s">
        <v>754</v>
      </c>
      <c r="B724" t="s">
        <v>51</v>
      </c>
      <c r="C724">
        <v>124</v>
      </c>
      <c r="D724" s="4" t="s">
        <v>2</v>
      </c>
      <c r="E724" s="5">
        <v>45179</v>
      </c>
      <c r="F724">
        <v>46</v>
      </c>
      <c r="G724">
        <f>AVERAGEIF(calls[Representative], calls[[#This Row],[Representative]], calls[Satisfaction Rating])</f>
        <v>3.8824999999999998</v>
      </c>
      <c r="H724" t="str">
        <f>IF(AVERAGEIF(calls[Representative],calls[[#This Row],[Representative]],calls[Satisfaction Rating])&lt;3.5,"Needs Training","OK")</f>
        <v>OK</v>
      </c>
      <c r="I724">
        <v>3.1</v>
      </c>
      <c r="J724">
        <f>IF(MONTH(calls[[#This Row],[Date of Call]])&lt;=6, YEAR(calls[[#This Row],[Date of Call]]), YEAR(calls[[#This Row],[Date of Call]])+1)</f>
        <v>2024</v>
      </c>
      <c r="K724" t="str">
        <f>TEXT(calls[[#This Row],[Date of Call]],"DDDD")</f>
        <v>Sunday</v>
      </c>
      <c r="L724" t="str" cm="1">
        <f t="array" ref="L724">_xlfn.IFS(calls[[#This Row],[Duration]]&lt;=10,"under 10 mins",calls[[#This Row],[Duration]]&lt;=30,"10 to 30mins",calls[[#This Row],[Duration]]&lt;=60,"60 to 30mins",calls[[#This Row],[Duration]]&lt;=120,"1 to 2hrs",TRUE,"More than 2 hrs")</f>
        <v>More than 2 hrs</v>
      </c>
      <c r="M724">
        <f>ROUND(calls[[#This Row],[Satisfaction Rating]],0)</f>
        <v>3</v>
      </c>
      <c r="N724">
        <f>COUNTIF(calls[Customer ID], calls[[#This Row],[Customer ID]])</f>
        <v>59</v>
      </c>
      <c r="O724">
        <f>SUMIF(calls[Customer ID], calls[[#This Row],[Customer ID]], calls[Purchase Amount])</f>
        <v>6518</v>
      </c>
      <c r="P724">
        <f>calls[[#This Row],[call count]]/calls[[#This Row],[Purchase Amount]]</f>
        <v>1.2826086956521738</v>
      </c>
      <c r="Q724">
        <f>COUNTIF(calls[Customer ID],calls[[#This Row],[Customer ID]])</f>
        <v>59</v>
      </c>
      <c r="R724">
        <f>calls[[#This Row],[call count]]/calls[[#This Row],[Purchase Amount]]</f>
        <v>1.2826086956521738</v>
      </c>
    </row>
    <row r="725" spans="1:18" x14ac:dyDescent="0.4">
      <c r="A725" t="s">
        <v>755</v>
      </c>
      <c r="B725" t="s">
        <v>64</v>
      </c>
      <c r="C725">
        <v>156</v>
      </c>
      <c r="D725" s="4" t="s">
        <v>27</v>
      </c>
      <c r="E725" s="5">
        <v>45179</v>
      </c>
      <c r="F725">
        <v>64</v>
      </c>
      <c r="G725">
        <f>AVERAGEIF(calls[Representative], calls[[#This Row],[Representative]], calls[Satisfaction Rating])</f>
        <v>3.8589371980676304</v>
      </c>
      <c r="H725" t="str">
        <f>IF(AVERAGEIF(calls[Representative],calls[[#This Row],[Representative]],calls[Satisfaction Rating])&lt;3.5,"Needs Training","OK")</f>
        <v>OK</v>
      </c>
      <c r="I725">
        <v>2.7</v>
      </c>
      <c r="J725">
        <f>IF(MONTH(calls[[#This Row],[Date of Call]])&lt;=6, YEAR(calls[[#This Row],[Date of Call]]), YEAR(calls[[#This Row],[Date of Call]])+1)</f>
        <v>2024</v>
      </c>
      <c r="K725" t="str">
        <f>TEXT(calls[[#This Row],[Date of Call]],"DDDD")</f>
        <v>Sunday</v>
      </c>
      <c r="L725" t="str" cm="1">
        <f t="array" ref="L725">_xlfn.IFS(calls[[#This Row],[Duration]]&lt;=10,"under 10 mins",calls[[#This Row],[Duration]]&lt;=30,"10 to 30mins",calls[[#This Row],[Duration]]&lt;=60,"60 to 30mins",calls[[#This Row],[Duration]]&lt;=120,"1 to 2hrs",TRUE,"More than 2 hrs")</f>
        <v>More than 2 hrs</v>
      </c>
      <c r="M725">
        <f>ROUND(calls[[#This Row],[Satisfaction Rating]],0)</f>
        <v>3</v>
      </c>
      <c r="N725">
        <f>COUNTIF(calls[Customer ID], calls[[#This Row],[Customer ID]])</f>
        <v>65</v>
      </c>
      <c r="O725">
        <f>SUMIF(calls[Customer ID], calls[[#This Row],[Customer ID]], calls[Purchase Amount])</f>
        <v>6785</v>
      </c>
      <c r="P725">
        <f>calls[[#This Row],[call count]]/calls[[#This Row],[Purchase Amount]]</f>
        <v>1.015625</v>
      </c>
      <c r="Q725">
        <f>COUNTIF(calls[Customer ID],calls[[#This Row],[Customer ID]])</f>
        <v>65</v>
      </c>
      <c r="R725">
        <f>calls[[#This Row],[call count]]/calls[[#This Row],[Purchase Amount]]</f>
        <v>1.015625</v>
      </c>
    </row>
    <row r="726" spans="1:18" x14ac:dyDescent="0.4">
      <c r="A726" t="s">
        <v>756</v>
      </c>
      <c r="B726" t="s">
        <v>26</v>
      </c>
      <c r="C726">
        <v>107</v>
      </c>
      <c r="D726" s="4" t="s">
        <v>9</v>
      </c>
      <c r="E726" s="5">
        <v>45179</v>
      </c>
      <c r="F726">
        <v>38</v>
      </c>
      <c r="G726">
        <f>AVERAGEIF(calls[Representative], calls[[#This Row],[Representative]], calls[Satisfaction Rating])</f>
        <v>3.8706422018348627</v>
      </c>
      <c r="H726" t="str">
        <f>IF(AVERAGEIF(calls[Representative],calls[[#This Row],[Representative]],calls[Satisfaction Rating])&lt;3.5,"Needs Training","OK")</f>
        <v>OK</v>
      </c>
      <c r="I726">
        <v>4.7</v>
      </c>
      <c r="J726">
        <f>IF(MONTH(calls[[#This Row],[Date of Call]])&lt;=6, YEAR(calls[[#This Row],[Date of Call]]), YEAR(calls[[#This Row],[Date of Call]])+1)</f>
        <v>2024</v>
      </c>
      <c r="K726" t="str">
        <f>TEXT(calls[[#This Row],[Date of Call]],"DDDD")</f>
        <v>Sunday</v>
      </c>
      <c r="L726" t="str" cm="1">
        <f t="array" ref="L726">_xlfn.IFS(calls[[#This Row],[Duration]]&lt;=10,"under 10 mins",calls[[#This Row],[Duration]]&lt;=30,"10 to 30mins",calls[[#This Row],[Duration]]&lt;=60,"60 to 30mins",calls[[#This Row],[Duration]]&lt;=120,"1 to 2hrs",TRUE,"More than 2 hrs")</f>
        <v>1 to 2hrs</v>
      </c>
      <c r="M726">
        <f>ROUND(calls[[#This Row],[Satisfaction Rating]],0)</f>
        <v>5</v>
      </c>
      <c r="N726">
        <f>COUNTIF(calls[Customer ID], calls[[#This Row],[Customer ID]])</f>
        <v>72</v>
      </c>
      <c r="O726">
        <f>SUMIF(calls[Customer ID], calls[[#This Row],[Customer ID]], calls[Purchase Amount])</f>
        <v>6242</v>
      </c>
      <c r="P726">
        <f>calls[[#This Row],[call count]]/calls[[#This Row],[Purchase Amount]]</f>
        <v>1.8947368421052631</v>
      </c>
      <c r="Q726">
        <f>COUNTIF(calls[Customer ID],calls[[#This Row],[Customer ID]])</f>
        <v>72</v>
      </c>
      <c r="R726">
        <f>calls[[#This Row],[call count]]/calls[[#This Row],[Purchase Amount]]</f>
        <v>1.8947368421052631</v>
      </c>
    </row>
    <row r="727" spans="1:18" x14ac:dyDescent="0.4">
      <c r="A727" t="s">
        <v>757</v>
      </c>
      <c r="B727" t="s">
        <v>1</v>
      </c>
      <c r="C727">
        <v>58</v>
      </c>
      <c r="D727" s="4" t="s">
        <v>9</v>
      </c>
      <c r="E727" s="5">
        <v>45181</v>
      </c>
      <c r="F727">
        <v>90</v>
      </c>
      <c r="G727">
        <f>AVERAGEIF(calls[Representative], calls[[#This Row],[Representative]], calls[Satisfaction Rating])</f>
        <v>3.8706422018348627</v>
      </c>
      <c r="H727" t="str">
        <f>IF(AVERAGEIF(calls[Representative],calls[[#This Row],[Representative]],calls[Satisfaction Rating])&lt;3.5,"Needs Training","OK")</f>
        <v>OK</v>
      </c>
      <c r="I727">
        <v>4.3</v>
      </c>
      <c r="J727">
        <f>IF(MONTH(calls[[#This Row],[Date of Call]])&lt;=6, YEAR(calls[[#This Row],[Date of Call]]), YEAR(calls[[#This Row],[Date of Call]])+1)</f>
        <v>2024</v>
      </c>
      <c r="K727" t="str">
        <f>TEXT(calls[[#This Row],[Date of Call]],"DDDD")</f>
        <v>Tuesday</v>
      </c>
      <c r="L727" t="str" cm="1">
        <f t="array" ref="L727">_xlfn.IFS(calls[[#This Row],[Duration]]&lt;=10,"under 10 mins",calls[[#This Row],[Duration]]&lt;=30,"10 to 30mins",calls[[#This Row],[Duration]]&lt;=60,"60 to 30mins",calls[[#This Row],[Duration]]&lt;=120,"1 to 2hrs",TRUE,"More than 2 hrs")</f>
        <v>60 to 30mins</v>
      </c>
      <c r="M727">
        <f>ROUND(calls[[#This Row],[Satisfaction Rating]],0)</f>
        <v>4</v>
      </c>
      <c r="N727">
        <f>COUNTIF(calls[Customer ID], calls[[#This Row],[Customer ID]])</f>
        <v>50</v>
      </c>
      <c r="O727">
        <f>SUMIF(calls[Customer ID], calls[[#This Row],[Customer ID]], calls[Purchase Amount])</f>
        <v>4804</v>
      </c>
      <c r="P727">
        <f>calls[[#This Row],[call count]]/calls[[#This Row],[Purchase Amount]]</f>
        <v>0.55555555555555558</v>
      </c>
      <c r="Q727">
        <f>COUNTIF(calls[Customer ID],calls[[#This Row],[Customer ID]])</f>
        <v>50</v>
      </c>
      <c r="R727">
        <f>calls[[#This Row],[call count]]/calls[[#This Row],[Purchase Amount]]</f>
        <v>0.55555555555555558</v>
      </c>
    </row>
    <row r="728" spans="1:18" x14ac:dyDescent="0.4">
      <c r="A728" t="s">
        <v>758</v>
      </c>
      <c r="B728" t="s">
        <v>30</v>
      </c>
      <c r="C728">
        <v>66</v>
      </c>
      <c r="D728" s="4" t="s">
        <v>9</v>
      </c>
      <c r="E728" s="5">
        <v>45181</v>
      </c>
      <c r="F728">
        <v>32</v>
      </c>
      <c r="G728">
        <f>AVERAGEIF(calls[Representative], calls[[#This Row],[Representative]], calls[Satisfaction Rating])</f>
        <v>3.8706422018348627</v>
      </c>
      <c r="H728" t="str">
        <f>IF(AVERAGEIF(calls[Representative],calls[[#This Row],[Representative]],calls[Satisfaction Rating])&lt;3.5,"Needs Training","OK")</f>
        <v>OK</v>
      </c>
      <c r="I728">
        <v>3.8</v>
      </c>
      <c r="J728">
        <f>IF(MONTH(calls[[#This Row],[Date of Call]])&lt;=6, YEAR(calls[[#This Row],[Date of Call]]), YEAR(calls[[#This Row],[Date of Call]])+1)</f>
        <v>2024</v>
      </c>
      <c r="K728" t="str">
        <f>TEXT(calls[[#This Row],[Date of Call]],"DDDD")</f>
        <v>Tuesday</v>
      </c>
      <c r="L728" t="str" cm="1">
        <f t="array" ref="L728">_xlfn.IFS(calls[[#This Row],[Duration]]&lt;=10,"under 10 mins",calls[[#This Row],[Duration]]&lt;=30,"10 to 30mins",calls[[#This Row],[Duration]]&lt;=60,"60 to 30mins",calls[[#This Row],[Duration]]&lt;=120,"1 to 2hrs",TRUE,"More than 2 hrs")</f>
        <v>1 to 2hrs</v>
      </c>
      <c r="M728">
        <f>ROUND(calls[[#This Row],[Satisfaction Rating]],0)</f>
        <v>4</v>
      </c>
      <c r="N728">
        <f>COUNTIF(calls[Customer ID], calls[[#This Row],[Customer ID]])</f>
        <v>69</v>
      </c>
      <c r="O728">
        <f>SUMIF(calls[Customer ID], calls[[#This Row],[Customer ID]], calls[Purchase Amount])</f>
        <v>7230</v>
      </c>
      <c r="P728">
        <f>calls[[#This Row],[call count]]/calls[[#This Row],[Purchase Amount]]</f>
        <v>2.15625</v>
      </c>
      <c r="Q728">
        <f>COUNTIF(calls[Customer ID],calls[[#This Row],[Customer ID]])</f>
        <v>69</v>
      </c>
      <c r="R728">
        <f>calls[[#This Row],[call count]]/calls[[#This Row],[Purchase Amount]]</f>
        <v>2.15625</v>
      </c>
    </row>
    <row r="729" spans="1:18" x14ac:dyDescent="0.4">
      <c r="A729" t="s">
        <v>759</v>
      </c>
      <c r="B729" t="s">
        <v>32</v>
      </c>
      <c r="C729">
        <v>75</v>
      </c>
      <c r="D729" s="4" t="s">
        <v>27</v>
      </c>
      <c r="E729" s="5">
        <v>45181</v>
      </c>
      <c r="F729">
        <v>120</v>
      </c>
      <c r="G729">
        <f>AVERAGEIF(calls[Representative], calls[[#This Row],[Representative]], calls[Satisfaction Rating])</f>
        <v>3.8589371980676304</v>
      </c>
      <c r="H729" t="str">
        <f>IF(AVERAGEIF(calls[Representative],calls[[#This Row],[Representative]],calls[Satisfaction Rating])&lt;3.5,"Needs Training","OK")</f>
        <v>OK</v>
      </c>
      <c r="I729">
        <v>4.4000000000000004</v>
      </c>
      <c r="J729">
        <f>IF(MONTH(calls[[#This Row],[Date of Call]])&lt;=6, YEAR(calls[[#This Row],[Date of Call]]), YEAR(calls[[#This Row],[Date of Call]])+1)</f>
        <v>2024</v>
      </c>
      <c r="K729" t="str">
        <f>TEXT(calls[[#This Row],[Date of Call]],"DDDD")</f>
        <v>Tuesday</v>
      </c>
      <c r="L729" t="str" cm="1">
        <f t="array" ref="L729">_xlfn.IFS(calls[[#This Row],[Duration]]&lt;=10,"under 10 mins",calls[[#This Row],[Duration]]&lt;=30,"10 to 30mins",calls[[#This Row],[Duration]]&lt;=60,"60 to 30mins",calls[[#This Row],[Duration]]&lt;=120,"1 to 2hrs",TRUE,"More than 2 hrs")</f>
        <v>1 to 2hrs</v>
      </c>
      <c r="M729">
        <f>ROUND(calls[[#This Row],[Satisfaction Rating]],0)</f>
        <v>4</v>
      </c>
      <c r="N729">
        <f>COUNTIF(calls[Customer ID], calls[[#This Row],[Customer ID]])</f>
        <v>63</v>
      </c>
      <c r="O729">
        <f>SUMIF(calls[Customer ID], calls[[#This Row],[Customer ID]], calls[Purchase Amount])</f>
        <v>5634</v>
      </c>
      <c r="P729">
        <f>calls[[#This Row],[call count]]/calls[[#This Row],[Purchase Amount]]</f>
        <v>0.52500000000000002</v>
      </c>
      <c r="Q729">
        <f>COUNTIF(calls[Customer ID],calls[[#This Row],[Customer ID]])</f>
        <v>63</v>
      </c>
      <c r="R729">
        <f>calls[[#This Row],[call count]]/calls[[#This Row],[Purchase Amount]]</f>
        <v>0.52500000000000002</v>
      </c>
    </row>
    <row r="730" spans="1:18" x14ac:dyDescent="0.4">
      <c r="A730" t="s">
        <v>760</v>
      </c>
      <c r="B730" t="s">
        <v>26</v>
      </c>
      <c r="C730">
        <v>8</v>
      </c>
      <c r="D730" s="4" t="s">
        <v>9</v>
      </c>
      <c r="E730" s="5">
        <v>45181</v>
      </c>
      <c r="F730">
        <v>31</v>
      </c>
      <c r="G730">
        <f>AVERAGEIF(calls[Representative], calls[[#This Row],[Representative]], calls[Satisfaction Rating])</f>
        <v>3.8706422018348627</v>
      </c>
      <c r="H730" t="str">
        <f>IF(AVERAGEIF(calls[Representative],calls[[#This Row],[Representative]],calls[Satisfaction Rating])&lt;3.5,"Needs Training","OK")</f>
        <v>OK</v>
      </c>
      <c r="I730">
        <v>3.9</v>
      </c>
      <c r="J730">
        <f>IF(MONTH(calls[[#This Row],[Date of Call]])&lt;=6, YEAR(calls[[#This Row],[Date of Call]]), YEAR(calls[[#This Row],[Date of Call]])+1)</f>
        <v>2024</v>
      </c>
      <c r="K730" t="str">
        <f>TEXT(calls[[#This Row],[Date of Call]],"DDDD")</f>
        <v>Tuesday</v>
      </c>
      <c r="L730" t="str" cm="1">
        <f t="array" ref="L730">_xlfn.IFS(calls[[#This Row],[Duration]]&lt;=10,"under 10 mins",calls[[#This Row],[Duration]]&lt;=30,"10 to 30mins",calls[[#This Row],[Duration]]&lt;=60,"60 to 30mins",calls[[#This Row],[Duration]]&lt;=120,"1 to 2hrs",TRUE,"More than 2 hrs")</f>
        <v>under 10 mins</v>
      </c>
      <c r="M730">
        <f>ROUND(calls[[#This Row],[Satisfaction Rating]],0)</f>
        <v>4</v>
      </c>
      <c r="N730">
        <f>COUNTIF(calls[Customer ID], calls[[#This Row],[Customer ID]])</f>
        <v>72</v>
      </c>
      <c r="O730">
        <f>SUMIF(calls[Customer ID], calls[[#This Row],[Customer ID]], calls[Purchase Amount])</f>
        <v>6242</v>
      </c>
      <c r="P730">
        <f>calls[[#This Row],[call count]]/calls[[#This Row],[Purchase Amount]]</f>
        <v>2.3225806451612905</v>
      </c>
      <c r="Q730">
        <f>COUNTIF(calls[Customer ID],calls[[#This Row],[Customer ID]])</f>
        <v>72</v>
      </c>
      <c r="R730">
        <f>calls[[#This Row],[call count]]/calls[[#This Row],[Purchase Amount]]</f>
        <v>2.3225806451612905</v>
      </c>
    </row>
    <row r="731" spans="1:18" x14ac:dyDescent="0.4">
      <c r="A731" t="s">
        <v>761</v>
      </c>
      <c r="B731" t="s">
        <v>8</v>
      </c>
      <c r="C731">
        <v>76</v>
      </c>
      <c r="D731" s="4" t="s">
        <v>27</v>
      </c>
      <c r="E731" s="5">
        <v>45182</v>
      </c>
      <c r="F731">
        <v>108</v>
      </c>
      <c r="G731">
        <f>AVERAGEIF(calls[Representative], calls[[#This Row],[Representative]], calls[Satisfaction Rating])</f>
        <v>3.8589371980676304</v>
      </c>
      <c r="H731" t="str">
        <f>IF(AVERAGEIF(calls[Representative],calls[[#This Row],[Representative]],calls[Satisfaction Rating])&lt;3.5,"Needs Training","OK")</f>
        <v>OK</v>
      </c>
      <c r="I731">
        <v>4.9000000000000004</v>
      </c>
      <c r="J731">
        <f>IF(MONTH(calls[[#This Row],[Date of Call]])&lt;=6, YEAR(calls[[#This Row],[Date of Call]]), YEAR(calls[[#This Row],[Date of Call]])+1)</f>
        <v>2024</v>
      </c>
      <c r="K731" t="str">
        <f>TEXT(calls[[#This Row],[Date of Call]],"DDDD")</f>
        <v>Wednesday</v>
      </c>
      <c r="L731" t="str" cm="1">
        <f t="array" ref="L731">_xlfn.IFS(calls[[#This Row],[Duration]]&lt;=10,"under 10 mins",calls[[#This Row],[Duration]]&lt;=30,"10 to 30mins",calls[[#This Row],[Duration]]&lt;=60,"60 to 30mins",calls[[#This Row],[Duration]]&lt;=120,"1 to 2hrs",TRUE,"More than 2 hrs")</f>
        <v>1 to 2hrs</v>
      </c>
      <c r="M731">
        <f>ROUND(calls[[#This Row],[Satisfaction Rating]],0)</f>
        <v>5</v>
      </c>
      <c r="N731">
        <f>COUNTIF(calls[Customer ID], calls[[#This Row],[Customer ID]])</f>
        <v>79</v>
      </c>
      <c r="O731">
        <f>SUMIF(calls[Customer ID], calls[[#This Row],[Customer ID]], calls[Purchase Amount])</f>
        <v>7747</v>
      </c>
      <c r="P731">
        <f>calls[[#This Row],[call count]]/calls[[#This Row],[Purchase Amount]]</f>
        <v>0.73148148148148151</v>
      </c>
      <c r="Q731">
        <f>COUNTIF(calls[Customer ID],calls[[#This Row],[Customer ID]])</f>
        <v>79</v>
      </c>
      <c r="R731">
        <f>calls[[#This Row],[call count]]/calls[[#This Row],[Purchase Amount]]</f>
        <v>0.73148148148148151</v>
      </c>
    </row>
    <row r="732" spans="1:18" x14ac:dyDescent="0.4">
      <c r="A732" t="s">
        <v>762</v>
      </c>
      <c r="B732" t="s">
        <v>1</v>
      </c>
      <c r="C732">
        <v>110</v>
      </c>
      <c r="D732" s="4" t="s">
        <v>27</v>
      </c>
      <c r="E732" s="5">
        <v>45182</v>
      </c>
      <c r="F732">
        <v>180</v>
      </c>
      <c r="G732">
        <f>AVERAGEIF(calls[Representative], calls[[#This Row],[Representative]], calls[Satisfaction Rating])</f>
        <v>3.8589371980676304</v>
      </c>
      <c r="H732" t="str">
        <f>IF(AVERAGEIF(calls[Representative],calls[[#This Row],[Representative]],calls[Satisfaction Rating])&lt;3.5,"Needs Training","OK")</f>
        <v>OK</v>
      </c>
      <c r="I732">
        <v>4.2</v>
      </c>
      <c r="J732">
        <f>IF(MONTH(calls[[#This Row],[Date of Call]])&lt;=6, YEAR(calls[[#This Row],[Date of Call]]), YEAR(calls[[#This Row],[Date of Call]])+1)</f>
        <v>2024</v>
      </c>
      <c r="K732" t="str">
        <f>TEXT(calls[[#This Row],[Date of Call]],"DDDD")</f>
        <v>Wednesday</v>
      </c>
      <c r="L732" t="str" cm="1">
        <f t="array" ref="L732">_xlfn.IFS(calls[[#This Row],[Duration]]&lt;=10,"under 10 mins",calls[[#This Row],[Duration]]&lt;=30,"10 to 30mins",calls[[#This Row],[Duration]]&lt;=60,"60 to 30mins",calls[[#This Row],[Duration]]&lt;=120,"1 to 2hrs",TRUE,"More than 2 hrs")</f>
        <v>1 to 2hrs</v>
      </c>
      <c r="M732">
        <f>ROUND(calls[[#This Row],[Satisfaction Rating]],0)</f>
        <v>4</v>
      </c>
      <c r="N732">
        <f>COUNTIF(calls[Customer ID], calls[[#This Row],[Customer ID]])</f>
        <v>50</v>
      </c>
      <c r="O732">
        <f>SUMIF(calls[Customer ID], calls[[#This Row],[Customer ID]], calls[Purchase Amount])</f>
        <v>4804</v>
      </c>
      <c r="P732">
        <f>calls[[#This Row],[call count]]/calls[[#This Row],[Purchase Amount]]</f>
        <v>0.27777777777777779</v>
      </c>
      <c r="Q732">
        <f>COUNTIF(calls[Customer ID],calls[[#This Row],[Customer ID]])</f>
        <v>50</v>
      </c>
      <c r="R732">
        <f>calls[[#This Row],[call count]]/calls[[#This Row],[Purchase Amount]]</f>
        <v>0.27777777777777779</v>
      </c>
    </row>
    <row r="733" spans="1:18" x14ac:dyDescent="0.4">
      <c r="A733" t="s">
        <v>763</v>
      </c>
      <c r="B733" t="s">
        <v>30</v>
      </c>
      <c r="C733">
        <v>50</v>
      </c>
      <c r="D733" s="4" t="s">
        <v>14</v>
      </c>
      <c r="E733" s="5">
        <v>45183</v>
      </c>
      <c r="F733">
        <v>124</v>
      </c>
      <c r="G733">
        <f>AVERAGEIF(calls[Representative], calls[[#This Row],[Representative]], calls[Satisfaction Rating])</f>
        <v>3.9227513227513247</v>
      </c>
      <c r="H733" t="str">
        <f>IF(AVERAGEIF(calls[Representative],calls[[#This Row],[Representative]],calls[Satisfaction Rating])&lt;3.5,"Needs Training","OK")</f>
        <v>OK</v>
      </c>
      <c r="I733">
        <v>4</v>
      </c>
      <c r="J733">
        <f>IF(MONTH(calls[[#This Row],[Date of Call]])&lt;=6, YEAR(calls[[#This Row],[Date of Call]]), YEAR(calls[[#This Row],[Date of Call]])+1)</f>
        <v>2024</v>
      </c>
      <c r="K733" t="str">
        <f>TEXT(calls[[#This Row],[Date of Call]],"DDDD")</f>
        <v>Thursday</v>
      </c>
      <c r="L733" t="str" cm="1">
        <f t="array" ref="L733">_xlfn.IFS(calls[[#This Row],[Duration]]&lt;=10,"under 10 mins",calls[[#This Row],[Duration]]&lt;=30,"10 to 30mins",calls[[#This Row],[Duration]]&lt;=60,"60 to 30mins",calls[[#This Row],[Duration]]&lt;=120,"1 to 2hrs",TRUE,"More than 2 hrs")</f>
        <v>60 to 30mins</v>
      </c>
      <c r="M733">
        <f>ROUND(calls[[#This Row],[Satisfaction Rating]],0)</f>
        <v>4</v>
      </c>
      <c r="N733">
        <f>COUNTIF(calls[Customer ID], calls[[#This Row],[Customer ID]])</f>
        <v>69</v>
      </c>
      <c r="O733">
        <f>SUMIF(calls[Customer ID], calls[[#This Row],[Customer ID]], calls[Purchase Amount])</f>
        <v>7230</v>
      </c>
      <c r="P733">
        <f>calls[[#This Row],[call count]]/calls[[#This Row],[Purchase Amount]]</f>
        <v>0.55645161290322576</v>
      </c>
      <c r="Q733">
        <f>COUNTIF(calls[Customer ID],calls[[#This Row],[Customer ID]])</f>
        <v>69</v>
      </c>
      <c r="R733">
        <f>calls[[#This Row],[call count]]/calls[[#This Row],[Purchase Amount]]</f>
        <v>0.55645161290322576</v>
      </c>
    </row>
    <row r="734" spans="1:18" x14ac:dyDescent="0.4">
      <c r="A734" t="s">
        <v>764</v>
      </c>
      <c r="B734" t="s">
        <v>21</v>
      </c>
      <c r="C734">
        <v>78</v>
      </c>
      <c r="D734" s="4" t="s">
        <v>14</v>
      </c>
      <c r="E734" s="5">
        <v>45183</v>
      </c>
      <c r="F734">
        <v>23</v>
      </c>
      <c r="G734">
        <f>AVERAGEIF(calls[Representative], calls[[#This Row],[Representative]], calls[Satisfaction Rating])</f>
        <v>3.9227513227513247</v>
      </c>
      <c r="H734" t="str">
        <f>IF(AVERAGEIF(calls[Representative],calls[[#This Row],[Representative]],calls[Satisfaction Rating])&lt;3.5,"Needs Training","OK")</f>
        <v>OK</v>
      </c>
      <c r="I734">
        <v>4.2</v>
      </c>
      <c r="J734">
        <f>IF(MONTH(calls[[#This Row],[Date of Call]])&lt;=6, YEAR(calls[[#This Row],[Date of Call]]), YEAR(calls[[#This Row],[Date of Call]])+1)</f>
        <v>2024</v>
      </c>
      <c r="K734" t="str">
        <f>TEXT(calls[[#This Row],[Date of Call]],"DDDD")</f>
        <v>Thursday</v>
      </c>
      <c r="L734" t="str" cm="1">
        <f t="array" ref="L734">_xlfn.IFS(calls[[#This Row],[Duration]]&lt;=10,"under 10 mins",calls[[#This Row],[Duration]]&lt;=30,"10 to 30mins",calls[[#This Row],[Duration]]&lt;=60,"60 to 30mins",calls[[#This Row],[Duration]]&lt;=120,"1 to 2hrs",TRUE,"More than 2 hrs")</f>
        <v>1 to 2hrs</v>
      </c>
      <c r="M734">
        <f>ROUND(calls[[#This Row],[Satisfaction Rating]],0)</f>
        <v>4</v>
      </c>
      <c r="N734">
        <f>COUNTIF(calls[Customer ID], calls[[#This Row],[Customer ID]])</f>
        <v>67</v>
      </c>
      <c r="O734">
        <f>SUMIF(calls[Customer ID], calls[[#This Row],[Customer ID]], calls[Purchase Amount])</f>
        <v>7216</v>
      </c>
      <c r="P734">
        <f>calls[[#This Row],[call count]]/calls[[#This Row],[Purchase Amount]]</f>
        <v>2.9130434782608696</v>
      </c>
      <c r="Q734">
        <f>COUNTIF(calls[Customer ID],calls[[#This Row],[Customer ID]])</f>
        <v>67</v>
      </c>
      <c r="R734">
        <f>calls[[#This Row],[call count]]/calls[[#This Row],[Purchase Amount]]</f>
        <v>2.9130434782608696</v>
      </c>
    </row>
    <row r="735" spans="1:18" x14ac:dyDescent="0.4">
      <c r="A735" t="s">
        <v>765</v>
      </c>
      <c r="B735" t="s">
        <v>54</v>
      </c>
      <c r="C735">
        <v>59</v>
      </c>
      <c r="D735" s="4" t="s">
        <v>2</v>
      </c>
      <c r="E735" s="5">
        <v>45184</v>
      </c>
      <c r="F735">
        <v>24</v>
      </c>
      <c r="G735">
        <f>AVERAGEIF(calls[Representative], calls[[#This Row],[Representative]], calls[Satisfaction Rating])</f>
        <v>3.8824999999999998</v>
      </c>
      <c r="H735" t="str">
        <f>IF(AVERAGEIF(calls[Representative],calls[[#This Row],[Representative]],calls[Satisfaction Rating])&lt;3.5,"Needs Training","OK")</f>
        <v>OK</v>
      </c>
      <c r="I735">
        <v>4.8</v>
      </c>
      <c r="J735">
        <f>IF(MONTH(calls[[#This Row],[Date of Call]])&lt;=6, YEAR(calls[[#This Row],[Date of Call]]), YEAR(calls[[#This Row],[Date of Call]])+1)</f>
        <v>2024</v>
      </c>
      <c r="K735" t="str">
        <f>TEXT(calls[[#This Row],[Date of Call]],"DDDD")</f>
        <v>Friday</v>
      </c>
      <c r="L735" t="str" cm="1">
        <f t="array" ref="L735">_xlfn.IFS(calls[[#This Row],[Duration]]&lt;=10,"under 10 mins",calls[[#This Row],[Duration]]&lt;=30,"10 to 30mins",calls[[#This Row],[Duration]]&lt;=60,"60 to 30mins",calls[[#This Row],[Duration]]&lt;=120,"1 to 2hrs",TRUE,"More than 2 hrs")</f>
        <v>60 to 30mins</v>
      </c>
      <c r="M735">
        <f>ROUND(calls[[#This Row],[Satisfaction Rating]],0)</f>
        <v>5</v>
      </c>
      <c r="N735">
        <f>COUNTIF(calls[Customer ID], calls[[#This Row],[Customer ID]])</f>
        <v>70</v>
      </c>
      <c r="O735">
        <f>SUMIF(calls[Customer ID], calls[[#This Row],[Customer ID]], calls[Purchase Amount])</f>
        <v>6819</v>
      </c>
      <c r="P735">
        <f>calls[[#This Row],[call count]]/calls[[#This Row],[Purchase Amount]]</f>
        <v>2.9166666666666665</v>
      </c>
      <c r="Q735">
        <f>COUNTIF(calls[Customer ID],calls[[#This Row],[Customer ID]])</f>
        <v>70</v>
      </c>
      <c r="R735">
        <f>calls[[#This Row],[call count]]/calls[[#This Row],[Purchase Amount]]</f>
        <v>2.9166666666666665</v>
      </c>
    </row>
    <row r="736" spans="1:18" x14ac:dyDescent="0.4">
      <c r="A736" t="s">
        <v>766</v>
      </c>
      <c r="B736" t="s">
        <v>21</v>
      </c>
      <c r="C736">
        <v>126</v>
      </c>
      <c r="D736" s="4" t="s">
        <v>9</v>
      </c>
      <c r="E736" s="5">
        <v>45185</v>
      </c>
      <c r="F736">
        <v>52</v>
      </c>
      <c r="G736">
        <f>AVERAGEIF(calls[Representative], calls[[#This Row],[Representative]], calls[Satisfaction Rating])</f>
        <v>3.8706422018348627</v>
      </c>
      <c r="H736" t="str">
        <f>IF(AVERAGEIF(calls[Representative],calls[[#This Row],[Representative]],calls[Satisfaction Rating])&lt;3.5,"Needs Training","OK")</f>
        <v>OK</v>
      </c>
      <c r="I736">
        <v>1.1000000000000001</v>
      </c>
      <c r="J736">
        <f>IF(MONTH(calls[[#This Row],[Date of Call]])&lt;=6, YEAR(calls[[#This Row],[Date of Call]]), YEAR(calls[[#This Row],[Date of Call]])+1)</f>
        <v>2024</v>
      </c>
      <c r="K736" t="str">
        <f>TEXT(calls[[#This Row],[Date of Call]],"DDDD")</f>
        <v>Saturday</v>
      </c>
      <c r="L736" t="str" cm="1">
        <f t="array" ref="L736">_xlfn.IFS(calls[[#This Row],[Duration]]&lt;=10,"under 10 mins",calls[[#This Row],[Duration]]&lt;=30,"10 to 30mins",calls[[#This Row],[Duration]]&lt;=60,"60 to 30mins",calls[[#This Row],[Duration]]&lt;=120,"1 to 2hrs",TRUE,"More than 2 hrs")</f>
        <v>More than 2 hrs</v>
      </c>
      <c r="M736">
        <f>ROUND(calls[[#This Row],[Satisfaction Rating]],0)</f>
        <v>1</v>
      </c>
      <c r="N736">
        <f>COUNTIF(calls[Customer ID], calls[[#This Row],[Customer ID]])</f>
        <v>67</v>
      </c>
      <c r="O736">
        <f>SUMIF(calls[Customer ID], calls[[#This Row],[Customer ID]], calls[Purchase Amount])</f>
        <v>7216</v>
      </c>
      <c r="P736">
        <f>calls[[#This Row],[call count]]/calls[[#This Row],[Purchase Amount]]</f>
        <v>1.2884615384615385</v>
      </c>
      <c r="Q736">
        <f>COUNTIF(calls[Customer ID],calls[[#This Row],[Customer ID]])</f>
        <v>67</v>
      </c>
      <c r="R736">
        <f>calls[[#This Row],[call count]]/calls[[#This Row],[Purchase Amount]]</f>
        <v>1.2884615384615385</v>
      </c>
    </row>
    <row r="737" spans="1:18" x14ac:dyDescent="0.4">
      <c r="A737" t="s">
        <v>767</v>
      </c>
      <c r="B737" t="s">
        <v>8</v>
      </c>
      <c r="C737">
        <v>43</v>
      </c>
      <c r="D737" s="4" t="s">
        <v>2</v>
      </c>
      <c r="E737" s="5">
        <v>45186</v>
      </c>
      <c r="F737">
        <v>168</v>
      </c>
      <c r="G737">
        <f>AVERAGEIF(calls[Representative], calls[[#This Row],[Representative]], calls[Satisfaction Rating])</f>
        <v>3.8824999999999998</v>
      </c>
      <c r="H737" t="str">
        <f>IF(AVERAGEIF(calls[Representative],calls[[#This Row],[Representative]],calls[Satisfaction Rating])&lt;3.5,"Needs Training","OK")</f>
        <v>OK</v>
      </c>
      <c r="I737">
        <v>4</v>
      </c>
      <c r="J737">
        <f>IF(MONTH(calls[[#This Row],[Date of Call]])&lt;=6, YEAR(calls[[#This Row],[Date of Call]]), YEAR(calls[[#This Row],[Date of Call]])+1)</f>
        <v>2024</v>
      </c>
      <c r="K737" t="str">
        <f>TEXT(calls[[#This Row],[Date of Call]],"DDDD")</f>
        <v>Sunday</v>
      </c>
      <c r="L737" t="str" cm="1">
        <f t="array" ref="L737">_xlfn.IFS(calls[[#This Row],[Duration]]&lt;=10,"under 10 mins",calls[[#This Row],[Duration]]&lt;=30,"10 to 30mins",calls[[#This Row],[Duration]]&lt;=60,"60 to 30mins",calls[[#This Row],[Duration]]&lt;=120,"1 to 2hrs",TRUE,"More than 2 hrs")</f>
        <v>60 to 30mins</v>
      </c>
      <c r="M737">
        <f>ROUND(calls[[#This Row],[Satisfaction Rating]],0)</f>
        <v>4</v>
      </c>
      <c r="N737">
        <f>COUNTIF(calls[Customer ID], calls[[#This Row],[Customer ID]])</f>
        <v>79</v>
      </c>
      <c r="O737">
        <f>SUMIF(calls[Customer ID], calls[[#This Row],[Customer ID]], calls[Purchase Amount])</f>
        <v>7747</v>
      </c>
      <c r="P737">
        <f>calls[[#This Row],[call count]]/calls[[#This Row],[Purchase Amount]]</f>
        <v>0.47023809523809523</v>
      </c>
      <c r="Q737">
        <f>COUNTIF(calls[Customer ID],calls[[#This Row],[Customer ID]])</f>
        <v>79</v>
      </c>
      <c r="R737">
        <f>calls[[#This Row],[call count]]/calls[[#This Row],[Purchase Amount]]</f>
        <v>0.47023809523809523</v>
      </c>
    </row>
    <row r="738" spans="1:18" x14ac:dyDescent="0.4">
      <c r="A738" t="s">
        <v>768</v>
      </c>
      <c r="B738" t="s">
        <v>64</v>
      </c>
      <c r="C738">
        <v>79</v>
      </c>
      <c r="D738" s="4" t="s">
        <v>27</v>
      </c>
      <c r="E738" s="5">
        <v>45188</v>
      </c>
      <c r="F738">
        <v>125</v>
      </c>
      <c r="G738">
        <f>AVERAGEIF(calls[Representative], calls[[#This Row],[Representative]], calls[Satisfaction Rating])</f>
        <v>3.8589371980676304</v>
      </c>
      <c r="H738" t="str">
        <f>IF(AVERAGEIF(calls[Representative],calls[[#This Row],[Representative]],calls[Satisfaction Rating])&lt;3.5,"Needs Training","OK")</f>
        <v>OK</v>
      </c>
      <c r="I738">
        <v>4.8</v>
      </c>
      <c r="J738">
        <f>IF(MONTH(calls[[#This Row],[Date of Call]])&lt;=6, YEAR(calls[[#This Row],[Date of Call]]), YEAR(calls[[#This Row],[Date of Call]])+1)</f>
        <v>2024</v>
      </c>
      <c r="K738" t="str">
        <f>TEXT(calls[[#This Row],[Date of Call]],"DDDD")</f>
        <v>Tuesday</v>
      </c>
      <c r="L738" t="str" cm="1">
        <f t="array" ref="L738">_xlfn.IFS(calls[[#This Row],[Duration]]&lt;=10,"under 10 mins",calls[[#This Row],[Duration]]&lt;=30,"10 to 30mins",calls[[#This Row],[Duration]]&lt;=60,"60 to 30mins",calls[[#This Row],[Duration]]&lt;=120,"1 to 2hrs",TRUE,"More than 2 hrs")</f>
        <v>1 to 2hrs</v>
      </c>
      <c r="M738">
        <f>ROUND(calls[[#This Row],[Satisfaction Rating]],0)</f>
        <v>5</v>
      </c>
      <c r="N738">
        <f>COUNTIF(calls[Customer ID], calls[[#This Row],[Customer ID]])</f>
        <v>65</v>
      </c>
      <c r="O738">
        <f>SUMIF(calls[Customer ID], calls[[#This Row],[Customer ID]], calls[Purchase Amount])</f>
        <v>6785</v>
      </c>
      <c r="P738">
        <f>calls[[#This Row],[call count]]/calls[[#This Row],[Purchase Amount]]</f>
        <v>0.52</v>
      </c>
      <c r="Q738">
        <f>COUNTIF(calls[Customer ID],calls[[#This Row],[Customer ID]])</f>
        <v>65</v>
      </c>
      <c r="R738">
        <f>calls[[#This Row],[call count]]/calls[[#This Row],[Purchase Amount]]</f>
        <v>0.52</v>
      </c>
    </row>
    <row r="739" spans="1:18" x14ac:dyDescent="0.4">
      <c r="A739" t="s">
        <v>769</v>
      </c>
      <c r="B739" t="s">
        <v>1</v>
      </c>
      <c r="C739">
        <v>71</v>
      </c>
      <c r="D739" s="4" t="s">
        <v>2</v>
      </c>
      <c r="E739" s="5">
        <v>45189</v>
      </c>
      <c r="F739">
        <v>50</v>
      </c>
      <c r="G739">
        <f>AVERAGEIF(calls[Representative], calls[[#This Row],[Representative]], calls[Satisfaction Rating])</f>
        <v>3.8824999999999998</v>
      </c>
      <c r="H739" t="str">
        <f>IF(AVERAGEIF(calls[Representative],calls[[#This Row],[Representative]],calls[Satisfaction Rating])&lt;3.5,"Needs Training","OK")</f>
        <v>OK</v>
      </c>
      <c r="I739">
        <v>4.2</v>
      </c>
      <c r="J739">
        <f>IF(MONTH(calls[[#This Row],[Date of Call]])&lt;=6, YEAR(calls[[#This Row],[Date of Call]]), YEAR(calls[[#This Row],[Date of Call]])+1)</f>
        <v>2024</v>
      </c>
      <c r="K739" t="str">
        <f>TEXT(calls[[#This Row],[Date of Call]],"DDDD")</f>
        <v>Wednesday</v>
      </c>
      <c r="L739" t="str" cm="1">
        <f t="array" ref="L739">_xlfn.IFS(calls[[#This Row],[Duration]]&lt;=10,"under 10 mins",calls[[#This Row],[Duration]]&lt;=30,"10 to 30mins",calls[[#This Row],[Duration]]&lt;=60,"60 to 30mins",calls[[#This Row],[Duration]]&lt;=120,"1 to 2hrs",TRUE,"More than 2 hrs")</f>
        <v>1 to 2hrs</v>
      </c>
      <c r="M739">
        <f>ROUND(calls[[#This Row],[Satisfaction Rating]],0)</f>
        <v>4</v>
      </c>
      <c r="N739">
        <f>COUNTIF(calls[Customer ID], calls[[#This Row],[Customer ID]])</f>
        <v>50</v>
      </c>
      <c r="O739">
        <f>SUMIF(calls[Customer ID], calls[[#This Row],[Customer ID]], calls[Purchase Amount])</f>
        <v>4804</v>
      </c>
      <c r="P739">
        <f>calls[[#This Row],[call count]]/calls[[#This Row],[Purchase Amount]]</f>
        <v>1</v>
      </c>
      <c r="Q739">
        <f>COUNTIF(calls[Customer ID],calls[[#This Row],[Customer ID]])</f>
        <v>50</v>
      </c>
      <c r="R739">
        <f>calls[[#This Row],[call count]]/calls[[#This Row],[Purchase Amount]]</f>
        <v>1</v>
      </c>
    </row>
    <row r="740" spans="1:18" x14ac:dyDescent="0.4">
      <c r="A740" t="s">
        <v>770</v>
      </c>
      <c r="B740" t="s">
        <v>40</v>
      </c>
      <c r="C740">
        <v>94</v>
      </c>
      <c r="D740" s="4" t="s">
        <v>9</v>
      </c>
      <c r="E740" s="5">
        <v>45190</v>
      </c>
      <c r="F740">
        <v>220</v>
      </c>
      <c r="G740">
        <f>AVERAGEIF(calls[Representative], calls[[#This Row],[Representative]], calls[Satisfaction Rating])</f>
        <v>3.8706422018348627</v>
      </c>
      <c r="H740" t="str">
        <f>IF(AVERAGEIF(calls[Representative],calls[[#This Row],[Representative]],calls[Satisfaction Rating])&lt;3.5,"Needs Training","OK")</f>
        <v>OK</v>
      </c>
      <c r="I740">
        <v>4.5999999999999996</v>
      </c>
      <c r="J740">
        <f>IF(MONTH(calls[[#This Row],[Date of Call]])&lt;=6, YEAR(calls[[#This Row],[Date of Call]]), YEAR(calls[[#This Row],[Date of Call]])+1)</f>
        <v>2024</v>
      </c>
      <c r="K740" t="str">
        <f>TEXT(calls[[#This Row],[Date of Call]],"DDDD")</f>
        <v>Thursday</v>
      </c>
      <c r="L740" t="str" cm="1">
        <f t="array" ref="L740">_xlfn.IFS(calls[[#This Row],[Duration]]&lt;=10,"under 10 mins",calls[[#This Row],[Duration]]&lt;=30,"10 to 30mins",calls[[#This Row],[Duration]]&lt;=60,"60 to 30mins",calls[[#This Row],[Duration]]&lt;=120,"1 to 2hrs",TRUE,"More than 2 hrs")</f>
        <v>1 to 2hrs</v>
      </c>
      <c r="M740">
        <f>ROUND(calls[[#This Row],[Satisfaction Rating]],0)</f>
        <v>5</v>
      </c>
      <c r="N740">
        <f>COUNTIF(calls[Customer ID], calls[[#This Row],[Customer ID]])</f>
        <v>69</v>
      </c>
      <c r="O740">
        <f>SUMIF(calls[Customer ID], calls[[#This Row],[Customer ID]], calls[Purchase Amount])</f>
        <v>6601</v>
      </c>
      <c r="P740">
        <f>calls[[#This Row],[call count]]/calls[[#This Row],[Purchase Amount]]</f>
        <v>0.31363636363636366</v>
      </c>
      <c r="Q740">
        <f>COUNTIF(calls[Customer ID],calls[[#This Row],[Customer ID]])</f>
        <v>69</v>
      </c>
      <c r="R740">
        <f>calls[[#This Row],[call count]]/calls[[#This Row],[Purchase Amount]]</f>
        <v>0.31363636363636366</v>
      </c>
    </row>
    <row r="741" spans="1:18" x14ac:dyDescent="0.4">
      <c r="A741" t="s">
        <v>771</v>
      </c>
      <c r="B741" t="s">
        <v>26</v>
      </c>
      <c r="C741">
        <v>108</v>
      </c>
      <c r="D741" s="4" t="s">
        <v>2</v>
      </c>
      <c r="E741" s="5">
        <v>45190</v>
      </c>
      <c r="F741">
        <v>180</v>
      </c>
      <c r="G741">
        <f>AVERAGEIF(calls[Representative], calls[[#This Row],[Representative]], calls[Satisfaction Rating])</f>
        <v>3.8824999999999998</v>
      </c>
      <c r="H741" t="str">
        <f>IF(AVERAGEIF(calls[Representative],calls[[#This Row],[Representative]],calls[Satisfaction Rating])&lt;3.5,"Needs Training","OK")</f>
        <v>OK</v>
      </c>
      <c r="I741">
        <v>4</v>
      </c>
      <c r="J741">
        <f>IF(MONTH(calls[[#This Row],[Date of Call]])&lt;=6, YEAR(calls[[#This Row],[Date of Call]]), YEAR(calls[[#This Row],[Date of Call]])+1)</f>
        <v>2024</v>
      </c>
      <c r="K741" t="str">
        <f>TEXT(calls[[#This Row],[Date of Call]],"DDDD")</f>
        <v>Thursday</v>
      </c>
      <c r="L741" t="str" cm="1">
        <f t="array" ref="L741">_xlfn.IFS(calls[[#This Row],[Duration]]&lt;=10,"under 10 mins",calls[[#This Row],[Duration]]&lt;=30,"10 to 30mins",calls[[#This Row],[Duration]]&lt;=60,"60 to 30mins",calls[[#This Row],[Duration]]&lt;=120,"1 to 2hrs",TRUE,"More than 2 hrs")</f>
        <v>1 to 2hrs</v>
      </c>
      <c r="M741">
        <f>ROUND(calls[[#This Row],[Satisfaction Rating]],0)</f>
        <v>4</v>
      </c>
      <c r="N741">
        <f>COUNTIF(calls[Customer ID], calls[[#This Row],[Customer ID]])</f>
        <v>72</v>
      </c>
      <c r="O741">
        <f>SUMIF(calls[Customer ID], calls[[#This Row],[Customer ID]], calls[Purchase Amount])</f>
        <v>6242</v>
      </c>
      <c r="P741">
        <f>calls[[#This Row],[call count]]/calls[[#This Row],[Purchase Amount]]</f>
        <v>0.4</v>
      </c>
      <c r="Q741">
        <f>COUNTIF(calls[Customer ID],calls[[#This Row],[Customer ID]])</f>
        <v>72</v>
      </c>
      <c r="R741">
        <f>calls[[#This Row],[call count]]/calls[[#This Row],[Purchase Amount]]</f>
        <v>0.4</v>
      </c>
    </row>
    <row r="742" spans="1:18" x14ac:dyDescent="0.4">
      <c r="A742" t="s">
        <v>772</v>
      </c>
      <c r="B742" t="s">
        <v>8</v>
      </c>
      <c r="C742">
        <v>76</v>
      </c>
      <c r="D742" s="4" t="s">
        <v>9</v>
      </c>
      <c r="E742" s="5">
        <v>45190</v>
      </c>
      <c r="F742">
        <v>110</v>
      </c>
      <c r="G742">
        <f>AVERAGEIF(calls[Representative], calls[[#This Row],[Representative]], calls[Satisfaction Rating])</f>
        <v>3.8706422018348627</v>
      </c>
      <c r="H742" t="str">
        <f>IF(AVERAGEIF(calls[Representative],calls[[#This Row],[Representative]],calls[Satisfaction Rating])&lt;3.5,"Needs Training","OK")</f>
        <v>OK</v>
      </c>
      <c r="I742">
        <v>3.9</v>
      </c>
      <c r="J742">
        <f>IF(MONTH(calls[[#This Row],[Date of Call]])&lt;=6, YEAR(calls[[#This Row],[Date of Call]]), YEAR(calls[[#This Row],[Date of Call]])+1)</f>
        <v>2024</v>
      </c>
      <c r="K742" t="str">
        <f>TEXT(calls[[#This Row],[Date of Call]],"DDDD")</f>
        <v>Thursday</v>
      </c>
      <c r="L742" t="str" cm="1">
        <f t="array" ref="L742">_xlfn.IFS(calls[[#This Row],[Duration]]&lt;=10,"under 10 mins",calls[[#This Row],[Duration]]&lt;=30,"10 to 30mins",calls[[#This Row],[Duration]]&lt;=60,"60 to 30mins",calls[[#This Row],[Duration]]&lt;=120,"1 to 2hrs",TRUE,"More than 2 hrs")</f>
        <v>1 to 2hrs</v>
      </c>
      <c r="M742">
        <f>ROUND(calls[[#This Row],[Satisfaction Rating]],0)</f>
        <v>4</v>
      </c>
      <c r="N742">
        <f>COUNTIF(calls[Customer ID], calls[[#This Row],[Customer ID]])</f>
        <v>79</v>
      </c>
      <c r="O742">
        <f>SUMIF(calls[Customer ID], calls[[#This Row],[Customer ID]], calls[Purchase Amount])</f>
        <v>7747</v>
      </c>
      <c r="P742">
        <f>calls[[#This Row],[call count]]/calls[[#This Row],[Purchase Amount]]</f>
        <v>0.71818181818181814</v>
      </c>
      <c r="Q742">
        <f>COUNTIF(calls[Customer ID],calls[[#This Row],[Customer ID]])</f>
        <v>79</v>
      </c>
      <c r="R742">
        <f>calls[[#This Row],[call count]]/calls[[#This Row],[Purchase Amount]]</f>
        <v>0.71818181818181814</v>
      </c>
    </row>
    <row r="743" spans="1:18" x14ac:dyDescent="0.4">
      <c r="A743" t="s">
        <v>773</v>
      </c>
      <c r="B743" t="s">
        <v>54</v>
      </c>
      <c r="C743">
        <v>136</v>
      </c>
      <c r="D743" s="4" t="s">
        <v>2</v>
      </c>
      <c r="E743" s="5">
        <v>45190</v>
      </c>
      <c r="F743">
        <v>36</v>
      </c>
      <c r="G743">
        <f>AVERAGEIF(calls[Representative], calls[[#This Row],[Representative]], calls[Satisfaction Rating])</f>
        <v>3.8824999999999998</v>
      </c>
      <c r="H743" t="str">
        <f>IF(AVERAGEIF(calls[Representative],calls[[#This Row],[Representative]],calls[Satisfaction Rating])&lt;3.5,"Needs Training","OK")</f>
        <v>OK</v>
      </c>
      <c r="I743">
        <v>2.8</v>
      </c>
      <c r="J743">
        <f>IF(MONTH(calls[[#This Row],[Date of Call]])&lt;=6, YEAR(calls[[#This Row],[Date of Call]]), YEAR(calls[[#This Row],[Date of Call]])+1)</f>
        <v>2024</v>
      </c>
      <c r="K743" t="str">
        <f>TEXT(calls[[#This Row],[Date of Call]],"DDDD")</f>
        <v>Thursday</v>
      </c>
      <c r="L743" t="str" cm="1">
        <f t="array" ref="L743">_xlfn.IFS(calls[[#This Row],[Duration]]&lt;=10,"under 10 mins",calls[[#This Row],[Duration]]&lt;=30,"10 to 30mins",calls[[#This Row],[Duration]]&lt;=60,"60 to 30mins",calls[[#This Row],[Duration]]&lt;=120,"1 to 2hrs",TRUE,"More than 2 hrs")</f>
        <v>More than 2 hrs</v>
      </c>
      <c r="M743">
        <f>ROUND(calls[[#This Row],[Satisfaction Rating]],0)</f>
        <v>3</v>
      </c>
      <c r="N743">
        <f>COUNTIF(calls[Customer ID], calls[[#This Row],[Customer ID]])</f>
        <v>70</v>
      </c>
      <c r="O743">
        <f>SUMIF(calls[Customer ID], calls[[#This Row],[Customer ID]], calls[Purchase Amount])</f>
        <v>6819</v>
      </c>
      <c r="P743">
        <f>calls[[#This Row],[call count]]/calls[[#This Row],[Purchase Amount]]</f>
        <v>1.9444444444444444</v>
      </c>
      <c r="Q743">
        <f>COUNTIF(calls[Customer ID],calls[[#This Row],[Customer ID]])</f>
        <v>70</v>
      </c>
      <c r="R743">
        <f>calls[[#This Row],[call count]]/calls[[#This Row],[Purchase Amount]]</f>
        <v>1.9444444444444444</v>
      </c>
    </row>
    <row r="744" spans="1:18" x14ac:dyDescent="0.4">
      <c r="A744" t="s">
        <v>774</v>
      </c>
      <c r="B744" t="s">
        <v>6</v>
      </c>
      <c r="C744">
        <v>129</v>
      </c>
      <c r="D744" s="4" t="s">
        <v>14</v>
      </c>
      <c r="E744" s="5">
        <v>45191</v>
      </c>
      <c r="F744">
        <v>93</v>
      </c>
      <c r="G744">
        <f>AVERAGEIF(calls[Representative], calls[[#This Row],[Representative]], calls[Satisfaction Rating])</f>
        <v>3.9227513227513247</v>
      </c>
      <c r="H744" t="str">
        <f>IF(AVERAGEIF(calls[Representative],calls[[#This Row],[Representative]],calls[Satisfaction Rating])&lt;3.5,"Needs Training","OK")</f>
        <v>OK</v>
      </c>
      <c r="I744">
        <v>4.7</v>
      </c>
      <c r="J744">
        <f>IF(MONTH(calls[[#This Row],[Date of Call]])&lt;=6, YEAR(calls[[#This Row],[Date of Call]]), YEAR(calls[[#This Row],[Date of Call]])+1)</f>
        <v>2024</v>
      </c>
      <c r="K744" t="str">
        <f>TEXT(calls[[#This Row],[Date of Call]],"DDDD")</f>
        <v>Friday</v>
      </c>
      <c r="L744" t="str" cm="1">
        <f t="array" ref="L744">_xlfn.IFS(calls[[#This Row],[Duration]]&lt;=10,"under 10 mins",calls[[#This Row],[Duration]]&lt;=30,"10 to 30mins",calls[[#This Row],[Duration]]&lt;=60,"60 to 30mins",calls[[#This Row],[Duration]]&lt;=120,"1 to 2hrs",TRUE,"More than 2 hrs")</f>
        <v>More than 2 hrs</v>
      </c>
      <c r="M744">
        <f>ROUND(calls[[#This Row],[Satisfaction Rating]],0)</f>
        <v>5</v>
      </c>
      <c r="N744">
        <f>COUNTIF(calls[Customer ID], calls[[#This Row],[Customer ID]])</f>
        <v>82</v>
      </c>
      <c r="O744">
        <f>SUMIF(calls[Customer ID], calls[[#This Row],[Customer ID]], calls[Purchase Amount])</f>
        <v>7689</v>
      </c>
      <c r="P744">
        <f>calls[[#This Row],[call count]]/calls[[#This Row],[Purchase Amount]]</f>
        <v>0.88172043010752688</v>
      </c>
      <c r="Q744">
        <f>COUNTIF(calls[Customer ID],calls[[#This Row],[Customer ID]])</f>
        <v>82</v>
      </c>
      <c r="R744">
        <f>calls[[#This Row],[call count]]/calls[[#This Row],[Purchase Amount]]</f>
        <v>0.88172043010752688</v>
      </c>
    </row>
    <row r="745" spans="1:18" x14ac:dyDescent="0.4">
      <c r="A745" t="s">
        <v>775</v>
      </c>
      <c r="B745" t="s">
        <v>26</v>
      </c>
      <c r="C745">
        <v>120</v>
      </c>
      <c r="D745" s="4" t="s">
        <v>2</v>
      </c>
      <c r="E745" s="5">
        <v>45191</v>
      </c>
      <c r="F745">
        <v>38</v>
      </c>
      <c r="G745">
        <f>AVERAGEIF(calls[Representative], calls[[#This Row],[Representative]], calls[Satisfaction Rating])</f>
        <v>3.8824999999999998</v>
      </c>
      <c r="H745" t="str">
        <f>IF(AVERAGEIF(calls[Representative],calls[[#This Row],[Representative]],calls[Satisfaction Rating])&lt;3.5,"Needs Training","OK")</f>
        <v>OK</v>
      </c>
      <c r="I745">
        <v>4.2</v>
      </c>
      <c r="J745">
        <f>IF(MONTH(calls[[#This Row],[Date of Call]])&lt;=6, YEAR(calls[[#This Row],[Date of Call]]), YEAR(calls[[#This Row],[Date of Call]])+1)</f>
        <v>2024</v>
      </c>
      <c r="K745" t="str">
        <f>TEXT(calls[[#This Row],[Date of Call]],"DDDD")</f>
        <v>Friday</v>
      </c>
      <c r="L745" t="str" cm="1">
        <f t="array" ref="L745">_xlfn.IFS(calls[[#This Row],[Duration]]&lt;=10,"under 10 mins",calls[[#This Row],[Duration]]&lt;=30,"10 to 30mins",calls[[#This Row],[Duration]]&lt;=60,"60 to 30mins",calls[[#This Row],[Duration]]&lt;=120,"1 to 2hrs",TRUE,"More than 2 hrs")</f>
        <v>1 to 2hrs</v>
      </c>
      <c r="M745">
        <f>ROUND(calls[[#This Row],[Satisfaction Rating]],0)</f>
        <v>4</v>
      </c>
      <c r="N745">
        <f>COUNTIF(calls[Customer ID], calls[[#This Row],[Customer ID]])</f>
        <v>72</v>
      </c>
      <c r="O745">
        <f>SUMIF(calls[Customer ID], calls[[#This Row],[Customer ID]], calls[Purchase Amount])</f>
        <v>6242</v>
      </c>
      <c r="P745">
        <f>calls[[#This Row],[call count]]/calls[[#This Row],[Purchase Amount]]</f>
        <v>1.8947368421052631</v>
      </c>
      <c r="Q745">
        <f>COUNTIF(calls[Customer ID],calls[[#This Row],[Customer ID]])</f>
        <v>72</v>
      </c>
      <c r="R745">
        <f>calls[[#This Row],[call count]]/calls[[#This Row],[Purchase Amount]]</f>
        <v>1.8947368421052631</v>
      </c>
    </row>
    <row r="746" spans="1:18" x14ac:dyDescent="0.4">
      <c r="A746" t="s">
        <v>776</v>
      </c>
      <c r="B746" t="s">
        <v>8</v>
      </c>
      <c r="C746">
        <v>108</v>
      </c>
      <c r="D746" s="4" t="s">
        <v>14</v>
      </c>
      <c r="E746" s="5">
        <v>45192</v>
      </c>
      <c r="F746">
        <v>66</v>
      </c>
      <c r="G746">
        <f>AVERAGEIF(calls[Representative], calls[[#This Row],[Representative]], calls[Satisfaction Rating])</f>
        <v>3.9227513227513247</v>
      </c>
      <c r="H746" t="str">
        <f>IF(AVERAGEIF(calls[Representative],calls[[#This Row],[Representative]],calls[Satisfaction Rating])&lt;3.5,"Needs Training","OK")</f>
        <v>OK</v>
      </c>
      <c r="I746">
        <v>3.9</v>
      </c>
      <c r="J746">
        <f>IF(MONTH(calls[[#This Row],[Date of Call]])&lt;=6, YEAR(calls[[#This Row],[Date of Call]]), YEAR(calls[[#This Row],[Date of Call]])+1)</f>
        <v>2024</v>
      </c>
      <c r="K746" t="str">
        <f>TEXT(calls[[#This Row],[Date of Call]],"DDDD")</f>
        <v>Saturday</v>
      </c>
      <c r="L746" t="str" cm="1">
        <f t="array" ref="L746">_xlfn.IFS(calls[[#This Row],[Duration]]&lt;=10,"under 10 mins",calls[[#This Row],[Duration]]&lt;=30,"10 to 30mins",calls[[#This Row],[Duration]]&lt;=60,"60 to 30mins",calls[[#This Row],[Duration]]&lt;=120,"1 to 2hrs",TRUE,"More than 2 hrs")</f>
        <v>1 to 2hrs</v>
      </c>
      <c r="M746">
        <f>ROUND(calls[[#This Row],[Satisfaction Rating]],0)</f>
        <v>4</v>
      </c>
      <c r="N746">
        <f>COUNTIF(calls[Customer ID], calls[[#This Row],[Customer ID]])</f>
        <v>79</v>
      </c>
      <c r="O746">
        <f>SUMIF(calls[Customer ID], calls[[#This Row],[Customer ID]], calls[Purchase Amount])</f>
        <v>7747</v>
      </c>
      <c r="P746">
        <f>calls[[#This Row],[call count]]/calls[[#This Row],[Purchase Amount]]</f>
        <v>1.196969696969697</v>
      </c>
      <c r="Q746">
        <f>COUNTIF(calls[Customer ID],calls[[#This Row],[Customer ID]])</f>
        <v>79</v>
      </c>
      <c r="R746">
        <f>calls[[#This Row],[call count]]/calls[[#This Row],[Purchase Amount]]</f>
        <v>1.196969696969697</v>
      </c>
    </row>
    <row r="747" spans="1:18" x14ac:dyDescent="0.4">
      <c r="A747" t="s">
        <v>777</v>
      </c>
      <c r="B747" t="s">
        <v>21</v>
      </c>
      <c r="C747">
        <v>79</v>
      </c>
      <c r="D747" s="4" t="s">
        <v>2</v>
      </c>
      <c r="E747" s="5">
        <v>45192</v>
      </c>
      <c r="F747">
        <v>215</v>
      </c>
      <c r="G747">
        <f>AVERAGEIF(calls[Representative], calls[[#This Row],[Representative]], calls[Satisfaction Rating])</f>
        <v>3.8824999999999998</v>
      </c>
      <c r="H747" t="str">
        <f>IF(AVERAGEIF(calls[Representative],calls[[#This Row],[Representative]],calls[Satisfaction Rating])&lt;3.5,"Needs Training","OK")</f>
        <v>OK</v>
      </c>
      <c r="I747">
        <v>4.5999999999999996</v>
      </c>
      <c r="J747">
        <f>IF(MONTH(calls[[#This Row],[Date of Call]])&lt;=6, YEAR(calls[[#This Row],[Date of Call]]), YEAR(calls[[#This Row],[Date of Call]])+1)</f>
        <v>2024</v>
      </c>
      <c r="K747" t="str">
        <f>TEXT(calls[[#This Row],[Date of Call]],"DDDD")</f>
        <v>Saturday</v>
      </c>
      <c r="L747" t="str" cm="1">
        <f t="array" ref="L747">_xlfn.IFS(calls[[#This Row],[Duration]]&lt;=10,"under 10 mins",calls[[#This Row],[Duration]]&lt;=30,"10 to 30mins",calls[[#This Row],[Duration]]&lt;=60,"60 to 30mins",calls[[#This Row],[Duration]]&lt;=120,"1 to 2hrs",TRUE,"More than 2 hrs")</f>
        <v>1 to 2hrs</v>
      </c>
      <c r="M747">
        <f>ROUND(calls[[#This Row],[Satisfaction Rating]],0)</f>
        <v>5</v>
      </c>
      <c r="N747">
        <f>COUNTIF(calls[Customer ID], calls[[#This Row],[Customer ID]])</f>
        <v>67</v>
      </c>
      <c r="O747">
        <f>SUMIF(calls[Customer ID], calls[[#This Row],[Customer ID]], calls[Purchase Amount])</f>
        <v>7216</v>
      </c>
      <c r="P747">
        <f>calls[[#This Row],[call count]]/calls[[#This Row],[Purchase Amount]]</f>
        <v>0.3116279069767442</v>
      </c>
      <c r="Q747">
        <f>COUNTIF(calls[Customer ID],calls[[#This Row],[Customer ID]])</f>
        <v>67</v>
      </c>
      <c r="R747">
        <f>calls[[#This Row],[call count]]/calls[[#This Row],[Purchase Amount]]</f>
        <v>0.3116279069767442</v>
      </c>
    </row>
    <row r="748" spans="1:18" x14ac:dyDescent="0.4">
      <c r="A748" t="s">
        <v>778</v>
      </c>
      <c r="B748" t="s">
        <v>21</v>
      </c>
      <c r="C748">
        <v>45</v>
      </c>
      <c r="D748" s="4" t="s">
        <v>14</v>
      </c>
      <c r="E748" s="5">
        <v>45192</v>
      </c>
      <c r="F748">
        <v>92</v>
      </c>
      <c r="G748">
        <f>AVERAGEIF(calls[Representative], calls[[#This Row],[Representative]], calls[Satisfaction Rating])</f>
        <v>3.9227513227513247</v>
      </c>
      <c r="H748" t="str">
        <f>IF(AVERAGEIF(calls[Representative],calls[[#This Row],[Representative]],calls[Satisfaction Rating])&lt;3.5,"Needs Training","OK")</f>
        <v>OK</v>
      </c>
      <c r="I748">
        <v>4.3</v>
      </c>
      <c r="J748">
        <f>IF(MONTH(calls[[#This Row],[Date of Call]])&lt;=6, YEAR(calls[[#This Row],[Date of Call]]), YEAR(calls[[#This Row],[Date of Call]])+1)</f>
        <v>2024</v>
      </c>
      <c r="K748" t="str">
        <f>TEXT(calls[[#This Row],[Date of Call]],"DDDD")</f>
        <v>Saturday</v>
      </c>
      <c r="L748" t="str" cm="1">
        <f t="array" ref="L748">_xlfn.IFS(calls[[#This Row],[Duration]]&lt;=10,"under 10 mins",calls[[#This Row],[Duration]]&lt;=30,"10 to 30mins",calls[[#This Row],[Duration]]&lt;=60,"60 to 30mins",calls[[#This Row],[Duration]]&lt;=120,"1 to 2hrs",TRUE,"More than 2 hrs")</f>
        <v>60 to 30mins</v>
      </c>
      <c r="M748">
        <f>ROUND(calls[[#This Row],[Satisfaction Rating]],0)</f>
        <v>4</v>
      </c>
      <c r="N748">
        <f>COUNTIF(calls[Customer ID], calls[[#This Row],[Customer ID]])</f>
        <v>67</v>
      </c>
      <c r="O748">
        <f>SUMIF(calls[Customer ID], calls[[#This Row],[Customer ID]], calls[Purchase Amount])</f>
        <v>7216</v>
      </c>
      <c r="P748">
        <f>calls[[#This Row],[call count]]/calls[[#This Row],[Purchase Amount]]</f>
        <v>0.72826086956521741</v>
      </c>
      <c r="Q748">
        <f>COUNTIF(calls[Customer ID],calls[[#This Row],[Customer ID]])</f>
        <v>67</v>
      </c>
      <c r="R748">
        <f>calls[[#This Row],[call count]]/calls[[#This Row],[Purchase Amount]]</f>
        <v>0.72826086956521741</v>
      </c>
    </row>
    <row r="749" spans="1:18" x14ac:dyDescent="0.4">
      <c r="A749" t="s">
        <v>779</v>
      </c>
      <c r="B749" t="s">
        <v>13</v>
      </c>
      <c r="C749">
        <v>96</v>
      </c>
      <c r="D749" s="4" t="s">
        <v>2</v>
      </c>
      <c r="E749" s="5">
        <v>45192</v>
      </c>
      <c r="F749">
        <v>80</v>
      </c>
      <c r="G749">
        <f>AVERAGEIF(calls[Representative], calls[[#This Row],[Representative]], calls[Satisfaction Rating])</f>
        <v>3.8824999999999998</v>
      </c>
      <c r="H749" t="str">
        <f>IF(AVERAGEIF(calls[Representative],calls[[#This Row],[Representative]],calls[Satisfaction Rating])&lt;3.5,"Needs Training","OK")</f>
        <v>OK</v>
      </c>
      <c r="I749">
        <v>3.6</v>
      </c>
      <c r="J749">
        <f>IF(MONTH(calls[[#This Row],[Date of Call]])&lt;=6, YEAR(calls[[#This Row],[Date of Call]]), YEAR(calls[[#This Row],[Date of Call]])+1)</f>
        <v>2024</v>
      </c>
      <c r="K749" t="str">
        <f>TEXT(calls[[#This Row],[Date of Call]],"DDDD")</f>
        <v>Saturday</v>
      </c>
      <c r="L749" t="str" cm="1">
        <f t="array" ref="L749">_xlfn.IFS(calls[[#This Row],[Duration]]&lt;=10,"under 10 mins",calls[[#This Row],[Duration]]&lt;=30,"10 to 30mins",calls[[#This Row],[Duration]]&lt;=60,"60 to 30mins",calls[[#This Row],[Duration]]&lt;=120,"1 to 2hrs",TRUE,"More than 2 hrs")</f>
        <v>1 to 2hrs</v>
      </c>
      <c r="M749">
        <f>ROUND(calls[[#This Row],[Satisfaction Rating]],0)</f>
        <v>4</v>
      </c>
      <c r="N749">
        <f>COUNTIF(calls[Customer ID], calls[[#This Row],[Customer ID]])</f>
        <v>74</v>
      </c>
      <c r="O749">
        <f>SUMIF(calls[Customer ID], calls[[#This Row],[Customer ID]], calls[Purchase Amount])</f>
        <v>6749</v>
      </c>
      <c r="P749">
        <f>calls[[#This Row],[call count]]/calls[[#This Row],[Purchase Amount]]</f>
        <v>0.92500000000000004</v>
      </c>
      <c r="Q749">
        <f>COUNTIF(calls[Customer ID],calls[[#This Row],[Customer ID]])</f>
        <v>74</v>
      </c>
      <c r="R749">
        <f>calls[[#This Row],[call count]]/calls[[#This Row],[Purchase Amount]]</f>
        <v>0.92500000000000004</v>
      </c>
    </row>
    <row r="750" spans="1:18" x14ac:dyDescent="0.4">
      <c r="A750" t="s">
        <v>780</v>
      </c>
      <c r="B750" t="s">
        <v>13</v>
      </c>
      <c r="C750">
        <v>81</v>
      </c>
      <c r="D750" s="4" t="s">
        <v>2</v>
      </c>
      <c r="E750" s="5">
        <v>45193</v>
      </c>
      <c r="F750">
        <v>123</v>
      </c>
      <c r="G750">
        <f>AVERAGEIF(calls[Representative], calls[[#This Row],[Representative]], calls[Satisfaction Rating])</f>
        <v>3.8824999999999998</v>
      </c>
      <c r="H750" t="str">
        <f>IF(AVERAGEIF(calls[Representative],calls[[#This Row],[Representative]],calls[Satisfaction Rating])&lt;3.5,"Needs Training","OK")</f>
        <v>OK</v>
      </c>
      <c r="I750">
        <v>4.9000000000000004</v>
      </c>
      <c r="J750">
        <f>IF(MONTH(calls[[#This Row],[Date of Call]])&lt;=6, YEAR(calls[[#This Row],[Date of Call]]), YEAR(calls[[#This Row],[Date of Call]])+1)</f>
        <v>2024</v>
      </c>
      <c r="K750" t="str">
        <f>TEXT(calls[[#This Row],[Date of Call]],"DDDD")</f>
        <v>Sunday</v>
      </c>
      <c r="L750" t="str" cm="1">
        <f t="array" ref="L750">_xlfn.IFS(calls[[#This Row],[Duration]]&lt;=10,"under 10 mins",calls[[#This Row],[Duration]]&lt;=30,"10 to 30mins",calls[[#This Row],[Duration]]&lt;=60,"60 to 30mins",calls[[#This Row],[Duration]]&lt;=120,"1 to 2hrs",TRUE,"More than 2 hrs")</f>
        <v>1 to 2hrs</v>
      </c>
      <c r="M750">
        <f>ROUND(calls[[#This Row],[Satisfaction Rating]],0)</f>
        <v>5</v>
      </c>
      <c r="N750">
        <f>COUNTIF(calls[Customer ID], calls[[#This Row],[Customer ID]])</f>
        <v>74</v>
      </c>
      <c r="O750">
        <f>SUMIF(calls[Customer ID], calls[[#This Row],[Customer ID]], calls[Purchase Amount])</f>
        <v>6749</v>
      </c>
      <c r="P750">
        <f>calls[[#This Row],[call count]]/calls[[#This Row],[Purchase Amount]]</f>
        <v>0.60162601626016265</v>
      </c>
      <c r="Q750">
        <f>COUNTIF(calls[Customer ID],calls[[#This Row],[Customer ID]])</f>
        <v>74</v>
      </c>
      <c r="R750">
        <f>calls[[#This Row],[call count]]/calls[[#This Row],[Purchase Amount]]</f>
        <v>0.60162601626016265</v>
      </c>
    </row>
    <row r="751" spans="1:18" x14ac:dyDescent="0.4">
      <c r="A751" t="s">
        <v>781</v>
      </c>
      <c r="B751" t="s">
        <v>54</v>
      </c>
      <c r="C751">
        <v>95</v>
      </c>
      <c r="D751" s="4" t="s">
        <v>23</v>
      </c>
      <c r="E751" s="5">
        <v>45193</v>
      </c>
      <c r="F751">
        <v>23</v>
      </c>
      <c r="G751">
        <f>AVERAGEIF(calls[Representative], calls[[#This Row],[Representative]], calls[Satisfaction Rating])</f>
        <v>3.8973118279569863</v>
      </c>
      <c r="H751" t="str">
        <f>IF(AVERAGEIF(calls[Representative],calls[[#This Row],[Representative]],calls[Satisfaction Rating])&lt;3.5,"Needs Training","OK")</f>
        <v>OK</v>
      </c>
      <c r="I751">
        <v>2.4</v>
      </c>
      <c r="J751">
        <f>IF(MONTH(calls[[#This Row],[Date of Call]])&lt;=6, YEAR(calls[[#This Row],[Date of Call]]), YEAR(calls[[#This Row],[Date of Call]])+1)</f>
        <v>2024</v>
      </c>
      <c r="K751" t="str">
        <f>TEXT(calls[[#This Row],[Date of Call]],"DDDD")</f>
        <v>Sunday</v>
      </c>
      <c r="L751" t="str" cm="1">
        <f t="array" ref="L751">_xlfn.IFS(calls[[#This Row],[Duration]]&lt;=10,"under 10 mins",calls[[#This Row],[Duration]]&lt;=30,"10 to 30mins",calls[[#This Row],[Duration]]&lt;=60,"60 to 30mins",calls[[#This Row],[Duration]]&lt;=120,"1 to 2hrs",TRUE,"More than 2 hrs")</f>
        <v>1 to 2hrs</v>
      </c>
      <c r="M751">
        <f>ROUND(calls[[#This Row],[Satisfaction Rating]],0)</f>
        <v>2</v>
      </c>
      <c r="N751">
        <f>COUNTIF(calls[Customer ID], calls[[#This Row],[Customer ID]])</f>
        <v>70</v>
      </c>
      <c r="O751">
        <f>SUMIF(calls[Customer ID], calls[[#This Row],[Customer ID]], calls[Purchase Amount])</f>
        <v>6819</v>
      </c>
      <c r="P751">
        <f>calls[[#This Row],[call count]]/calls[[#This Row],[Purchase Amount]]</f>
        <v>3.0434782608695654</v>
      </c>
      <c r="Q751">
        <f>COUNTIF(calls[Customer ID],calls[[#This Row],[Customer ID]])</f>
        <v>70</v>
      </c>
      <c r="R751">
        <f>calls[[#This Row],[call count]]/calls[[#This Row],[Purchase Amount]]</f>
        <v>3.0434782608695654</v>
      </c>
    </row>
    <row r="752" spans="1:18" x14ac:dyDescent="0.4">
      <c r="A752" t="s">
        <v>782</v>
      </c>
      <c r="B752" t="s">
        <v>51</v>
      </c>
      <c r="C752">
        <v>159</v>
      </c>
      <c r="D752" s="4" t="s">
        <v>9</v>
      </c>
      <c r="E752" s="5">
        <v>45193</v>
      </c>
      <c r="F752">
        <v>63</v>
      </c>
      <c r="G752">
        <f>AVERAGEIF(calls[Representative], calls[[#This Row],[Representative]], calls[Satisfaction Rating])</f>
        <v>3.8706422018348627</v>
      </c>
      <c r="H752" t="str">
        <f>IF(AVERAGEIF(calls[Representative],calls[[#This Row],[Representative]],calls[Satisfaction Rating])&lt;3.5,"Needs Training","OK")</f>
        <v>OK</v>
      </c>
      <c r="I752">
        <v>4.2</v>
      </c>
      <c r="J752">
        <f>IF(MONTH(calls[[#This Row],[Date of Call]])&lt;=6, YEAR(calls[[#This Row],[Date of Call]]), YEAR(calls[[#This Row],[Date of Call]])+1)</f>
        <v>2024</v>
      </c>
      <c r="K752" t="str">
        <f>TEXT(calls[[#This Row],[Date of Call]],"DDDD")</f>
        <v>Sunday</v>
      </c>
      <c r="L752" t="str" cm="1">
        <f t="array" ref="L752">_xlfn.IFS(calls[[#This Row],[Duration]]&lt;=10,"under 10 mins",calls[[#This Row],[Duration]]&lt;=30,"10 to 30mins",calls[[#This Row],[Duration]]&lt;=60,"60 to 30mins",calls[[#This Row],[Duration]]&lt;=120,"1 to 2hrs",TRUE,"More than 2 hrs")</f>
        <v>More than 2 hrs</v>
      </c>
      <c r="M752">
        <f>ROUND(calls[[#This Row],[Satisfaction Rating]],0)</f>
        <v>4</v>
      </c>
      <c r="N752">
        <f>COUNTIF(calls[Customer ID], calls[[#This Row],[Customer ID]])</f>
        <v>59</v>
      </c>
      <c r="O752">
        <f>SUMIF(calls[Customer ID], calls[[#This Row],[Customer ID]], calls[Purchase Amount])</f>
        <v>6518</v>
      </c>
      <c r="P752">
        <f>calls[[#This Row],[call count]]/calls[[#This Row],[Purchase Amount]]</f>
        <v>0.93650793650793651</v>
      </c>
      <c r="Q752">
        <f>COUNTIF(calls[Customer ID],calls[[#This Row],[Customer ID]])</f>
        <v>59</v>
      </c>
      <c r="R752">
        <f>calls[[#This Row],[call count]]/calls[[#This Row],[Purchase Amount]]</f>
        <v>0.93650793650793651</v>
      </c>
    </row>
    <row r="753" spans="1:18" x14ac:dyDescent="0.4">
      <c r="A753" t="s">
        <v>783</v>
      </c>
      <c r="B753" t="s">
        <v>84</v>
      </c>
      <c r="C753">
        <v>109</v>
      </c>
      <c r="D753" s="4" t="s">
        <v>27</v>
      </c>
      <c r="E753" s="5">
        <v>45193</v>
      </c>
      <c r="F753">
        <v>52</v>
      </c>
      <c r="G753">
        <f>AVERAGEIF(calls[Representative], calls[[#This Row],[Representative]], calls[Satisfaction Rating])</f>
        <v>3.8589371980676304</v>
      </c>
      <c r="H753" t="str">
        <f>IF(AVERAGEIF(calls[Representative],calls[[#This Row],[Representative]],calls[Satisfaction Rating])&lt;3.5,"Needs Training","OK")</f>
        <v>OK</v>
      </c>
      <c r="I753">
        <v>3.9</v>
      </c>
      <c r="J753">
        <f>IF(MONTH(calls[[#This Row],[Date of Call]])&lt;=6, YEAR(calls[[#This Row],[Date of Call]]), YEAR(calls[[#This Row],[Date of Call]])+1)</f>
        <v>2024</v>
      </c>
      <c r="K753" t="str">
        <f>TEXT(calls[[#This Row],[Date of Call]],"DDDD")</f>
        <v>Sunday</v>
      </c>
      <c r="L753" t="str" cm="1">
        <f t="array" ref="L753">_xlfn.IFS(calls[[#This Row],[Duration]]&lt;=10,"under 10 mins",calls[[#This Row],[Duration]]&lt;=30,"10 to 30mins",calls[[#This Row],[Duration]]&lt;=60,"60 to 30mins",calls[[#This Row],[Duration]]&lt;=120,"1 to 2hrs",TRUE,"More than 2 hrs")</f>
        <v>1 to 2hrs</v>
      </c>
      <c r="M753">
        <f>ROUND(calls[[#This Row],[Satisfaction Rating]],0)</f>
        <v>4</v>
      </c>
      <c r="N753">
        <f>COUNTIF(calls[Customer ID], calls[[#This Row],[Customer ID]])</f>
        <v>59</v>
      </c>
      <c r="O753">
        <f>SUMIF(calls[Customer ID], calls[[#This Row],[Customer ID]], calls[Purchase Amount])</f>
        <v>5009</v>
      </c>
      <c r="P753">
        <f>calls[[#This Row],[call count]]/calls[[#This Row],[Purchase Amount]]</f>
        <v>1.1346153846153846</v>
      </c>
      <c r="Q753">
        <f>COUNTIF(calls[Customer ID],calls[[#This Row],[Customer ID]])</f>
        <v>59</v>
      </c>
      <c r="R753">
        <f>calls[[#This Row],[call count]]/calls[[#This Row],[Purchase Amount]]</f>
        <v>1.1346153846153846</v>
      </c>
    </row>
    <row r="754" spans="1:18" x14ac:dyDescent="0.4">
      <c r="A754" t="s">
        <v>784</v>
      </c>
      <c r="B754" t="s">
        <v>21</v>
      </c>
      <c r="C754">
        <v>107</v>
      </c>
      <c r="D754" s="4" t="s">
        <v>27</v>
      </c>
      <c r="E754" s="5">
        <v>45193</v>
      </c>
      <c r="F754">
        <v>60</v>
      </c>
      <c r="G754">
        <f>AVERAGEIF(calls[Representative], calls[[#This Row],[Representative]], calls[Satisfaction Rating])</f>
        <v>3.8589371980676304</v>
      </c>
      <c r="H754" t="str">
        <f>IF(AVERAGEIF(calls[Representative],calls[[#This Row],[Representative]],calls[Satisfaction Rating])&lt;3.5,"Needs Training","OK")</f>
        <v>OK</v>
      </c>
      <c r="I754">
        <v>4.2</v>
      </c>
      <c r="J754">
        <f>IF(MONTH(calls[[#This Row],[Date of Call]])&lt;=6, YEAR(calls[[#This Row],[Date of Call]]), YEAR(calls[[#This Row],[Date of Call]])+1)</f>
        <v>2024</v>
      </c>
      <c r="K754" t="str">
        <f>TEXT(calls[[#This Row],[Date of Call]],"DDDD")</f>
        <v>Sunday</v>
      </c>
      <c r="L754" t="str" cm="1">
        <f t="array" ref="L754">_xlfn.IFS(calls[[#This Row],[Duration]]&lt;=10,"under 10 mins",calls[[#This Row],[Duration]]&lt;=30,"10 to 30mins",calls[[#This Row],[Duration]]&lt;=60,"60 to 30mins",calls[[#This Row],[Duration]]&lt;=120,"1 to 2hrs",TRUE,"More than 2 hrs")</f>
        <v>1 to 2hrs</v>
      </c>
      <c r="M754">
        <f>ROUND(calls[[#This Row],[Satisfaction Rating]],0)</f>
        <v>4</v>
      </c>
      <c r="N754">
        <f>COUNTIF(calls[Customer ID], calls[[#This Row],[Customer ID]])</f>
        <v>67</v>
      </c>
      <c r="O754">
        <f>SUMIF(calls[Customer ID], calls[[#This Row],[Customer ID]], calls[Purchase Amount])</f>
        <v>7216</v>
      </c>
      <c r="P754">
        <f>calls[[#This Row],[call count]]/calls[[#This Row],[Purchase Amount]]</f>
        <v>1.1166666666666667</v>
      </c>
      <c r="Q754">
        <f>COUNTIF(calls[Customer ID],calls[[#This Row],[Customer ID]])</f>
        <v>67</v>
      </c>
      <c r="R754">
        <f>calls[[#This Row],[call count]]/calls[[#This Row],[Purchase Amount]]</f>
        <v>1.1166666666666667</v>
      </c>
    </row>
    <row r="755" spans="1:18" x14ac:dyDescent="0.4">
      <c r="A755" t="s">
        <v>785</v>
      </c>
      <c r="B755" t="s">
        <v>13</v>
      </c>
      <c r="C755">
        <v>67</v>
      </c>
      <c r="D755" s="4" t="s">
        <v>14</v>
      </c>
      <c r="E755" s="5">
        <v>45194</v>
      </c>
      <c r="F755">
        <v>87</v>
      </c>
      <c r="G755">
        <f>AVERAGEIF(calls[Representative], calls[[#This Row],[Representative]], calls[Satisfaction Rating])</f>
        <v>3.9227513227513247</v>
      </c>
      <c r="H755" t="str">
        <f>IF(AVERAGEIF(calls[Representative],calls[[#This Row],[Representative]],calls[Satisfaction Rating])&lt;3.5,"Needs Training","OK")</f>
        <v>OK</v>
      </c>
      <c r="I755">
        <v>3.9</v>
      </c>
      <c r="J755">
        <f>IF(MONTH(calls[[#This Row],[Date of Call]])&lt;=6, YEAR(calls[[#This Row],[Date of Call]]), YEAR(calls[[#This Row],[Date of Call]])+1)</f>
        <v>2024</v>
      </c>
      <c r="K755" t="str">
        <f>TEXT(calls[[#This Row],[Date of Call]],"DDDD")</f>
        <v>Monday</v>
      </c>
      <c r="L755" t="str" cm="1">
        <f t="array" ref="L755">_xlfn.IFS(calls[[#This Row],[Duration]]&lt;=10,"under 10 mins",calls[[#This Row],[Duration]]&lt;=30,"10 to 30mins",calls[[#This Row],[Duration]]&lt;=60,"60 to 30mins",calls[[#This Row],[Duration]]&lt;=120,"1 to 2hrs",TRUE,"More than 2 hrs")</f>
        <v>1 to 2hrs</v>
      </c>
      <c r="M755">
        <f>ROUND(calls[[#This Row],[Satisfaction Rating]],0)</f>
        <v>4</v>
      </c>
      <c r="N755">
        <f>COUNTIF(calls[Customer ID], calls[[#This Row],[Customer ID]])</f>
        <v>74</v>
      </c>
      <c r="O755">
        <f>SUMIF(calls[Customer ID], calls[[#This Row],[Customer ID]], calls[Purchase Amount])</f>
        <v>6749</v>
      </c>
      <c r="P755">
        <f>calls[[#This Row],[call count]]/calls[[#This Row],[Purchase Amount]]</f>
        <v>0.85057471264367812</v>
      </c>
      <c r="Q755">
        <f>COUNTIF(calls[Customer ID],calls[[#This Row],[Customer ID]])</f>
        <v>74</v>
      </c>
      <c r="R755">
        <f>calls[[#This Row],[call count]]/calls[[#This Row],[Purchase Amount]]</f>
        <v>0.85057471264367812</v>
      </c>
    </row>
    <row r="756" spans="1:18" x14ac:dyDescent="0.4">
      <c r="A756" t="s">
        <v>786</v>
      </c>
      <c r="B756" t="s">
        <v>32</v>
      </c>
      <c r="C756">
        <v>96</v>
      </c>
      <c r="D756" s="4" t="s">
        <v>2</v>
      </c>
      <c r="E756" s="5">
        <v>45195</v>
      </c>
      <c r="F756">
        <v>42</v>
      </c>
      <c r="G756">
        <f>AVERAGEIF(calls[Representative], calls[[#This Row],[Representative]], calls[Satisfaction Rating])</f>
        <v>3.8824999999999998</v>
      </c>
      <c r="H756" t="str">
        <f>IF(AVERAGEIF(calls[Representative],calls[[#This Row],[Representative]],calls[Satisfaction Rating])&lt;3.5,"Needs Training","OK")</f>
        <v>OK</v>
      </c>
      <c r="I756">
        <v>4.5</v>
      </c>
      <c r="J756">
        <f>IF(MONTH(calls[[#This Row],[Date of Call]])&lt;=6, YEAR(calls[[#This Row],[Date of Call]]), YEAR(calls[[#This Row],[Date of Call]])+1)</f>
        <v>2024</v>
      </c>
      <c r="K756" t="str">
        <f>TEXT(calls[[#This Row],[Date of Call]],"DDDD")</f>
        <v>Tuesday</v>
      </c>
      <c r="L756" t="str" cm="1">
        <f t="array" ref="L756">_xlfn.IFS(calls[[#This Row],[Duration]]&lt;=10,"under 10 mins",calls[[#This Row],[Duration]]&lt;=30,"10 to 30mins",calls[[#This Row],[Duration]]&lt;=60,"60 to 30mins",calls[[#This Row],[Duration]]&lt;=120,"1 to 2hrs",TRUE,"More than 2 hrs")</f>
        <v>1 to 2hrs</v>
      </c>
      <c r="M756">
        <f>ROUND(calls[[#This Row],[Satisfaction Rating]],0)</f>
        <v>5</v>
      </c>
      <c r="N756">
        <f>COUNTIF(calls[Customer ID], calls[[#This Row],[Customer ID]])</f>
        <v>63</v>
      </c>
      <c r="O756">
        <f>SUMIF(calls[Customer ID], calls[[#This Row],[Customer ID]], calls[Purchase Amount])</f>
        <v>5634</v>
      </c>
      <c r="P756">
        <f>calls[[#This Row],[call count]]/calls[[#This Row],[Purchase Amount]]</f>
        <v>1.5</v>
      </c>
      <c r="Q756">
        <f>COUNTIF(calls[Customer ID],calls[[#This Row],[Customer ID]])</f>
        <v>63</v>
      </c>
      <c r="R756">
        <f>calls[[#This Row],[call count]]/calls[[#This Row],[Purchase Amount]]</f>
        <v>1.5</v>
      </c>
    </row>
    <row r="757" spans="1:18" x14ac:dyDescent="0.4">
      <c r="A757" t="s">
        <v>787</v>
      </c>
      <c r="B757" t="s">
        <v>44</v>
      </c>
      <c r="C757">
        <v>142</v>
      </c>
      <c r="D757" s="4" t="s">
        <v>9</v>
      </c>
      <c r="E757" s="5">
        <v>45196</v>
      </c>
      <c r="F757">
        <v>37</v>
      </c>
      <c r="G757">
        <f>AVERAGEIF(calls[Representative], calls[[#This Row],[Representative]], calls[Satisfaction Rating])</f>
        <v>3.8706422018348627</v>
      </c>
      <c r="H757" t="str">
        <f>IF(AVERAGEIF(calls[Representative],calls[[#This Row],[Representative]],calls[Satisfaction Rating])&lt;3.5,"Needs Training","OK")</f>
        <v>OK</v>
      </c>
      <c r="I757">
        <v>3.8</v>
      </c>
      <c r="J757">
        <f>IF(MONTH(calls[[#This Row],[Date of Call]])&lt;=6, YEAR(calls[[#This Row],[Date of Call]]), YEAR(calls[[#This Row],[Date of Call]])+1)</f>
        <v>2024</v>
      </c>
      <c r="K757" t="str">
        <f>TEXT(calls[[#This Row],[Date of Call]],"DDDD")</f>
        <v>Wednesday</v>
      </c>
      <c r="L757" t="str" cm="1">
        <f t="array" ref="L757">_xlfn.IFS(calls[[#This Row],[Duration]]&lt;=10,"under 10 mins",calls[[#This Row],[Duration]]&lt;=30,"10 to 30mins",calls[[#This Row],[Duration]]&lt;=60,"60 to 30mins",calls[[#This Row],[Duration]]&lt;=120,"1 to 2hrs",TRUE,"More than 2 hrs")</f>
        <v>More than 2 hrs</v>
      </c>
      <c r="M757">
        <f>ROUND(calls[[#This Row],[Satisfaction Rating]],0)</f>
        <v>4</v>
      </c>
      <c r="N757">
        <f>COUNTIF(calls[Customer ID], calls[[#This Row],[Customer ID]])</f>
        <v>62</v>
      </c>
      <c r="O757">
        <f>SUMIF(calls[Customer ID], calls[[#This Row],[Customer ID]], calls[Purchase Amount])</f>
        <v>6176</v>
      </c>
      <c r="P757">
        <f>calls[[#This Row],[call count]]/calls[[#This Row],[Purchase Amount]]</f>
        <v>1.6756756756756757</v>
      </c>
      <c r="Q757">
        <f>COUNTIF(calls[Customer ID],calls[[#This Row],[Customer ID]])</f>
        <v>62</v>
      </c>
      <c r="R757">
        <f>calls[[#This Row],[call count]]/calls[[#This Row],[Purchase Amount]]</f>
        <v>1.6756756756756757</v>
      </c>
    </row>
    <row r="758" spans="1:18" x14ac:dyDescent="0.4">
      <c r="A758" t="s">
        <v>788</v>
      </c>
      <c r="B758" t="s">
        <v>44</v>
      </c>
      <c r="C758">
        <v>71</v>
      </c>
      <c r="D758" s="4" t="s">
        <v>23</v>
      </c>
      <c r="E758" s="5">
        <v>45196</v>
      </c>
      <c r="F758">
        <v>135</v>
      </c>
      <c r="G758">
        <f>AVERAGEIF(calls[Representative], calls[[#This Row],[Representative]], calls[Satisfaction Rating])</f>
        <v>3.8973118279569863</v>
      </c>
      <c r="H758" t="str">
        <f>IF(AVERAGEIF(calls[Representative],calls[[#This Row],[Representative]],calls[Satisfaction Rating])&lt;3.5,"Needs Training","OK")</f>
        <v>OK</v>
      </c>
      <c r="I758">
        <v>3.9</v>
      </c>
      <c r="J758">
        <f>IF(MONTH(calls[[#This Row],[Date of Call]])&lt;=6, YEAR(calls[[#This Row],[Date of Call]]), YEAR(calls[[#This Row],[Date of Call]])+1)</f>
        <v>2024</v>
      </c>
      <c r="K758" t="str">
        <f>TEXT(calls[[#This Row],[Date of Call]],"DDDD")</f>
        <v>Wednesday</v>
      </c>
      <c r="L758" t="str" cm="1">
        <f t="array" ref="L758">_xlfn.IFS(calls[[#This Row],[Duration]]&lt;=10,"under 10 mins",calls[[#This Row],[Duration]]&lt;=30,"10 to 30mins",calls[[#This Row],[Duration]]&lt;=60,"60 to 30mins",calls[[#This Row],[Duration]]&lt;=120,"1 to 2hrs",TRUE,"More than 2 hrs")</f>
        <v>1 to 2hrs</v>
      </c>
      <c r="M758">
        <f>ROUND(calls[[#This Row],[Satisfaction Rating]],0)</f>
        <v>4</v>
      </c>
      <c r="N758">
        <f>COUNTIF(calls[Customer ID], calls[[#This Row],[Customer ID]])</f>
        <v>62</v>
      </c>
      <c r="O758">
        <f>SUMIF(calls[Customer ID], calls[[#This Row],[Customer ID]], calls[Purchase Amount])</f>
        <v>6176</v>
      </c>
      <c r="P758">
        <f>calls[[#This Row],[call count]]/calls[[#This Row],[Purchase Amount]]</f>
        <v>0.45925925925925926</v>
      </c>
      <c r="Q758">
        <f>COUNTIF(calls[Customer ID],calls[[#This Row],[Customer ID]])</f>
        <v>62</v>
      </c>
      <c r="R758">
        <f>calls[[#This Row],[call count]]/calls[[#This Row],[Purchase Amount]]</f>
        <v>0.45925925925925926</v>
      </c>
    </row>
    <row r="759" spans="1:18" x14ac:dyDescent="0.4">
      <c r="A759" t="s">
        <v>789</v>
      </c>
      <c r="B759" t="s">
        <v>32</v>
      </c>
      <c r="C759">
        <v>152</v>
      </c>
      <c r="D759" s="4" t="s">
        <v>23</v>
      </c>
      <c r="E759" s="5">
        <v>45196</v>
      </c>
      <c r="F759">
        <v>88</v>
      </c>
      <c r="G759">
        <f>AVERAGEIF(calls[Representative], calls[[#This Row],[Representative]], calls[Satisfaction Rating])</f>
        <v>3.8973118279569863</v>
      </c>
      <c r="H759" t="str">
        <f>IF(AVERAGEIF(calls[Representative],calls[[#This Row],[Representative]],calls[Satisfaction Rating])&lt;3.5,"Needs Training","OK")</f>
        <v>OK</v>
      </c>
      <c r="I759">
        <v>4.7</v>
      </c>
      <c r="J759">
        <f>IF(MONTH(calls[[#This Row],[Date of Call]])&lt;=6, YEAR(calls[[#This Row],[Date of Call]]), YEAR(calls[[#This Row],[Date of Call]])+1)</f>
        <v>2024</v>
      </c>
      <c r="K759" t="str">
        <f>TEXT(calls[[#This Row],[Date of Call]],"DDDD")</f>
        <v>Wednesday</v>
      </c>
      <c r="L759" t="str" cm="1">
        <f t="array" ref="L759">_xlfn.IFS(calls[[#This Row],[Duration]]&lt;=10,"under 10 mins",calls[[#This Row],[Duration]]&lt;=30,"10 to 30mins",calls[[#This Row],[Duration]]&lt;=60,"60 to 30mins",calls[[#This Row],[Duration]]&lt;=120,"1 to 2hrs",TRUE,"More than 2 hrs")</f>
        <v>More than 2 hrs</v>
      </c>
      <c r="M759">
        <f>ROUND(calls[[#This Row],[Satisfaction Rating]],0)</f>
        <v>5</v>
      </c>
      <c r="N759">
        <f>COUNTIF(calls[Customer ID], calls[[#This Row],[Customer ID]])</f>
        <v>63</v>
      </c>
      <c r="O759">
        <f>SUMIF(calls[Customer ID], calls[[#This Row],[Customer ID]], calls[Purchase Amount])</f>
        <v>5634</v>
      </c>
      <c r="P759">
        <f>calls[[#This Row],[call count]]/calls[[#This Row],[Purchase Amount]]</f>
        <v>0.71590909090909094</v>
      </c>
      <c r="Q759">
        <f>COUNTIF(calls[Customer ID],calls[[#This Row],[Customer ID]])</f>
        <v>63</v>
      </c>
      <c r="R759">
        <f>calls[[#This Row],[call count]]/calls[[#This Row],[Purchase Amount]]</f>
        <v>0.71590909090909094</v>
      </c>
    </row>
    <row r="760" spans="1:18" x14ac:dyDescent="0.4">
      <c r="A760" t="s">
        <v>790</v>
      </c>
      <c r="B760" t="s">
        <v>64</v>
      </c>
      <c r="C760">
        <v>108</v>
      </c>
      <c r="D760" s="4" t="s">
        <v>9</v>
      </c>
      <c r="E760" s="5">
        <v>45196</v>
      </c>
      <c r="F760">
        <v>190</v>
      </c>
      <c r="G760">
        <f>AVERAGEIF(calls[Representative], calls[[#This Row],[Representative]], calls[Satisfaction Rating])</f>
        <v>3.8706422018348627</v>
      </c>
      <c r="H760" t="str">
        <f>IF(AVERAGEIF(calls[Representative],calls[[#This Row],[Representative]],calls[Satisfaction Rating])&lt;3.5,"Needs Training","OK")</f>
        <v>OK</v>
      </c>
      <c r="I760">
        <v>3.2</v>
      </c>
      <c r="J760">
        <f>IF(MONTH(calls[[#This Row],[Date of Call]])&lt;=6, YEAR(calls[[#This Row],[Date of Call]]), YEAR(calls[[#This Row],[Date of Call]])+1)</f>
        <v>2024</v>
      </c>
      <c r="K760" t="str">
        <f>TEXT(calls[[#This Row],[Date of Call]],"DDDD")</f>
        <v>Wednesday</v>
      </c>
      <c r="L760" t="str" cm="1">
        <f t="array" ref="L760">_xlfn.IFS(calls[[#This Row],[Duration]]&lt;=10,"under 10 mins",calls[[#This Row],[Duration]]&lt;=30,"10 to 30mins",calls[[#This Row],[Duration]]&lt;=60,"60 to 30mins",calls[[#This Row],[Duration]]&lt;=120,"1 to 2hrs",TRUE,"More than 2 hrs")</f>
        <v>1 to 2hrs</v>
      </c>
      <c r="M760">
        <f>ROUND(calls[[#This Row],[Satisfaction Rating]],0)</f>
        <v>3</v>
      </c>
      <c r="N760">
        <f>COUNTIF(calls[Customer ID], calls[[#This Row],[Customer ID]])</f>
        <v>65</v>
      </c>
      <c r="O760">
        <f>SUMIF(calls[Customer ID], calls[[#This Row],[Customer ID]], calls[Purchase Amount])</f>
        <v>6785</v>
      </c>
      <c r="P760">
        <f>calls[[#This Row],[call count]]/calls[[#This Row],[Purchase Amount]]</f>
        <v>0.34210526315789475</v>
      </c>
      <c r="Q760">
        <f>COUNTIF(calls[Customer ID],calls[[#This Row],[Customer ID]])</f>
        <v>65</v>
      </c>
      <c r="R760">
        <f>calls[[#This Row],[call count]]/calls[[#This Row],[Purchase Amount]]</f>
        <v>0.34210526315789475</v>
      </c>
    </row>
    <row r="761" spans="1:18" x14ac:dyDescent="0.4">
      <c r="A761" t="s">
        <v>791</v>
      </c>
      <c r="B761" t="s">
        <v>64</v>
      </c>
      <c r="C761">
        <v>156</v>
      </c>
      <c r="D761" s="4" t="s">
        <v>23</v>
      </c>
      <c r="E761" s="5">
        <v>45196</v>
      </c>
      <c r="F761">
        <v>81</v>
      </c>
      <c r="G761">
        <f>AVERAGEIF(calls[Representative], calls[[#This Row],[Representative]], calls[Satisfaction Rating])</f>
        <v>3.8973118279569863</v>
      </c>
      <c r="H761" t="str">
        <f>IF(AVERAGEIF(calls[Representative],calls[[#This Row],[Representative]],calls[Satisfaction Rating])&lt;3.5,"Needs Training","OK")</f>
        <v>OK</v>
      </c>
      <c r="I761">
        <v>5</v>
      </c>
      <c r="J761">
        <f>IF(MONTH(calls[[#This Row],[Date of Call]])&lt;=6, YEAR(calls[[#This Row],[Date of Call]]), YEAR(calls[[#This Row],[Date of Call]])+1)</f>
        <v>2024</v>
      </c>
      <c r="K761" t="str">
        <f>TEXT(calls[[#This Row],[Date of Call]],"DDDD")</f>
        <v>Wednesday</v>
      </c>
      <c r="L761" t="str" cm="1">
        <f t="array" ref="L761">_xlfn.IFS(calls[[#This Row],[Duration]]&lt;=10,"under 10 mins",calls[[#This Row],[Duration]]&lt;=30,"10 to 30mins",calls[[#This Row],[Duration]]&lt;=60,"60 to 30mins",calls[[#This Row],[Duration]]&lt;=120,"1 to 2hrs",TRUE,"More than 2 hrs")</f>
        <v>More than 2 hrs</v>
      </c>
      <c r="M761">
        <f>ROUND(calls[[#This Row],[Satisfaction Rating]],0)</f>
        <v>5</v>
      </c>
      <c r="N761">
        <f>COUNTIF(calls[Customer ID], calls[[#This Row],[Customer ID]])</f>
        <v>65</v>
      </c>
      <c r="O761">
        <f>SUMIF(calls[Customer ID], calls[[#This Row],[Customer ID]], calls[Purchase Amount])</f>
        <v>6785</v>
      </c>
      <c r="P761">
        <f>calls[[#This Row],[call count]]/calls[[#This Row],[Purchase Amount]]</f>
        <v>0.80246913580246915</v>
      </c>
      <c r="Q761">
        <f>COUNTIF(calls[Customer ID],calls[[#This Row],[Customer ID]])</f>
        <v>65</v>
      </c>
      <c r="R761">
        <f>calls[[#This Row],[call count]]/calls[[#This Row],[Purchase Amount]]</f>
        <v>0.80246913580246915</v>
      </c>
    </row>
    <row r="762" spans="1:18" x14ac:dyDescent="0.4">
      <c r="A762" t="s">
        <v>792</v>
      </c>
      <c r="B762" t="s">
        <v>44</v>
      </c>
      <c r="C762">
        <v>126</v>
      </c>
      <c r="D762" s="4" t="s">
        <v>9</v>
      </c>
      <c r="E762" s="5">
        <v>45196</v>
      </c>
      <c r="F762">
        <v>44</v>
      </c>
      <c r="G762">
        <f>AVERAGEIF(calls[Representative], calls[[#This Row],[Representative]], calls[Satisfaction Rating])</f>
        <v>3.8706422018348627</v>
      </c>
      <c r="H762" t="str">
        <f>IF(AVERAGEIF(calls[Representative],calls[[#This Row],[Representative]],calls[Satisfaction Rating])&lt;3.5,"Needs Training","OK")</f>
        <v>OK</v>
      </c>
      <c r="I762">
        <v>3.7</v>
      </c>
      <c r="J762">
        <f>IF(MONTH(calls[[#This Row],[Date of Call]])&lt;=6, YEAR(calls[[#This Row],[Date of Call]]), YEAR(calls[[#This Row],[Date of Call]])+1)</f>
        <v>2024</v>
      </c>
      <c r="K762" t="str">
        <f>TEXT(calls[[#This Row],[Date of Call]],"DDDD")</f>
        <v>Wednesday</v>
      </c>
      <c r="L762" t="str" cm="1">
        <f t="array" ref="L762">_xlfn.IFS(calls[[#This Row],[Duration]]&lt;=10,"under 10 mins",calls[[#This Row],[Duration]]&lt;=30,"10 to 30mins",calls[[#This Row],[Duration]]&lt;=60,"60 to 30mins",calls[[#This Row],[Duration]]&lt;=120,"1 to 2hrs",TRUE,"More than 2 hrs")</f>
        <v>More than 2 hrs</v>
      </c>
      <c r="M762">
        <f>ROUND(calls[[#This Row],[Satisfaction Rating]],0)</f>
        <v>4</v>
      </c>
      <c r="N762">
        <f>COUNTIF(calls[Customer ID], calls[[#This Row],[Customer ID]])</f>
        <v>62</v>
      </c>
      <c r="O762">
        <f>SUMIF(calls[Customer ID], calls[[#This Row],[Customer ID]], calls[Purchase Amount])</f>
        <v>6176</v>
      </c>
      <c r="P762">
        <f>calls[[#This Row],[call count]]/calls[[#This Row],[Purchase Amount]]</f>
        <v>1.4090909090909092</v>
      </c>
      <c r="Q762">
        <f>COUNTIF(calls[Customer ID],calls[[#This Row],[Customer ID]])</f>
        <v>62</v>
      </c>
      <c r="R762">
        <f>calls[[#This Row],[call count]]/calls[[#This Row],[Purchase Amount]]</f>
        <v>1.4090909090909092</v>
      </c>
    </row>
    <row r="763" spans="1:18" x14ac:dyDescent="0.4">
      <c r="A763" t="s">
        <v>793</v>
      </c>
      <c r="B763" t="s">
        <v>8</v>
      </c>
      <c r="C763">
        <v>135</v>
      </c>
      <c r="D763" s="4" t="s">
        <v>23</v>
      </c>
      <c r="E763" s="5">
        <v>45197</v>
      </c>
      <c r="F763">
        <v>92</v>
      </c>
      <c r="G763">
        <f>AVERAGEIF(calls[Representative], calls[[#This Row],[Representative]], calls[Satisfaction Rating])</f>
        <v>3.8973118279569863</v>
      </c>
      <c r="H763" t="str">
        <f>IF(AVERAGEIF(calls[Representative],calls[[#This Row],[Representative]],calls[Satisfaction Rating])&lt;3.5,"Needs Training","OK")</f>
        <v>OK</v>
      </c>
      <c r="I763">
        <v>3.9</v>
      </c>
      <c r="J763">
        <f>IF(MONTH(calls[[#This Row],[Date of Call]])&lt;=6, YEAR(calls[[#This Row],[Date of Call]]), YEAR(calls[[#This Row],[Date of Call]])+1)</f>
        <v>2024</v>
      </c>
      <c r="K763" t="str">
        <f>TEXT(calls[[#This Row],[Date of Call]],"DDDD")</f>
        <v>Thursday</v>
      </c>
      <c r="L763" t="str" cm="1">
        <f t="array" ref="L763">_xlfn.IFS(calls[[#This Row],[Duration]]&lt;=10,"under 10 mins",calls[[#This Row],[Duration]]&lt;=30,"10 to 30mins",calls[[#This Row],[Duration]]&lt;=60,"60 to 30mins",calls[[#This Row],[Duration]]&lt;=120,"1 to 2hrs",TRUE,"More than 2 hrs")</f>
        <v>More than 2 hrs</v>
      </c>
      <c r="M763">
        <f>ROUND(calls[[#This Row],[Satisfaction Rating]],0)</f>
        <v>4</v>
      </c>
      <c r="N763">
        <f>COUNTIF(calls[Customer ID], calls[[#This Row],[Customer ID]])</f>
        <v>79</v>
      </c>
      <c r="O763">
        <f>SUMIF(calls[Customer ID], calls[[#This Row],[Customer ID]], calls[Purchase Amount])</f>
        <v>7747</v>
      </c>
      <c r="P763">
        <f>calls[[#This Row],[call count]]/calls[[#This Row],[Purchase Amount]]</f>
        <v>0.85869565217391308</v>
      </c>
      <c r="Q763">
        <f>COUNTIF(calls[Customer ID],calls[[#This Row],[Customer ID]])</f>
        <v>79</v>
      </c>
      <c r="R763">
        <f>calls[[#This Row],[call count]]/calls[[#This Row],[Purchase Amount]]</f>
        <v>0.85869565217391308</v>
      </c>
    </row>
    <row r="764" spans="1:18" x14ac:dyDescent="0.4">
      <c r="A764" t="s">
        <v>794</v>
      </c>
      <c r="B764" t="s">
        <v>44</v>
      </c>
      <c r="C764">
        <v>110</v>
      </c>
      <c r="D764" s="4" t="s">
        <v>2</v>
      </c>
      <c r="E764" s="5">
        <v>45198</v>
      </c>
      <c r="F764">
        <v>90</v>
      </c>
      <c r="G764">
        <f>AVERAGEIF(calls[Representative], calls[[#This Row],[Representative]], calls[Satisfaction Rating])</f>
        <v>3.8824999999999998</v>
      </c>
      <c r="H764" t="str">
        <f>IF(AVERAGEIF(calls[Representative],calls[[#This Row],[Representative]],calls[Satisfaction Rating])&lt;3.5,"Needs Training","OK")</f>
        <v>OK</v>
      </c>
      <c r="I764">
        <v>3.1</v>
      </c>
      <c r="J764">
        <f>IF(MONTH(calls[[#This Row],[Date of Call]])&lt;=6, YEAR(calls[[#This Row],[Date of Call]]), YEAR(calls[[#This Row],[Date of Call]])+1)</f>
        <v>2024</v>
      </c>
      <c r="K764" t="str">
        <f>TEXT(calls[[#This Row],[Date of Call]],"DDDD")</f>
        <v>Friday</v>
      </c>
      <c r="L764" t="str" cm="1">
        <f t="array" ref="L764">_xlfn.IFS(calls[[#This Row],[Duration]]&lt;=10,"under 10 mins",calls[[#This Row],[Duration]]&lt;=30,"10 to 30mins",calls[[#This Row],[Duration]]&lt;=60,"60 to 30mins",calls[[#This Row],[Duration]]&lt;=120,"1 to 2hrs",TRUE,"More than 2 hrs")</f>
        <v>1 to 2hrs</v>
      </c>
      <c r="M764">
        <f>ROUND(calls[[#This Row],[Satisfaction Rating]],0)</f>
        <v>3</v>
      </c>
      <c r="N764">
        <f>COUNTIF(calls[Customer ID], calls[[#This Row],[Customer ID]])</f>
        <v>62</v>
      </c>
      <c r="O764">
        <f>SUMIF(calls[Customer ID], calls[[#This Row],[Customer ID]], calls[Purchase Amount])</f>
        <v>6176</v>
      </c>
      <c r="P764">
        <f>calls[[#This Row],[call count]]/calls[[#This Row],[Purchase Amount]]</f>
        <v>0.68888888888888888</v>
      </c>
      <c r="Q764">
        <f>COUNTIF(calls[Customer ID],calls[[#This Row],[Customer ID]])</f>
        <v>62</v>
      </c>
      <c r="R764">
        <f>calls[[#This Row],[call count]]/calls[[#This Row],[Purchase Amount]]</f>
        <v>0.68888888888888888</v>
      </c>
    </row>
    <row r="765" spans="1:18" x14ac:dyDescent="0.4">
      <c r="A765" t="s">
        <v>795</v>
      </c>
      <c r="B765" t="s">
        <v>51</v>
      </c>
      <c r="C765">
        <v>64</v>
      </c>
      <c r="D765" s="4" t="s">
        <v>23</v>
      </c>
      <c r="E765" s="5">
        <v>45198</v>
      </c>
      <c r="F765">
        <v>112</v>
      </c>
      <c r="G765">
        <f>AVERAGEIF(calls[Representative], calls[[#This Row],[Representative]], calls[Satisfaction Rating])</f>
        <v>3.8973118279569863</v>
      </c>
      <c r="H765" t="str">
        <f>IF(AVERAGEIF(calls[Representative],calls[[#This Row],[Representative]],calls[Satisfaction Rating])&lt;3.5,"Needs Training","OK")</f>
        <v>OK</v>
      </c>
      <c r="I765">
        <v>2</v>
      </c>
      <c r="J765">
        <f>IF(MONTH(calls[[#This Row],[Date of Call]])&lt;=6, YEAR(calls[[#This Row],[Date of Call]]), YEAR(calls[[#This Row],[Date of Call]])+1)</f>
        <v>2024</v>
      </c>
      <c r="K765" t="str">
        <f>TEXT(calls[[#This Row],[Date of Call]],"DDDD")</f>
        <v>Friday</v>
      </c>
      <c r="L765" t="str" cm="1">
        <f t="array" ref="L765">_xlfn.IFS(calls[[#This Row],[Duration]]&lt;=10,"under 10 mins",calls[[#This Row],[Duration]]&lt;=30,"10 to 30mins",calls[[#This Row],[Duration]]&lt;=60,"60 to 30mins",calls[[#This Row],[Duration]]&lt;=120,"1 to 2hrs",TRUE,"More than 2 hrs")</f>
        <v>1 to 2hrs</v>
      </c>
      <c r="M765">
        <f>ROUND(calls[[#This Row],[Satisfaction Rating]],0)</f>
        <v>2</v>
      </c>
      <c r="N765">
        <f>COUNTIF(calls[Customer ID], calls[[#This Row],[Customer ID]])</f>
        <v>59</v>
      </c>
      <c r="O765">
        <f>SUMIF(calls[Customer ID], calls[[#This Row],[Customer ID]], calls[Purchase Amount])</f>
        <v>6518</v>
      </c>
      <c r="P765">
        <f>calls[[#This Row],[call count]]/calls[[#This Row],[Purchase Amount]]</f>
        <v>0.5267857142857143</v>
      </c>
      <c r="Q765">
        <f>COUNTIF(calls[Customer ID],calls[[#This Row],[Customer ID]])</f>
        <v>59</v>
      </c>
      <c r="R765">
        <f>calls[[#This Row],[call count]]/calls[[#This Row],[Purchase Amount]]</f>
        <v>0.5267857142857143</v>
      </c>
    </row>
    <row r="766" spans="1:18" x14ac:dyDescent="0.4">
      <c r="A766" t="s">
        <v>796</v>
      </c>
      <c r="B766" t="s">
        <v>40</v>
      </c>
      <c r="C766">
        <v>127</v>
      </c>
      <c r="D766" s="4" t="s">
        <v>9</v>
      </c>
      <c r="E766" s="5">
        <v>45198</v>
      </c>
      <c r="F766">
        <v>112</v>
      </c>
      <c r="G766">
        <f>AVERAGEIF(calls[Representative], calls[[#This Row],[Representative]], calls[Satisfaction Rating])</f>
        <v>3.8706422018348627</v>
      </c>
      <c r="H766" t="str">
        <f>IF(AVERAGEIF(calls[Representative],calls[[#This Row],[Representative]],calls[Satisfaction Rating])&lt;3.5,"Needs Training","OK")</f>
        <v>OK</v>
      </c>
      <c r="I766">
        <v>4.5999999999999996</v>
      </c>
      <c r="J766">
        <f>IF(MONTH(calls[[#This Row],[Date of Call]])&lt;=6, YEAR(calls[[#This Row],[Date of Call]]), YEAR(calls[[#This Row],[Date of Call]])+1)</f>
        <v>2024</v>
      </c>
      <c r="K766" t="str">
        <f>TEXT(calls[[#This Row],[Date of Call]],"DDDD")</f>
        <v>Friday</v>
      </c>
      <c r="L766" t="str" cm="1">
        <f t="array" ref="L766">_xlfn.IFS(calls[[#This Row],[Duration]]&lt;=10,"under 10 mins",calls[[#This Row],[Duration]]&lt;=30,"10 to 30mins",calls[[#This Row],[Duration]]&lt;=60,"60 to 30mins",calls[[#This Row],[Duration]]&lt;=120,"1 to 2hrs",TRUE,"More than 2 hrs")</f>
        <v>More than 2 hrs</v>
      </c>
      <c r="M766">
        <f>ROUND(calls[[#This Row],[Satisfaction Rating]],0)</f>
        <v>5</v>
      </c>
      <c r="N766">
        <f>COUNTIF(calls[Customer ID], calls[[#This Row],[Customer ID]])</f>
        <v>69</v>
      </c>
      <c r="O766">
        <f>SUMIF(calls[Customer ID], calls[[#This Row],[Customer ID]], calls[Purchase Amount])</f>
        <v>6601</v>
      </c>
      <c r="P766">
        <f>calls[[#This Row],[call count]]/calls[[#This Row],[Purchase Amount]]</f>
        <v>0.6160714285714286</v>
      </c>
      <c r="Q766">
        <f>COUNTIF(calls[Customer ID],calls[[#This Row],[Customer ID]])</f>
        <v>69</v>
      </c>
      <c r="R766">
        <f>calls[[#This Row],[call count]]/calls[[#This Row],[Purchase Amount]]</f>
        <v>0.6160714285714286</v>
      </c>
    </row>
    <row r="767" spans="1:18" x14ac:dyDescent="0.4">
      <c r="A767" t="s">
        <v>797</v>
      </c>
      <c r="B767" t="s">
        <v>84</v>
      </c>
      <c r="C767">
        <v>124</v>
      </c>
      <c r="D767" s="4" t="s">
        <v>14</v>
      </c>
      <c r="E767" s="5">
        <v>45198</v>
      </c>
      <c r="F767">
        <v>48</v>
      </c>
      <c r="G767">
        <f>AVERAGEIF(calls[Representative], calls[[#This Row],[Representative]], calls[Satisfaction Rating])</f>
        <v>3.9227513227513247</v>
      </c>
      <c r="H767" t="str">
        <f>IF(AVERAGEIF(calls[Representative],calls[[#This Row],[Representative]],calls[Satisfaction Rating])&lt;3.5,"Needs Training","OK")</f>
        <v>OK</v>
      </c>
      <c r="I767">
        <v>3.7</v>
      </c>
      <c r="J767">
        <f>IF(MONTH(calls[[#This Row],[Date of Call]])&lt;=6, YEAR(calls[[#This Row],[Date of Call]]), YEAR(calls[[#This Row],[Date of Call]])+1)</f>
        <v>2024</v>
      </c>
      <c r="K767" t="str">
        <f>TEXT(calls[[#This Row],[Date of Call]],"DDDD")</f>
        <v>Friday</v>
      </c>
      <c r="L767" t="str" cm="1">
        <f t="array" ref="L767">_xlfn.IFS(calls[[#This Row],[Duration]]&lt;=10,"under 10 mins",calls[[#This Row],[Duration]]&lt;=30,"10 to 30mins",calls[[#This Row],[Duration]]&lt;=60,"60 to 30mins",calls[[#This Row],[Duration]]&lt;=120,"1 to 2hrs",TRUE,"More than 2 hrs")</f>
        <v>More than 2 hrs</v>
      </c>
      <c r="M767">
        <f>ROUND(calls[[#This Row],[Satisfaction Rating]],0)</f>
        <v>4</v>
      </c>
      <c r="N767">
        <f>COUNTIF(calls[Customer ID], calls[[#This Row],[Customer ID]])</f>
        <v>59</v>
      </c>
      <c r="O767">
        <f>SUMIF(calls[Customer ID], calls[[#This Row],[Customer ID]], calls[Purchase Amount])</f>
        <v>5009</v>
      </c>
      <c r="P767">
        <f>calls[[#This Row],[call count]]/calls[[#This Row],[Purchase Amount]]</f>
        <v>1.2291666666666667</v>
      </c>
      <c r="Q767">
        <f>COUNTIF(calls[Customer ID],calls[[#This Row],[Customer ID]])</f>
        <v>59</v>
      </c>
      <c r="R767">
        <f>calls[[#This Row],[call count]]/calls[[#This Row],[Purchase Amount]]</f>
        <v>1.2291666666666667</v>
      </c>
    </row>
    <row r="768" spans="1:18" x14ac:dyDescent="0.4">
      <c r="A768" t="s">
        <v>798</v>
      </c>
      <c r="B768" t="s">
        <v>51</v>
      </c>
      <c r="C768">
        <v>125</v>
      </c>
      <c r="D768" s="4" t="s">
        <v>9</v>
      </c>
      <c r="E768" s="5">
        <v>45198</v>
      </c>
      <c r="F768">
        <v>116</v>
      </c>
      <c r="G768">
        <f>AVERAGEIF(calls[Representative], calls[[#This Row],[Representative]], calls[Satisfaction Rating])</f>
        <v>3.8706422018348627</v>
      </c>
      <c r="H768" t="str">
        <f>IF(AVERAGEIF(calls[Representative],calls[[#This Row],[Representative]],calls[Satisfaction Rating])&lt;3.5,"Needs Training","OK")</f>
        <v>OK</v>
      </c>
      <c r="I768">
        <v>4.4000000000000004</v>
      </c>
      <c r="J768">
        <f>IF(MONTH(calls[[#This Row],[Date of Call]])&lt;=6, YEAR(calls[[#This Row],[Date of Call]]), YEAR(calls[[#This Row],[Date of Call]])+1)</f>
        <v>2024</v>
      </c>
      <c r="K768" t="str">
        <f>TEXT(calls[[#This Row],[Date of Call]],"DDDD")</f>
        <v>Friday</v>
      </c>
      <c r="L768" t="str" cm="1">
        <f t="array" ref="L768">_xlfn.IFS(calls[[#This Row],[Duration]]&lt;=10,"under 10 mins",calls[[#This Row],[Duration]]&lt;=30,"10 to 30mins",calls[[#This Row],[Duration]]&lt;=60,"60 to 30mins",calls[[#This Row],[Duration]]&lt;=120,"1 to 2hrs",TRUE,"More than 2 hrs")</f>
        <v>More than 2 hrs</v>
      </c>
      <c r="M768">
        <f>ROUND(calls[[#This Row],[Satisfaction Rating]],0)</f>
        <v>4</v>
      </c>
      <c r="N768">
        <f>COUNTIF(calls[Customer ID], calls[[#This Row],[Customer ID]])</f>
        <v>59</v>
      </c>
      <c r="O768">
        <f>SUMIF(calls[Customer ID], calls[[#This Row],[Customer ID]], calls[Purchase Amount])</f>
        <v>6518</v>
      </c>
      <c r="P768">
        <f>calls[[#This Row],[call count]]/calls[[#This Row],[Purchase Amount]]</f>
        <v>0.50862068965517238</v>
      </c>
      <c r="Q768">
        <f>COUNTIF(calls[Customer ID],calls[[#This Row],[Customer ID]])</f>
        <v>59</v>
      </c>
      <c r="R768">
        <f>calls[[#This Row],[call count]]/calls[[#This Row],[Purchase Amount]]</f>
        <v>0.50862068965517238</v>
      </c>
    </row>
    <row r="769" spans="1:18" x14ac:dyDescent="0.4">
      <c r="A769" t="s">
        <v>799</v>
      </c>
      <c r="B769" t="s">
        <v>6</v>
      </c>
      <c r="C769">
        <v>70</v>
      </c>
      <c r="D769" s="4" t="s">
        <v>9</v>
      </c>
      <c r="E769" s="5">
        <v>45198</v>
      </c>
      <c r="F769">
        <v>29</v>
      </c>
      <c r="G769">
        <f>AVERAGEIF(calls[Representative], calls[[#This Row],[Representative]], calls[Satisfaction Rating])</f>
        <v>3.8706422018348627</v>
      </c>
      <c r="H769" t="str">
        <f>IF(AVERAGEIF(calls[Representative],calls[[#This Row],[Representative]],calls[Satisfaction Rating])&lt;3.5,"Needs Training","OK")</f>
        <v>OK</v>
      </c>
      <c r="I769">
        <v>2.1</v>
      </c>
      <c r="J769">
        <f>IF(MONTH(calls[[#This Row],[Date of Call]])&lt;=6, YEAR(calls[[#This Row],[Date of Call]]), YEAR(calls[[#This Row],[Date of Call]])+1)</f>
        <v>2024</v>
      </c>
      <c r="K769" t="str">
        <f>TEXT(calls[[#This Row],[Date of Call]],"DDDD")</f>
        <v>Friday</v>
      </c>
      <c r="L769" t="str" cm="1">
        <f t="array" ref="L769">_xlfn.IFS(calls[[#This Row],[Duration]]&lt;=10,"under 10 mins",calls[[#This Row],[Duration]]&lt;=30,"10 to 30mins",calls[[#This Row],[Duration]]&lt;=60,"60 to 30mins",calls[[#This Row],[Duration]]&lt;=120,"1 to 2hrs",TRUE,"More than 2 hrs")</f>
        <v>1 to 2hrs</v>
      </c>
      <c r="M769">
        <f>ROUND(calls[[#This Row],[Satisfaction Rating]],0)</f>
        <v>2</v>
      </c>
      <c r="N769">
        <f>COUNTIF(calls[Customer ID], calls[[#This Row],[Customer ID]])</f>
        <v>82</v>
      </c>
      <c r="O769">
        <f>SUMIF(calls[Customer ID], calls[[#This Row],[Customer ID]], calls[Purchase Amount])</f>
        <v>7689</v>
      </c>
      <c r="P769">
        <f>calls[[#This Row],[call count]]/calls[[#This Row],[Purchase Amount]]</f>
        <v>2.8275862068965516</v>
      </c>
      <c r="Q769">
        <f>COUNTIF(calls[Customer ID],calls[[#This Row],[Customer ID]])</f>
        <v>82</v>
      </c>
      <c r="R769">
        <f>calls[[#This Row],[call count]]/calls[[#This Row],[Purchase Amount]]</f>
        <v>2.8275862068965516</v>
      </c>
    </row>
    <row r="770" spans="1:18" x14ac:dyDescent="0.4">
      <c r="A770" t="s">
        <v>800</v>
      </c>
      <c r="B770" t="s">
        <v>40</v>
      </c>
      <c r="C770">
        <v>93</v>
      </c>
      <c r="D770" s="4" t="s">
        <v>23</v>
      </c>
      <c r="E770" s="5">
        <v>45199</v>
      </c>
      <c r="F770">
        <v>170</v>
      </c>
      <c r="G770">
        <f>AVERAGEIF(calls[Representative], calls[[#This Row],[Representative]], calls[Satisfaction Rating])</f>
        <v>3.8973118279569863</v>
      </c>
      <c r="H770" t="str">
        <f>IF(AVERAGEIF(calls[Representative],calls[[#This Row],[Representative]],calls[Satisfaction Rating])&lt;3.5,"Needs Training","OK")</f>
        <v>OK</v>
      </c>
      <c r="I770">
        <v>2.2000000000000002</v>
      </c>
      <c r="J770">
        <f>IF(MONTH(calls[[#This Row],[Date of Call]])&lt;=6, YEAR(calls[[#This Row],[Date of Call]]), YEAR(calls[[#This Row],[Date of Call]])+1)</f>
        <v>2024</v>
      </c>
      <c r="K770" t="str">
        <f>TEXT(calls[[#This Row],[Date of Call]],"DDDD")</f>
        <v>Saturday</v>
      </c>
      <c r="L770" t="str" cm="1">
        <f t="array" ref="L770">_xlfn.IFS(calls[[#This Row],[Duration]]&lt;=10,"under 10 mins",calls[[#This Row],[Duration]]&lt;=30,"10 to 30mins",calls[[#This Row],[Duration]]&lt;=60,"60 to 30mins",calls[[#This Row],[Duration]]&lt;=120,"1 to 2hrs",TRUE,"More than 2 hrs")</f>
        <v>1 to 2hrs</v>
      </c>
      <c r="M770">
        <f>ROUND(calls[[#This Row],[Satisfaction Rating]],0)</f>
        <v>2</v>
      </c>
      <c r="N770">
        <f>COUNTIF(calls[Customer ID], calls[[#This Row],[Customer ID]])</f>
        <v>69</v>
      </c>
      <c r="O770">
        <f>SUMIF(calls[Customer ID], calls[[#This Row],[Customer ID]], calls[Purchase Amount])</f>
        <v>6601</v>
      </c>
      <c r="P770">
        <f>calls[[#This Row],[call count]]/calls[[#This Row],[Purchase Amount]]</f>
        <v>0.40588235294117647</v>
      </c>
      <c r="Q770">
        <f>COUNTIF(calls[Customer ID],calls[[#This Row],[Customer ID]])</f>
        <v>69</v>
      </c>
      <c r="R770">
        <f>calls[[#This Row],[call count]]/calls[[#This Row],[Purchase Amount]]</f>
        <v>0.40588235294117647</v>
      </c>
    </row>
    <row r="771" spans="1:18" x14ac:dyDescent="0.4">
      <c r="A771" t="s">
        <v>801</v>
      </c>
      <c r="B771" t="s">
        <v>6</v>
      </c>
      <c r="C771">
        <v>120</v>
      </c>
      <c r="D771" s="4" t="s">
        <v>27</v>
      </c>
      <c r="E771" s="5">
        <v>45199</v>
      </c>
      <c r="F771">
        <v>68</v>
      </c>
      <c r="G771">
        <f>AVERAGEIF(calls[Representative], calls[[#This Row],[Representative]], calls[Satisfaction Rating])</f>
        <v>3.8589371980676304</v>
      </c>
      <c r="H771" t="str">
        <f>IF(AVERAGEIF(calls[Representative],calls[[#This Row],[Representative]],calls[Satisfaction Rating])&lt;3.5,"Needs Training","OK")</f>
        <v>OK</v>
      </c>
      <c r="I771">
        <v>3.4</v>
      </c>
      <c r="J771">
        <f>IF(MONTH(calls[[#This Row],[Date of Call]])&lt;=6, YEAR(calls[[#This Row],[Date of Call]]), YEAR(calls[[#This Row],[Date of Call]])+1)</f>
        <v>2024</v>
      </c>
      <c r="K771" t="str">
        <f>TEXT(calls[[#This Row],[Date of Call]],"DDDD")</f>
        <v>Saturday</v>
      </c>
      <c r="L771" t="str" cm="1">
        <f t="array" ref="L771">_xlfn.IFS(calls[[#This Row],[Duration]]&lt;=10,"under 10 mins",calls[[#This Row],[Duration]]&lt;=30,"10 to 30mins",calls[[#This Row],[Duration]]&lt;=60,"60 to 30mins",calls[[#This Row],[Duration]]&lt;=120,"1 to 2hrs",TRUE,"More than 2 hrs")</f>
        <v>1 to 2hrs</v>
      </c>
      <c r="M771">
        <f>ROUND(calls[[#This Row],[Satisfaction Rating]],0)</f>
        <v>3</v>
      </c>
      <c r="N771">
        <f>COUNTIF(calls[Customer ID], calls[[#This Row],[Customer ID]])</f>
        <v>82</v>
      </c>
      <c r="O771">
        <f>SUMIF(calls[Customer ID], calls[[#This Row],[Customer ID]], calls[Purchase Amount])</f>
        <v>7689</v>
      </c>
      <c r="P771">
        <f>calls[[#This Row],[call count]]/calls[[#This Row],[Purchase Amount]]</f>
        <v>1.2058823529411764</v>
      </c>
      <c r="Q771">
        <f>COUNTIF(calls[Customer ID],calls[[#This Row],[Customer ID]])</f>
        <v>82</v>
      </c>
      <c r="R771">
        <f>calls[[#This Row],[call count]]/calls[[#This Row],[Purchase Amount]]</f>
        <v>1.2058823529411764</v>
      </c>
    </row>
    <row r="772" spans="1:18" x14ac:dyDescent="0.4">
      <c r="A772" t="s">
        <v>802</v>
      </c>
      <c r="B772" t="s">
        <v>13</v>
      </c>
      <c r="C772">
        <v>96</v>
      </c>
      <c r="D772" s="4" t="s">
        <v>2</v>
      </c>
      <c r="E772" s="5">
        <v>45199</v>
      </c>
      <c r="F772">
        <v>195</v>
      </c>
      <c r="G772">
        <f>AVERAGEIF(calls[Representative], calls[[#This Row],[Representative]], calls[Satisfaction Rating])</f>
        <v>3.8824999999999998</v>
      </c>
      <c r="H772" t="str">
        <f>IF(AVERAGEIF(calls[Representative],calls[[#This Row],[Representative]],calls[Satisfaction Rating])&lt;3.5,"Needs Training","OK")</f>
        <v>OK</v>
      </c>
      <c r="I772">
        <v>2.7</v>
      </c>
      <c r="J772">
        <f>IF(MONTH(calls[[#This Row],[Date of Call]])&lt;=6, YEAR(calls[[#This Row],[Date of Call]]), YEAR(calls[[#This Row],[Date of Call]])+1)</f>
        <v>2024</v>
      </c>
      <c r="K772" t="str">
        <f>TEXT(calls[[#This Row],[Date of Call]],"DDDD")</f>
        <v>Saturday</v>
      </c>
      <c r="L772" t="str" cm="1">
        <f t="array" ref="L772">_xlfn.IFS(calls[[#This Row],[Duration]]&lt;=10,"under 10 mins",calls[[#This Row],[Duration]]&lt;=30,"10 to 30mins",calls[[#This Row],[Duration]]&lt;=60,"60 to 30mins",calls[[#This Row],[Duration]]&lt;=120,"1 to 2hrs",TRUE,"More than 2 hrs")</f>
        <v>1 to 2hrs</v>
      </c>
      <c r="M772">
        <f>ROUND(calls[[#This Row],[Satisfaction Rating]],0)</f>
        <v>3</v>
      </c>
      <c r="N772">
        <f>COUNTIF(calls[Customer ID], calls[[#This Row],[Customer ID]])</f>
        <v>74</v>
      </c>
      <c r="O772">
        <f>SUMIF(calls[Customer ID], calls[[#This Row],[Customer ID]], calls[Purchase Amount])</f>
        <v>6749</v>
      </c>
      <c r="P772">
        <f>calls[[#This Row],[call count]]/calls[[#This Row],[Purchase Amount]]</f>
        <v>0.37948717948717947</v>
      </c>
      <c r="Q772">
        <f>COUNTIF(calls[Customer ID],calls[[#This Row],[Customer ID]])</f>
        <v>74</v>
      </c>
      <c r="R772">
        <f>calls[[#This Row],[call count]]/calls[[#This Row],[Purchase Amount]]</f>
        <v>0.37948717948717947</v>
      </c>
    </row>
    <row r="773" spans="1:18" x14ac:dyDescent="0.4">
      <c r="A773" t="s">
        <v>803</v>
      </c>
      <c r="B773" t="s">
        <v>11</v>
      </c>
      <c r="C773">
        <v>67</v>
      </c>
      <c r="D773" s="4" t="s">
        <v>2</v>
      </c>
      <c r="E773" s="5">
        <v>45199</v>
      </c>
      <c r="F773">
        <v>96</v>
      </c>
      <c r="G773">
        <f>AVERAGEIF(calls[Representative], calls[[#This Row],[Representative]], calls[Satisfaction Rating])</f>
        <v>3.8824999999999998</v>
      </c>
      <c r="H773" t="str">
        <f>IF(AVERAGEIF(calls[Representative],calls[[#This Row],[Representative]],calls[Satisfaction Rating])&lt;3.5,"Needs Training","OK")</f>
        <v>OK</v>
      </c>
      <c r="I773">
        <v>3.7</v>
      </c>
      <c r="J773">
        <f>IF(MONTH(calls[[#This Row],[Date of Call]])&lt;=6, YEAR(calls[[#This Row],[Date of Call]]), YEAR(calls[[#This Row],[Date of Call]])+1)</f>
        <v>2024</v>
      </c>
      <c r="K773" t="str">
        <f>TEXT(calls[[#This Row],[Date of Call]],"DDDD")</f>
        <v>Saturday</v>
      </c>
      <c r="L773" t="str" cm="1">
        <f t="array" ref="L773">_xlfn.IFS(calls[[#This Row],[Duration]]&lt;=10,"under 10 mins",calls[[#This Row],[Duration]]&lt;=30,"10 to 30mins",calls[[#This Row],[Duration]]&lt;=60,"60 to 30mins",calls[[#This Row],[Duration]]&lt;=120,"1 to 2hrs",TRUE,"More than 2 hrs")</f>
        <v>1 to 2hrs</v>
      </c>
      <c r="M773">
        <f>ROUND(calls[[#This Row],[Satisfaction Rating]],0)</f>
        <v>4</v>
      </c>
      <c r="N773">
        <f>COUNTIF(calls[Customer ID], calls[[#This Row],[Customer ID]])</f>
        <v>60</v>
      </c>
      <c r="O773">
        <f>SUMIF(calls[Customer ID], calls[[#This Row],[Customer ID]], calls[Purchase Amount])</f>
        <v>5404</v>
      </c>
      <c r="P773">
        <f>calls[[#This Row],[call count]]/calls[[#This Row],[Purchase Amount]]</f>
        <v>0.625</v>
      </c>
      <c r="Q773">
        <f>COUNTIF(calls[Customer ID],calls[[#This Row],[Customer ID]])</f>
        <v>60</v>
      </c>
      <c r="R773">
        <f>calls[[#This Row],[call count]]/calls[[#This Row],[Purchase Amount]]</f>
        <v>0.625</v>
      </c>
    </row>
    <row r="774" spans="1:18" x14ac:dyDescent="0.4">
      <c r="A774" t="s">
        <v>804</v>
      </c>
      <c r="B774" t="s">
        <v>51</v>
      </c>
      <c r="C774">
        <v>119</v>
      </c>
      <c r="D774" s="4" t="s">
        <v>2</v>
      </c>
      <c r="E774" s="5">
        <v>45199</v>
      </c>
      <c r="F774">
        <v>96</v>
      </c>
      <c r="G774">
        <f>AVERAGEIF(calls[Representative], calls[[#This Row],[Representative]], calls[Satisfaction Rating])</f>
        <v>3.8824999999999998</v>
      </c>
      <c r="H774" t="str">
        <f>IF(AVERAGEIF(calls[Representative],calls[[#This Row],[Representative]],calls[Satisfaction Rating])&lt;3.5,"Needs Training","OK")</f>
        <v>OK</v>
      </c>
      <c r="I774">
        <v>3.1</v>
      </c>
      <c r="J774">
        <f>IF(MONTH(calls[[#This Row],[Date of Call]])&lt;=6, YEAR(calls[[#This Row],[Date of Call]]), YEAR(calls[[#This Row],[Date of Call]])+1)</f>
        <v>2024</v>
      </c>
      <c r="K774" t="str">
        <f>TEXT(calls[[#This Row],[Date of Call]],"DDDD")</f>
        <v>Saturday</v>
      </c>
      <c r="L774" t="str" cm="1">
        <f t="array" ref="L774">_xlfn.IFS(calls[[#This Row],[Duration]]&lt;=10,"under 10 mins",calls[[#This Row],[Duration]]&lt;=30,"10 to 30mins",calls[[#This Row],[Duration]]&lt;=60,"60 to 30mins",calls[[#This Row],[Duration]]&lt;=120,"1 to 2hrs",TRUE,"More than 2 hrs")</f>
        <v>1 to 2hrs</v>
      </c>
      <c r="M774">
        <f>ROUND(calls[[#This Row],[Satisfaction Rating]],0)</f>
        <v>3</v>
      </c>
      <c r="N774">
        <f>COUNTIF(calls[Customer ID], calls[[#This Row],[Customer ID]])</f>
        <v>59</v>
      </c>
      <c r="O774">
        <f>SUMIF(calls[Customer ID], calls[[#This Row],[Customer ID]], calls[Purchase Amount])</f>
        <v>6518</v>
      </c>
      <c r="P774">
        <f>calls[[#This Row],[call count]]/calls[[#This Row],[Purchase Amount]]</f>
        <v>0.61458333333333337</v>
      </c>
      <c r="Q774">
        <f>COUNTIF(calls[Customer ID],calls[[#This Row],[Customer ID]])</f>
        <v>59</v>
      </c>
      <c r="R774">
        <f>calls[[#This Row],[call count]]/calls[[#This Row],[Purchase Amount]]</f>
        <v>0.61458333333333337</v>
      </c>
    </row>
    <row r="775" spans="1:18" x14ac:dyDescent="0.4">
      <c r="A775" t="s">
        <v>805</v>
      </c>
      <c r="B775" t="s">
        <v>84</v>
      </c>
      <c r="C775">
        <v>61</v>
      </c>
      <c r="D775" s="4" t="s">
        <v>14</v>
      </c>
      <c r="E775" s="5">
        <v>45199</v>
      </c>
      <c r="F775">
        <v>117</v>
      </c>
      <c r="G775">
        <f>AVERAGEIF(calls[Representative], calls[[#This Row],[Representative]], calls[Satisfaction Rating])</f>
        <v>3.9227513227513247</v>
      </c>
      <c r="H775" t="str">
        <f>IF(AVERAGEIF(calls[Representative],calls[[#This Row],[Representative]],calls[Satisfaction Rating])&lt;3.5,"Needs Training","OK")</f>
        <v>OK</v>
      </c>
      <c r="I775">
        <v>4.0999999999999996</v>
      </c>
      <c r="J775">
        <f>IF(MONTH(calls[[#This Row],[Date of Call]])&lt;=6, YEAR(calls[[#This Row],[Date of Call]]), YEAR(calls[[#This Row],[Date of Call]])+1)</f>
        <v>2024</v>
      </c>
      <c r="K775" t="str">
        <f>TEXT(calls[[#This Row],[Date of Call]],"DDDD")</f>
        <v>Saturday</v>
      </c>
      <c r="L775" t="str" cm="1">
        <f t="array" ref="L775">_xlfn.IFS(calls[[#This Row],[Duration]]&lt;=10,"under 10 mins",calls[[#This Row],[Duration]]&lt;=30,"10 to 30mins",calls[[#This Row],[Duration]]&lt;=60,"60 to 30mins",calls[[#This Row],[Duration]]&lt;=120,"1 to 2hrs",TRUE,"More than 2 hrs")</f>
        <v>1 to 2hrs</v>
      </c>
      <c r="M775">
        <f>ROUND(calls[[#This Row],[Satisfaction Rating]],0)</f>
        <v>4</v>
      </c>
      <c r="N775">
        <f>COUNTIF(calls[Customer ID], calls[[#This Row],[Customer ID]])</f>
        <v>59</v>
      </c>
      <c r="O775">
        <f>SUMIF(calls[Customer ID], calls[[#This Row],[Customer ID]], calls[Purchase Amount])</f>
        <v>5009</v>
      </c>
      <c r="P775">
        <f>calls[[#This Row],[call count]]/calls[[#This Row],[Purchase Amount]]</f>
        <v>0.50427350427350426</v>
      </c>
      <c r="Q775">
        <f>COUNTIF(calls[Customer ID],calls[[#This Row],[Customer ID]])</f>
        <v>59</v>
      </c>
      <c r="R775">
        <f>calls[[#This Row],[call count]]/calls[[#This Row],[Purchase Amount]]</f>
        <v>0.50427350427350426</v>
      </c>
    </row>
    <row r="776" spans="1:18" x14ac:dyDescent="0.4">
      <c r="A776" t="s">
        <v>806</v>
      </c>
      <c r="B776" t="s">
        <v>13</v>
      </c>
      <c r="C776">
        <v>29</v>
      </c>
      <c r="D776" s="4" t="s">
        <v>23</v>
      </c>
      <c r="E776" s="5">
        <v>45199</v>
      </c>
      <c r="F776">
        <v>80</v>
      </c>
      <c r="G776">
        <f>AVERAGEIF(calls[Representative], calls[[#This Row],[Representative]], calls[Satisfaction Rating])</f>
        <v>3.8973118279569863</v>
      </c>
      <c r="H776" t="str">
        <f>IF(AVERAGEIF(calls[Representative],calls[[#This Row],[Representative]],calls[Satisfaction Rating])&lt;3.5,"Needs Training","OK")</f>
        <v>OK</v>
      </c>
      <c r="I776">
        <v>4.8</v>
      </c>
      <c r="J776">
        <f>IF(MONTH(calls[[#This Row],[Date of Call]])&lt;=6, YEAR(calls[[#This Row],[Date of Call]]), YEAR(calls[[#This Row],[Date of Call]])+1)</f>
        <v>2024</v>
      </c>
      <c r="K776" t="str">
        <f>TEXT(calls[[#This Row],[Date of Call]],"DDDD")</f>
        <v>Saturday</v>
      </c>
      <c r="L776" t="str" cm="1">
        <f t="array" ref="L776">_xlfn.IFS(calls[[#This Row],[Duration]]&lt;=10,"under 10 mins",calls[[#This Row],[Duration]]&lt;=30,"10 to 30mins",calls[[#This Row],[Duration]]&lt;=60,"60 to 30mins",calls[[#This Row],[Duration]]&lt;=120,"1 to 2hrs",TRUE,"More than 2 hrs")</f>
        <v>10 to 30mins</v>
      </c>
      <c r="M776">
        <f>ROUND(calls[[#This Row],[Satisfaction Rating]],0)</f>
        <v>5</v>
      </c>
      <c r="N776">
        <f>COUNTIF(calls[Customer ID], calls[[#This Row],[Customer ID]])</f>
        <v>74</v>
      </c>
      <c r="O776">
        <f>SUMIF(calls[Customer ID], calls[[#This Row],[Customer ID]], calls[Purchase Amount])</f>
        <v>6749</v>
      </c>
      <c r="P776">
        <f>calls[[#This Row],[call count]]/calls[[#This Row],[Purchase Amount]]</f>
        <v>0.92500000000000004</v>
      </c>
      <c r="Q776">
        <f>COUNTIF(calls[Customer ID],calls[[#This Row],[Customer ID]])</f>
        <v>74</v>
      </c>
      <c r="R776">
        <f>calls[[#This Row],[call count]]/calls[[#This Row],[Purchase Amount]]</f>
        <v>0.92500000000000004</v>
      </c>
    </row>
    <row r="777" spans="1:18" x14ac:dyDescent="0.4">
      <c r="A777" t="s">
        <v>807</v>
      </c>
      <c r="B777" t="s">
        <v>32</v>
      </c>
      <c r="C777">
        <v>134</v>
      </c>
      <c r="D777" s="4" t="s">
        <v>27</v>
      </c>
      <c r="E777" s="5">
        <v>45199</v>
      </c>
      <c r="F777">
        <v>117</v>
      </c>
      <c r="G777">
        <f>AVERAGEIF(calls[Representative], calls[[#This Row],[Representative]], calls[Satisfaction Rating])</f>
        <v>3.8589371980676304</v>
      </c>
      <c r="H777" t="str">
        <f>IF(AVERAGEIF(calls[Representative],calls[[#This Row],[Representative]],calls[Satisfaction Rating])&lt;3.5,"Needs Training","OK")</f>
        <v>OK</v>
      </c>
      <c r="I777">
        <v>4</v>
      </c>
      <c r="J777">
        <f>IF(MONTH(calls[[#This Row],[Date of Call]])&lt;=6, YEAR(calls[[#This Row],[Date of Call]]), YEAR(calls[[#This Row],[Date of Call]])+1)</f>
        <v>2024</v>
      </c>
      <c r="K777" t="str">
        <f>TEXT(calls[[#This Row],[Date of Call]],"DDDD")</f>
        <v>Saturday</v>
      </c>
      <c r="L777" t="str" cm="1">
        <f t="array" ref="L777">_xlfn.IFS(calls[[#This Row],[Duration]]&lt;=10,"under 10 mins",calls[[#This Row],[Duration]]&lt;=30,"10 to 30mins",calls[[#This Row],[Duration]]&lt;=60,"60 to 30mins",calls[[#This Row],[Duration]]&lt;=120,"1 to 2hrs",TRUE,"More than 2 hrs")</f>
        <v>More than 2 hrs</v>
      </c>
      <c r="M777">
        <f>ROUND(calls[[#This Row],[Satisfaction Rating]],0)</f>
        <v>4</v>
      </c>
      <c r="N777">
        <f>COUNTIF(calls[Customer ID], calls[[#This Row],[Customer ID]])</f>
        <v>63</v>
      </c>
      <c r="O777">
        <f>SUMIF(calls[Customer ID], calls[[#This Row],[Customer ID]], calls[Purchase Amount])</f>
        <v>5634</v>
      </c>
      <c r="P777">
        <f>calls[[#This Row],[call count]]/calls[[#This Row],[Purchase Amount]]</f>
        <v>0.53846153846153844</v>
      </c>
      <c r="Q777">
        <f>COUNTIF(calls[Customer ID],calls[[#This Row],[Customer ID]])</f>
        <v>63</v>
      </c>
      <c r="R777">
        <f>calls[[#This Row],[call count]]/calls[[#This Row],[Purchase Amount]]</f>
        <v>0.53846153846153844</v>
      </c>
    </row>
    <row r="778" spans="1:18" x14ac:dyDescent="0.4">
      <c r="A778" t="s">
        <v>808</v>
      </c>
      <c r="B778" t="s">
        <v>44</v>
      </c>
      <c r="C778">
        <v>113</v>
      </c>
      <c r="D778" s="4" t="s">
        <v>2</v>
      </c>
      <c r="E778" s="5">
        <v>45200</v>
      </c>
      <c r="F778">
        <v>40</v>
      </c>
      <c r="G778">
        <f>AVERAGEIF(calls[Representative], calls[[#This Row],[Representative]], calls[Satisfaction Rating])</f>
        <v>3.8824999999999998</v>
      </c>
      <c r="H778" t="str">
        <f>IF(AVERAGEIF(calls[Representative],calls[[#This Row],[Representative]],calls[Satisfaction Rating])&lt;3.5,"Needs Training","OK")</f>
        <v>OK</v>
      </c>
      <c r="I778">
        <v>3</v>
      </c>
      <c r="J778">
        <f>IF(MONTH(calls[[#This Row],[Date of Call]])&lt;=6, YEAR(calls[[#This Row],[Date of Call]]), YEAR(calls[[#This Row],[Date of Call]])+1)</f>
        <v>2024</v>
      </c>
      <c r="K778" t="str">
        <f>TEXT(calls[[#This Row],[Date of Call]],"DDDD")</f>
        <v>Sunday</v>
      </c>
      <c r="L778" t="str" cm="1">
        <f t="array" ref="L778">_xlfn.IFS(calls[[#This Row],[Duration]]&lt;=10,"under 10 mins",calls[[#This Row],[Duration]]&lt;=30,"10 to 30mins",calls[[#This Row],[Duration]]&lt;=60,"60 to 30mins",calls[[#This Row],[Duration]]&lt;=120,"1 to 2hrs",TRUE,"More than 2 hrs")</f>
        <v>1 to 2hrs</v>
      </c>
      <c r="M778">
        <f>ROUND(calls[[#This Row],[Satisfaction Rating]],0)</f>
        <v>3</v>
      </c>
      <c r="N778">
        <f>COUNTIF(calls[Customer ID], calls[[#This Row],[Customer ID]])</f>
        <v>62</v>
      </c>
      <c r="O778">
        <f>SUMIF(calls[Customer ID], calls[[#This Row],[Customer ID]], calls[Purchase Amount])</f>
        <v>6176</v>
      </c>
      <c r="P778">
        <f>calls[[#This Row],[call count]]/calls[[#This Row],[Purchase Amount]]</f>
        <v>1.55</v>
      </c>
      <c r="Q778">
        <f>COUNTIF(calls[Customer ID],calls[[#This Row],[Customer ID]])</f>
        <v>62</v>
      </c>
      <c r="R778">
        <f>calls[[#This Row],[call count]]/calls[[#This Row],[Purchase Amount]]</f>
        <v>1.55</v>
      </c>
    </row>
    <row r="779" spans="1:18" x14ac:dyDescent="0.4">
      <c r="A779" t="s">
        <v>809</v>
      </c>
      <c r="B779" t="s">
        <v>64</v>
      </c>
      <c r="C779">
        <v>12</v>
      </c>
      <c r="D779" s="4" t="s">
        <v>27</v>
      </c>
      <c r="E779" s="5">
        <v>45200</v>
      </c>
      <c r="F779">
        <v>117</v>
      </c>
      <c r="G779">
        <f>AVERAGEIF(calls[Representative], calls[[#This Row],[Representative]], calls[Satisfaction Rating])</f>
        <v>3.8589371980676304</v>
      </c>
      <c r="H779" t="str">
        <f>IF(AVERAGEIF(calls[Representative],calls[[#This Row],[Representative]],calls[Satisfaction Rating])&lt;3.5,"Needs Training","OK")</f>
        <v>OK</v>
      </c>
      <c r="I779">
        <v>4.8</v>
      </c>
      <c r="J779">
        <f>IF(MONTH(calls[[#This Row],[Date of Call]])&lt;=6, YEAR(calls[[#This Row],[Date of Call]]), YEAR(calls[[#This Row],[Date of Call]])+1)</f>
        <v>2024</v>
      </c>
      <c r="K779" t="str">
        <f>TEXT(calls[[#This Row],[Date of Call]],"DDDD")</f>
        <v>Sunday</v>
      </c>
      <c r="L779" t="str" cm="1">
        <f t="array" ref="L779">_xlfn.IFS(calls[[#This Row],[Duration]]&lt;=10,"under 10 mins",calls[[#This Row],[Duration]]&lt;=30,"10 to 30mins",calls[[#This Row],[Duration]]&lt;=60,"60 to 30mins",calls[[#This Row],[Duration]]&lt;=120,"1 to 2hrs",TRUE,"More than 2 hrs")</f>
        <v>10 to 30mins</v>
      </c>
      <c r="M779">
        <f>ROUND(calls[[#This Row],[Satisfaction Rating]],0)</f>
        <v>5</v>
      </c>
      <c r="N779">
        <f>COUNTIF(calls[Customer ID], calls[[#This Row],[Customer ID]])</f>
        <v>65</v>
      </c>
      <c r="O779">
        <f>SUMIF(calls[Customer ID], calls[[#This Row],[Customer ID]], calls[Purchase Amount])</f>
        <v>6785</v>
      </c>
      <c r="P779">
        <f>calls[[#This Row],[call count]]/calls[[#This Row],[Purchase Amount]]</f>
        <v>0.55555555555555558</v>
      </c>
      <c r="Q779">
        <f>COUNTIF(calls[Customer ID],calls[[#This Row],[Customer ID]])</f>
        <v>65</v>
      </c>
      <c r="R779">
        <f>calls[[#This Row],[call count]]/calls[[#This Row],[Purchase Amount]]</f>
        <v>0.55555555555555558</v>
      </c>
    </row>
    <row r="780" spans="1:18" x14ac:dyDescent="0.4">
      <c r="A780" t="s">
        <v>810</v>
      </c>
      <c r="B780" t="s">
        <v>30</v>
      </c>
      <c r="C780">
        <v>78</v>
      </c>
      <c r="D780" s="4" t="s">
        <v>23</v>
      </c>
      <c r="E780" s="5">
        <v>45200</v>
      </c>
      <c r="F780">
        <v>135</v>
      </c>
      <c r="G780">
        <f>AVERAGEIF(calls[Representative], calls[[#This Row],[Representative]], calls[Satisfaction Rating])</f>
        <v>3.8973118279569863</v>
      </c>
      <c r="H780" t="str">
        <f>IF(AVERAGEIF(calls[Representative],calls[[#This Row],[Representative]],calls[Satisfaction Rating])&lt;3.5,"Needs Training","OK")</f>
        <v>OK</v>
      </c>
      <c r="I780">
        <v>4.0999999999999996</v>
      </c>
      <c r="J780">
        <f>IF(MONTH(calls[[#This Row],[Date of Call]])&lt;=6, YEAR(calls[[#This Row],[Date of Call]]), YEAR(calls[[#This Row],[Date of Call]])+1)</f>
        <v>2024</v>
      </c>
      <c r="K780" t="str">
        <f>TEXT(calls[[#This Row],[Date of Call]],"DDDD")</f>
        <v>Sunday</v>
      </c>
      <c r="L780" t="str" cm="1">
        <f t="array" ref="L780">_xlfn.IFS(calls[[#This Row],[Duration]]&lt;=10,"under 10 mins",calls[[#This Row],[Duration]]&lt;=30,"10 to 30mins",calls[[#This Row],[Duration]]&lt;=60,"60 to 30mins",calls[[#This Row],[Duration]]&lt;=120,"1 to 2hrs",TRUE,"More than 2 hrs")</f>
        <v>1 to 2hrs</v>
      </c>
      <c r="M780">
        <f>ROUND(calls[[#This Row],[Satisfaction Rating]],0)</f>
        <v>4</v>
      </c>
      <c r="N780">
        <f>COUNTIF(calls[Customer ID], calls[[#This Row],[Customer ID]])</f>
        <v>69</v>
      </c>
      <c r="O780">
        <f>SUMIF(calls[Customer ID], calls[[#This Row],[Customer ID]], calls[Purchase Amount])</f>
        <v>7230</v>
      </c>
      <c r="P780">
        <f>calls[[#This Row],[call count]]/calls[[#This Row],[Purchase Amount]]</f>
        <v>0.51111111111111107</v>
      </c>
      <c r="Q780">
        <f>COUNTIF(calls[Customer ID],calls[[#This Row],[Customer ID]])</f>
        <v>69</v>
      </c>
      <c r="R780">
        <f>calls[[#This Row],[call count]]/calls[[#This Row],[Purchase Amount]]</f>
        <v>0.51111111111111107</v>
      </c>
    </row>
    <row r="781" spans="1:18" x14ac:dyDescent="0.4">
      <c r="A781" t="s">
        <v>811</v>
      </c>
      <c r="B781" t="s">
        <v>51</v>
      </c>
      <c r="C781">
        <v>82</v>
      </c>
      <c r="D781" s="4" t="s">
        <v>9</v>
      </c>
      <c r="E781" s="5">
        <v>45200</v>
      </c>
      <c r="F781">
        <v>99</v>
      </c>
      <c r="G781">
        <f>AVERAGEIF(calls[Representative], calls[[#This Row],[Representative]], calls[Satisfaction Rating])</f>
        <v>3.8706422018348627</v>
      </c>
      <c r="H781" t="str">
        <f>IF(AVERAGEIF(calls[Representative],calls[[#This Row],[Representative]],calls[Satisfaction Rating])&lt;3.5,"Needs Training","OK")</f>
        <v>OK</v>
      </c>
      <c r="I781">
        <v>4.2</v>
      </c>
      <c r="J781">
        <f>IF(MONTH(calls[[#This Row],[Date of Call]])&lt;=6, YEAR(calls[[#This Row],[Date of Call]]), YEAR(calls[[#This Row],[Date of Call]])+1)</f>
        <v>2024</v>
      </c>
      <c r="K781" t="str">
        <f>TEXT(calls[[#This Row],[Date of Call]],"DDDD")</f>
        <v>Sunday</v>
      </c>
      <c r="L781" t="str" cm="1">
        <f t="array" ref="L781">_xlfn.IFS(calls[[#This Row],[Duration]]&lt;=10,"under 10 mins",calls[[#This Row],[Duration]]&lt;=30,"10 to 30mins",calls[[#This Row],[Duration]]&lt;=60,"60 to 30mins",calls[[#This Row],[Duration]]&lt;=120,"1 to 2hrs",TRUE,"More than 2 hrs")</f>
        <v>1 to 2hrs</v>
      </c>
      <c r="M781">
        <f>ROUND(calls[[#This Row],[Satisfaction Rating]],0)</f>
        <v>4</v>
      </c>
      <c r="N781">
        <f>COUNTIF(calls[Customer ID], calls[[#This Row],[Customer ID]])</f>
        <v>59</v>
      </c>
      <c r="O781">
        <f>SUMIF(calls[Customer ID], calls[[#This Row],[Customer ID]], calls[Purchase Amount])</f>
        <v>6518</v>
      </c>
      <c r="P781">
        <f>calls[[#This Row],[call count]]/calls[[#This Row],[Purchase Amount]]</f>
        <v>0.59595959595959591</v>
      </c>
      <c r="Q781">
        <f>COUNTIF(calls[Customer ID],calls[[#This Row],[Customer ID]])</f>
        <v>59</v>
      </c>
      <c r="R781">
        <f>calls[[#This Row],[call count]]/calls[[#This Row],[Purchase Amount]]</f>
        <v>0.59595959595959591</v>
      </c>
    </row>
    <row r="782" spans="1:18" x14ac:dyDescent="0.4">
      <c r="A782" t="s">
        <v>812</v>
      </c>
      <c r="B782" t="s">
        <v>26</v>
      </c>
      <c r="C782">
        <v>149</v>
      </c>
      <c r="D782" s="4" t="s">
        <v>14</v>
      </c>
      <c r="E782" s="5">
        <v>45200</v>
      </c>
      <c r="F782">
        <v>130</v>
      </c>
      <c r="G782">
        <f>AVERAGEIF(calls[Representative], calls[[#This Row],[Representative]], calls[Satisfaction Rating])</f>
        <v>3.9227513227513247</v>
      </c>
      <c r="H782" t="str">
        <f>IF(AVERAGEIF(calls[Representative],calls[[#This Row],[Representative]],calls[Satisfaction Rating])&lt;3.5,"Needs Training","OK")</f>
        <v>OK</v>
      </c>
      <c r="I782">
        <v>3.3</v>
      </c>
      <c r="J782">
        <f>IF(MONTH(calls[[#This Row],[Date of Call]])&lt;=6, YEAR(calls[[#This Row],[Date of Call]]), YEAR(calls[[#This Row],[Date of Call]])+1)</f>
        <v>2024</v>
      </c>
      <c r="K782" t="str">
        <f>TEXT(calls[[#This Row],[Date of Call]],"DDDD")</f>
        <v>Sunday</v>
      </c>
      <c r="L782" t="str" cm="1">
        <f t="array" ref="L782">_xlfn.IFS(calls[[#This Row],[Duration]]&lt;=10,"under 10 mins",calls[[#This Row],[Duration]]&lt;=30,"10 to 30mins",calls[[#This Row],[Duration]]&lt;=60,"60 to 30mins",calls[[#This Row],[Duration]]&lt;=120,"1 to 2hrs",TRUE,"More than 2 hrs")</f>
        <v>More than 2 hrs</v>
      </c>
      <c r="M782">
        <f>ROUND(calls[[#This Row],[Satisfaction Rating]],0)</f>
        <v>3</v>
      </c>
      <c r="N782">
        <f>COUNTIF(calls[Customer ID], calls[[#This Row],[Customer ID]])</f>
        <v>72</v>
      </c>
      <c r="O782">
        <f>SUMIF(calls[Customer ID], calls[[#This Row],[Customer ID]], calls[Purchase Amount])</f>
        <v>6242</v>
      </c>
      <c r="P782">
        <f>calls[[#This Row],[call count]]/calls[[#This Row],[Purchase Amount]]</f>
        <v>0.55384615384615388</v>
      </c>
      <c r="Q782">
        <f>COUNTIF(calls[Customer ID],calls[[#This Row],[Customer ID]])</f>
        <v>72</v>
      </c>
      <c r="R782">
        <f>calls[[#This Row],[call count]]/calls[[#This Row],[Purchase Amount]]</f>
        <v>0.55384615384615388</v>
      </c>
    </row>
    <row r="783" spans="1:18" x14ac:dyDescent="0.4">
      <c r="A783" t="s">
        <v>813</v>
      </c>
      <c r="B783" t="s">
        <v>21</v>
      </c>
      <c r="C783">
        <v>56</v>
      </c>
      <c r="D783" s="4" t="s">
        <v>27</v>
      </c>
      <c r="E783" s="5">
        <v>45200</v>
      </c>
      <c r="F783">
        <v>96</v>
      </c>
      <c r="G783">
        <f>AVERAGEIF(calls[Representative], calls[[#This Row],[Representative]], calls[Satisfaction Rating])</f>
        <v>3.8589371980676304</v>
      </c>
      <c r="H783" t="str">
        <f>IF(AVERAGEIF(calls[Representative],calls[[#This Row],[Representative]],calls[Satisfaction Rating])&lt;3.5,"Needs Training","OK")</f>
        <v>OK</v>
      </c>
      <c r="I783">
        <v>4.7</v>
      </c>
      <c r="J783">
        <f>IF(MONTH(calls[[#This Row],[Date of Call]])&lt;=6, YEAR(calls[[#This Row],[Date of Call]]), YEAR(calls[[#This Row],[Date of Call]])+1)</f>
        <v>2024</v>
      </c>
      <c r="K783" t="str">
        <f>TEXT(calls[[#This Row],[Date of Call]],"DDDD")</f>
        <v>Sunday</v>
      </c>
      <c r="L783" t="str" cm="1">
        <f t="array" ref="L783">_xlfn.IFS(calls[[#This Row],[Duration]]&lt;=10,"under 10 mins",calls[[#This Row],[Duration]]&lt;=30,"10 to 30mins",calls[[#This Row],[Duration]]&lt;=60,"60 to 30mins",calls[[#This Row],[Duration]]&lt;=120,"1 to 2hrs",TRUE,"More than 2 hrs")</f>
        <v>60 to 30mins</v>
      </c>
      <c r="M783">
        <f>ROUND(calls[[#This Row],[Satisfaction Rating]],0)</f>
        <v>5</v>
      </c>
      <c r="N783">
        <f>COUNTIF(calls[Customer ID], calls[[#This Row],[Customer ID]])</f>
        <v>67</v>
      </c>
      <c r="O783">
        <f>SUMIF(calls[Customer ID], calls[[#This Row],[Customer ID]], calls[Purchase Amount])</f>
        <v>7216</v>
      </c>
      <c r="P783">
        <f>calls[[#This Row],[call count]]/calls[[#This Row],[Purchase Amount]]</f>
        <v>0.69791666666666663</v>
      </c>
      <c r="Q783">
        <f>COUNTIF(calls[Customer ID],calls[[#This Row],[Customer ID]])</f>
        <v>67</v>
      </c>
      <c r="R783">
        <f>calls[[#This Row],[call count]]/calls[[#This Row],[Purchase Amount]]</f>
        <v>0.69791666666666663</v>
      </c>
    </row>
    <row r="784" spans="1:18" x14ac:dyDescent="0.4">
      <c r="A784" t="s">
        <v>814</v>
      </c>
      <c r="B784" t="s">
        <v>13</v>
      </c>
      <c r="C784">
        <v>80</v>
      </c>
      <c r="D784" s="4" t="s">
        <v>14</v>
      </c>
      <c r="E784" s="5">
        <v>45200</v>
      </c>
      <c r="F784">
        <v>128</v>
      </c>
      <c r="G784">
        <f>AVERAGEIF(calls[Representative], calls[[#This Row],[Representative]], calls[Satisfaction Rating])</f>
        <v>3.9227513227513247</v>
      </c>
      <c r="H784" t="str">
        <f>IF(AVERAGEIF(calls[Representative],calls[[#This Row],[Representative]],calls[Satisfaction Rating])&lt;3.5,"Needs Training","OK")</f>
        <v>OK</v>
      </c>
      <c r="I784">
        <v>3.7</v>
      </c>
      <c r="J784">
        <f>IF(MONTH(calls[[#This Row],[Date of Call]])&lt;=6, YEAR(calls[[#This Row],[Date of Call]]), YEAR(calls[[#This Row],[Date of Call]])+1)</f>
        <v>2024</v>
      </c>
      <c r="K784" t="str">
        <f>TEXT(calls[[#This Row],[Date of Call]],"DDDD")</f>
        <v>Sunday</v>
      </c>
      <c r="L784" t="str" cm="1">
        <f t="array" ref="L784">_xlfn.IFS(calls[[#This Row],[Duration]]&lt;=10,"under 10 mins",calls[[#This Row],[Duration]]&lt;=30,"10 to 30mins",calls[[#This Row],[Duration]]&lt;=60,"60 to 30mins",calls[[#This Row],[Duration]]&lt;=120,"1 to 2hrs",TRUE,"More than 2 hrs")</f>
        <v>1 to 2hrs</v>
      </c>
      <c r="M784">
        <f>ROUND(calls[[#This Row],[Satisfaction Rating]],0)</f>
        <v>4</v>
      </c>
      <c r="N784">
        <f>COUNTIF(calls[Customer ID], calls[[#This Row],[Customer ID]])</f>
        <v>74</v>
      </c>
      <c r="O784">
        <f>SUMIF(calls[Customer ID], calls[[#This Row],[Customer ID]], calls[Purchase Amount])</f>
        <v>6749</v>
      </c>
      <c r="P784">
        <f>calls[[#This Row],[call count]]/calls[[#This Row],[Purchase Amount]]</f>
        <v>0.578125</v>
      </c>
      <c r="Q784">
        <f>COUNTIF(calls[Customer ID],calls[[#This Row],[Customer ID]])</f>
        <v>74</v>
      </c>
      <c r="R784">
        <f>calls[[#This Row],[call count]]/calls[[#This Row],[Purchase Amount]]</f>
        <v>0.578125</v>
      </c>
    </row>
    <row r="785" spans="1:18" x14ac:dyDescent="0.4">
      <c r="A785" t="s">
        <v>815</v>
      </c>
      <c r="B785" t="s">
        <v>84</v>
      </c>
      <c r="C785">
        <v>131</v>
      </c>
      <c r="D785" s="4" t="s">
        <v>2</v>
      </c>
      <c r="E785" s="5">
        <v>45200</v>
      </c>
      <c r="F785">
        <v>69</v>
      </c>
      <c r="G785">
        <f>AVERAGEIF(calls[Representative], calls[[#This Row],[Representative]], calls[Satisfaction Rating])</f>
        <v>3.8824999999999998</v>
      </c>
      <c r="H785" t="str">
        <f>IF(AVERAGEIF(calls[Representative],calls[[#This Row],[Representative]],calls[Satisfaction Rating])&lt;3.5,"Needs Training","OK")</f>
        <v>OK</v>
      </c>
      <c r="I785">
        <v>4.7</v>
      </c>
      <c r="J785">
        <f>IF(MONTH(calls[[#This Row],[Date of Call]])&lt;=6, YEAR(calls[[#This Row],[Date of Call]]), YEAR(calls[[#This Row],[Date of Call]])+1)</f>
        <v>2024</v>
      </c>
      <c r="K785" t="str">
        <f>TEXT(calls[[#This Row],[Date of Call]],"DDDD")</f>
        <v>Sunday</v>
      </c>
      <c r="L785" t="str" cm="1">
        <f t="array" ref="L785">_xlfn.IFS(calls[[#This Row],[Duration]]&lt;=10,"under 10 mins",calls[[#This Row],[Duration]]&lt;=30,"10 to 30mins",calls[[#This Row],[Duration]]&lt;=60,"60 to 30mins",calls[[#This Row],[Duration]]&lt;=120,"1 to 2hrs",TRUE,"More than 2 hrs")</f>
        <v>More than 2 hrs</v>
      </c>
      <c r="M785">
        <f>ROUND(calls[[#This Row],[Satisfaction Rating]],0)</f>
        <v>5</v>
      </c>
      <c r="N785">
        <f>COUNTIF(calls[Customer ID], calls[[#This Row],[Customer ID]])</f>
        <v>59</v>
      </c>
      <c r="O785">
        <f>SUMIF(calls[Customer ID], calls[[#This Row],[Customer ID]], calls[Purchase Amount])</f>
        <v>5009</v>
      </c>
      <c r="P785">
        <f>calls[[#This Row],[call count]]/calls[[#This Row],[Purchase Amount]]</f>
        <v>0.85507246376811596</v>
      </c>
      <c r="Q785">
        <f>COUNTIF(calls[Customer ID],calls[[#This Row],[Customer ID]])</f>
        <v>59</v>
      </c>
      <c r="R785">
        <f>calls[[#This Row],[call count]]/calls[[#This Row],[Purchase Amount]]</f>
        <v>0.85507246376811596</v>
      </c>
    </row>
    <row r="786" spans="1:18" x14ac:dyDescent="0.4">
      <c r="A786" t="s">
        <v>816</v>
      </c>
      <c r="B786" t="s">
        <v>84</v>
      </c>
      <c r="C786">
        <v>109</v>
      </c>
      <c r="D786" s="4" t="s">
        <v>2</v>
      </c>
      <c r="E786" s="5">
        <v>45200</v>
      </c>
      <c r="F786">
        <v>44</v>
      </c>
      <c r="G786">
        <f>AVERAGEIF(calls[Representative], calls[[#This Row],[Representative]], calls[Satisfaction Rating])</f>
        <v>3.8824999999999998</v>
      </c>
      <c r="H786" t="str">
        <f>IF(AVERAGEIF(calls[Representative],calls[[#This Row],[Representative]],calls[Satisfaction Rating])&lt;3.5,"Needs Training","OK")</f>
        <v>OK</v>
      </c>
      <c r="I786">
        <v>4.5999999999999996</v>
      </c>
      <c r="J786">
        <f>IF(MONTH(calls[[#This Row],[Date of Call]])&lt;=6, YEAR(calls[[#This Row],[Date of Call]]), YEAR(calls[[#This Row],[Date of Call]])+1)</f>
        <v>2024</v>
      </c>
      <c r="K786" t="str">
        <f>TEXT(calls[[#This Row],[Date of Call]],"DDDD")</f>
        <v>Sunday</v>
      </c>
      <c r="L786" t="str" cm="1">
        <f t="array" ref="L786">_xlfn.IFS(calls[[#This Row],[Duration]]&lt;=10,"under 10 mins",calls[[#This Row],[Duration]]&lt;=30,"10 to 30mins",calls[[#This Row],[Duration]]&lt;=60,"60 to 30mins",calls[[#This Row],[Duration]]&lt;=120,"1 to 2hrs",TRUE,"More than 2 hrs")</f>
        <v>1 to 2hrs</v>
      </c>
      <c r="M786">
        <f>ROUND(calls[[#This Row],[Satisfaction Rating]],0)</f>
        <v>5</v>
      </c>
      <c r="N786">
        <f>COUNTIF(calls[Customer ID], calls[[#This Row],[Customer ID]])</f>
        <v>59</v>
      </c>
      <c r="O786">
        <f>SUMIF(calls[Customer ID], calls[[#This Row],[Customer ID]], calls[Purchase Amount])</f>
        <v>5009</v>
      </c>
      <c r="P786">
        <f>calls[[#This Row],[call count]]/calls[[#This Row],[Purchase Amount]]</f>
        <v>1.3409090909090908</v>
      </c>
      <c r="Q786">
        <f>COUNTIF(calls[Customer ID],calls[[#This Row],[Customer ID]])</f>
        <v>59</v>
      </c>
      <c r="R786">
        <f>calls[[#This Row],[call count]]/calls[[#This Row],[Purchase Amount]]</f>
        <v>1.3409090909090908</v>
      </c>
    </row>
    <row r="787" spans="1:18" x14ac:dyDescent="0.4">
      <c r="A787" t="s">
        <v>817</v>
      </c>
      <c r="B787" t="s">
        <v>21</v>
      </c>
      <c r="C787">
        <v>142</v>
      </c>
      <c r="D787" s="4" t="s">
        <v>2</v>
      </c>
      <c r="E787" s="5">
        <v>45200</v>
      </c>
      <c r="F787">
        <v>44</v>
      </c>
      <c r="G787">
        <f>AVERAGEIF(calls[Representative], calls[[#This Row],[Representative]], calls[Satisfaction Rating])</f>
        <v>3.8824999999999998</v>
      </c>
      <c r="H787" t="str">
        <f>IF(AVERAGEIF(calls[Representative],calls[[#This Row],[Representative]],calls[Satisfaction Rating])&lt;3.5,"Needs Training","OK")</f>
        <v>OK</v>
      </c>
      <c r="I787">
        <v>4.8</v>
      </c>
      <c r="J787">
        <f>IF(MONTH(calls[[#This Row],[Date of Call]])&lt;=6, YEAR(calls[[#This Row],[Date of Call]]), YEAR(calls[[#This Row],[Date of Call]])+1)</f>
        <v>2024</v>
      </c>
      <c r="K787" t="str">
        <f>TEXT(calls[[#This Row],[Date of Call]],"DDDD")</f>
        <v>Sunday</v>
      </c>
      <c r="L787" t="str" cm="1">
        <f t="array" ref="L787">_xlfn.IFS(calls[[#This Row],[Duration]]&lt;=10,"under 10 mins",calls[[#This Row],[Duration]]&lt;=30,"10 to 30mins",calls[[#This Row],[Duration]]&lt;=60,"60 to 30mins",calls[[#This Row],[Duration]]&lt;=120,"1 to 2hrs",TRUE,"More than 2 hrs")</f>
        <v>More than 2 hrs</v>
      </c>
      <c r="M787">
        <f>ROUND(calls[[#This Row],[Satisfaction Rating]],0)</f>
        <v>5</v>
      </c>
      <c r="N787">
        <f>COUNTIF(calls[Customer ID], calls[[#This Row],[Customer ID]])</f>
        <v>67</v>
      </c>
      <c r="O787">
        <f>SUMIF(calls[Customer ID], calls[[#This Row],[Customer ID]], calls[Purchase Amount])</f>
        <v>7216</v>
      </c>
      <c r="P787">
        <f>calls[[#This Row],[call count]]/calls[[#This Row],[Purchase Amount]]</f>
        <v>1.5227272727272727</v>
      </c>
      <c r="Q787">
        <f>COUNTIF(calls[Customer ID],calls[[#This Row],[Customer ID]])</f>
        <v>67</v>
      </c>
      <c r="R787">
        <f>calls[[#This Row],[call count]]/calls[[#This Row],[Purchase Amount]]</f>
        <v>1.5227272727272727</v>
      </c>
    </row>
    <row r="788" spans="1:18" x14ac:dyDescent="0.4">
      <c r="A788" t="s">
        <v>818</v>
      </c>
      <c r="B788" t="s">
        <v>40</v>
      </c>
      <c r="C788">
        <v>114</v>
      </c>
      <c r="D788" s="4" t="s">
        <v>27</v>
      </c>
      <c r="E788" s="5">
        <v>45201</v>
      </c>
      <c r="F788">
        <v>135</v>
      </c>
      <c r="G788">
        <f>AVERAGEIF(calls[Representative], calls[[#This Row],[Representative]], calls[Satisfaction Rating])</f>
        <v>3.8589371980676304</v>
      </c>
      <c r="H788" t="str">
        <f>IF(AVERAGEIF(calls[Representative],calls[[#This Row],[Representative]],calls[Satisfaction Rating])&lt;3.5,"Needs Training","OK")</f>
        <v>OK</v>
      </c>
      <c r="I788">
        <v>2</v>
      </c>
      <c r="J788">
        <f>IF(MONTH(calls[[#This Row],[Date of Call]])&lt;=6, YEAR(calls[[#This Row],[Date of Call]]), YEAR(calls[[#This Row],[Date of Call]])+1)</f>
        <v>2024</v>
      </c>
      <c r="K788" t="str">
        <f>TEXT(calls[[#This Row],[Date of Call]],"DDDD")</f>
        <v>Monday</v>
      </c>
      <c r="L788" t="str" cm="1">
        <f t="array" ref="L788">_xlfn.IFS(calls[[#This Row],[Duration]]&lt;=10,"under 10 mins",calls[[#This Row],[Duration]]&lt;=30,"10 to 30mins",calls[[#This Row],[Duration]]&lt;=60,"60 to 30mins",calls[[#This Row],[Duration]]&lt;=120,"1 to 2hrs",TRUE,"More than 2 hrs")</f>
        <v>1 to 2hrs</v>
      </c>
      <c r="M788">
        <f>ROUND(calls[[#This Row],[Satisfaction Rating]],0)</f>
        <v>2</v>
      </c>
      <c r="N788">
        <f>COUNTIF(calls[Customer ID], calls[[#This Row],[Customer ID]])</f>
        <v>69</v>
      </c>
      <c r="O788">
        <f>SUMIF(calls[Customer ID], calls[[#This Row],[Customer ID]], calls[Purchase Amount])</f>
        <v>6601</v>
      </c>
      <c r="P788">
        <f>calls[[#This Row],[call count]]/calls[[#This Row],[Purchase Amount]]</f>
        <v>0.51111111111111107</v>
      </c>
      <c r="Q788">
        <f>COUNTIF(calls[Customer ID],calls[[#This Row],[Customer ID]])</f>
        <v>69</v>
      </c>
      <c r="R788">
        <f>calls[[#This Row],[call count]]/calls[[#This Row],[Purchase Amount]]</f>
        <v>0.51111111111111107</v>
      </c>
    </row>
    <row r="789" spans="1:18" x14ac:dyDescent="0.4">
      <c r="A789" t="s">
        <v>819</v>
      </c>
      <c r="B789" t="s">
        <v>11</v>
      </c>
      <c r="C789">
        <v>93</v>
      </c>
      <c r="D789" s="4" t="s">
        <v>14</v>
      </c>
      <c r="E789" s="5">
        <v>45201</v>
      </c>
      <c r="F789">
        <v>45</v>
      </c>
      <c r="G789">
        <f>AVERAGEIF(calls[Representative], calls[[#This Row],[Representative]], calls[Satisfaction Rating])</f>
        <v>3.9227513227513247</v>
      </c>
      <c r="H789" t="str">
        <f>IF(AVERAGEIF(calls[Representative],calls[[#This Row],[Representative]],calls[Satisfaction Rating])&lt;3.5,"Needs Training","OK")</f>
        <v>OK</v>
      </c>
      <c r="I789">
        <v>3.9</v>
      </c>
      <c r="J789">
        <f>IF(MONTH(calls[[#This Row],[Date of Call]])&lt;=6, YEAR(calls[[#This Row],[Date of Call]]), YEAR(calls[[#This Row],[Date of Call]])+1)</f>
        <v>2024</v>
      </c>
      <c r="K789" t="str">
        <f>TEXT(calls[[#This Row],[Date of Call]],"DDDD")</f>
        <v>Monday</v>
      </c>
      <c r="L789" t="str" cm="1">
        <f t="array" ref="L789">_xlfn.IFS(calls[[#This Row],[Duration]]&lt;=10,"under 10 mins",calls[[#This Row],[Duration]]&lt;=30,"10 to 30mins",calls[[#This Row],[Duration]]&lt;=60,"60 to 30mins",calls[[#This Row],[Duration]]&lt;=120,"1 to 2hrs",TRUE,"More than 2 hrs")</f>
        <v>1 to 2hrs</v>
      </c>
      <c r="M789">
        <f>ROUND(calls[[#This Row],[Satisfaction Rating]],0)</f>
        <v>4</v>
      </c>
      <c r="N789">
        <f>COUNTIF(calls[Customer ID], calls[[#This Row],[Customer ID]])</f>
        <v>60</v>
      </c>
      <c r="O789">
        <f>SUMIF(calls[Customer ID], calls[[#This Row],[Customer ID]], calls[Purchase Amount])</f>
        <v>5404</v>
      </c>
      <c r="P789">
        <f>calls[[#This Row],[call count]]/calls[[#This Row],[Purchase Amount]]</f>
        <v>1.3333333333333333</v>
      </c>
      <c r="Q789">
        <f>COUNTIF(calls[Customer ID],calls[[#This Row],[Customer ID]])</f>
        <v>60</v>
      </c>
      <c r="R789">
        <f>calls[[#This Row],[call count]]/calls[[#This Row],[Purchase Amount]]</f>
        <v>1.3333333333333333</v>
      </c>
    </row>
    <row r="790" spans="1:18" x14ac:dyDescent="0.4">
      <c r="A790" t="s">
        <v>820</v>
      </c>
      <c r="B790" t="s">
        <v>64</v>
      </c>
      <c r="C790">
        <v>43</v>
      </c>
      <c r="D790" s="4" t="s">
        <v>14</v>
      </c>
      <c r="E790" s="5">
        <v>45201</v>
      </c>
      <c r="F790">
        <v>87</v>
      </c>
      <c r="G790">
        <f>AVERAGEIF(calls[Representative], calls[[#This Row],[Representative]], calls[Satisfaction Rating])</f>
        <v>3.9227513227513247</v>
      </c>
      <c r="H790" t="str">
        <f>IF(AVERAGEIF(calls[Representative],calls[[#This Row],[Representative]],calls[Satisfaction Rating])&lt;3.5,"Needs Training","OK")</f>
        <v>OK</v>
      </c>
      <c r="I790">
        <v>3</v>
      </c>
      <c r="J790">
        <f>IF(MONTH(calls[[#This Row],[Date of Call]])&lt;=6, YEAR(calls[[#This Row],[Date of Call]]), YEAR(calls[[#This Row],[Date of Call]])+1)</f>
        <v>2024</v>
      </c>
      <c r="K790" t="str">
        <f>TEXT(calls[[#This Row],[Date of Call]],"DDDD")</f>
        <v>Monday</v>
      </c>
      <c r="L790" t="str" cm="1">
        <f t="array" ref="L790">_xlfn.IFS(calls[[#This Row],[Duration]]&lt;=10,"under 10 mins",calls[[#This Row],[Duration]]&lt;=30,"10 to 30mins",calls[[#This Row],[Duration]]&lt;=60,"60 to 30mins",calls[[#This Row],[Duration]]&lt;=120,"1 to 2hrs",TRUE,"More than 2 hrs")</f>
        <v>60 to 30mins</v>
      </c>
      <c r="M790">
        <f>ROUND(calls[[#This Row],[Satisfaction Rating]],0)</f>
        <v>3</v>
      </c>
      <c r="N790">
        <f>COUNTIF(calls[Customer ID], calls[[#This Row],[Customer ID]])</f>
        <v>65</v>
      </c>
      <c r="O790">
        <f>SUMIF(calls[Customer ID], calls[[#This Row],[Customer ID]], calls[Purchase Amount])</f>
        <v>6785</v>
      </c>
      <c r="P790">
        <f>calls[[#This Row],[call count]]/calls[[#This Row],[Purchase Amount]]</f>
        <v>0.74712643678160917</v>
      </c>
      <c r="Q790">
        <f>COUNTIF(calls[Customer ID],calls[[#This Row],[Customer ID]])</f>
        <v>65</v>
      </c>
      <c r="R790">
        <f>calls[[#This Row],[call count]]/calls[[#This Row],[Purchase Amount]]</f>
        <v>0.74712643678160917</v>
      </c>
    </row>
    <row r="791" spans="1:18" x14ac:dyDescent="0.4">
      <c r="A791" t="s">
        <v>821</v>
      </c>
      <c r="B791" t="s">
        <v>32</v>
      </c>
      <c r="C791">
        <v>78</v>
      </c>
      <c r="D791" s="4" t="s">
        <v>23</v>
      </c>
      <c r="E791" s="5">
        <v>45202</v>
      </c>
      <c r="F791">
        <v>84</v>
      </c>
      <c r="G791">
        <f>AVERAGEIF(calls[Representative], calls[[#This Row],[Representative]], calls[Satisfaction Rating])</f>
        <v>3.8973118279569863</v>
      </c>
      <c r="H791" t="str">
        <f>IF(AVERAGEIF(calls[Representative],calls[[#This Row],[Representative]],calls[Satisfaction Rating])&lt;3.5,"Needs Training","OK")</f>
        <v>OK</v>
      </c>
      <c r="I791">
        <v>4.5999999999999996</v>
      </c>
      <c r="J791">
        <f>IF(MONTH(calls[[#This Row],[Date of Call]])&lt;=6, YEAR(calls[[#This Row],[Date of Call]]), YEAR(calls[[#This Row],[Date of Call]])+1)</f>
        <v>2024</v>
      </c>
      <c r="K791" t="str">
        <f>TEXT(calls[[#This Row],[Date of Call]],"DDDD")</f>
        <v>Tuesday</v>
      </c>
      <c r="L791" t="str" cm="1">
        <f t="array" ref="L791">_xlfn.IFS(calls[[#This Row],[Duration]]&lt;=10,"under 10 mins",calls[[#This Row],[Duration]]&lt;=30,"10 to 30mins",calls[[#This Row],[Duration]]&lt;=60,"60 to 30mins",calls[[#This Row],[Duration]]&lt;=120,"1 to 2hrs",TRUE,"More than 2 hrs")</f>
        <v>1 to 2hrs</v>
      </c>
      <c r="M791">
        <f>ROUND(calls[[#This Row],[Satisfaction Rating]],0)</f>
        <v>5</v>
      </c>
      <c r="N791">
        <f>COUNTIF(calls[Customer ID], calls[[#This Row],[Customer ID]])</f>
        <v>63</v>
      </c>
      <c r="O791">
        <f>SUMIF(calls[Customer ID], calls[[#This Row],[Customer ID]], calls[Purchase Amount])</f>
        <v>5634</v>
      </c>
      <c r="P791">
        <f>calls[[#This Row],[call count]]/calls[[#This Row],[Purchase Amount]]</f>
        <v>0.75</v>
      </c>
      <c r="Q791">
        <f>COUNTIF(calls[Customer ID],calls[[#This Row],[Customer ID]])</f>
        <v>63</v>
      </c>
      <c r="R791">
        <f>calls[[#This Row],[call count]]/calls[[#This Row],[Purchase Amount]]</f>
        <v>0.75</v>
      </c>
    </row>
    <row r="792" spans="1:18" x14ac:dyDescent="0.4">
      <c r="A792" t="s">
        <v>822</v>
      </c>
      <c r="B792" t="s">
        <v>40</v>
      </c>
      <c r="C792">
        <v>89</v>
      </c>
      <c r="D792" s="4" t="s">
        <v>2</v>
      </c>
      <c r="E792" s="5">
        <v>45202</v>
      </c>
      <c r="F792">
        <v>81</v>
      </c>
      <c r="G792">
        <f>AVERAGEIF(calls[Representative], calls[[#This Row],[Representative]], calls[Satisfaction Rating])</f>
        <v>3.8824999999999998</v>
      </c>
      <c r="H792" t="str">
        <f>IF(AVERAGEIF(calls[Representative],calls[[#This Row],[Representative]],calls[Satisfaction Rating])&lt;3.5,"Needs Training","OK")</f>
        <v>OK</v>
      </c>
      <c r="I792">
        <v>3.8</v>
      </c>
      <c r="J792">
        <f>IF(MONTH(calls[[#This Row],[Date of Call]])&lt;=6, YEAR(calls[[#This Row],[Date of Call]]), YEAR(calls[[#This Row],[Date of Call]])+1)</f>
        <v>2024</v>
      </c>
      <c r="K792" t="str">
        <f>TEXT(calls[[#This Row],[Date of Call]],"DDDD")</f>
        <v>Tuesday</v>
      </c>
      <c r="L792" t="str" cm="1">
        <f t="array" ref="L792">_xlfn.IFS(calls[[#This Row],[Duration]]&lt;=10,"under 10 mins",calls[[#This Row],[Duration]]&lt;=30,"10 to 30mins",calls[[#This Row],[Duration]]&lt;=60,"60 to 30mins",calls[[#This Row],[Duration]]&lt;=120,"1 to 2hrs",TRUE,"More than 2 hrs")</f>
        <v>1 to 2hrs</v>
      </c>
      <c r="M792">
        <f>ROUND(calls[[#This Row],[Satisfaction Rating]],0)</f>
        <v>4</v>
      </c>
      <c r="N792">
        <f>COUNTIF(calls[Customer ID], calls[[#This Row],[Customer ID]])</f>
        <v>69</v>
      </c>
      <c r="O792">
        <f>SUMIF(calls[Customer ID], calls[[#This Row],[Customer ID]], calls[Purchase Amount])</f>
        <v>6601</v>
      </c>
      <c r="P792">
        <f>calls[[#This Row],[call count]]/calls[[#This Row],[Purchase Amount]]</f>
        <v>0.85185185185185186</v>
      </c>
      <c r="Q792">
        <f>COUNTIF(calls[Customer ID],calls[[#This Row],[Customer ID]])</f>
        <v>69</v>
      </c>
      <c r="R792">
        <f>calls[[#This Row],[call count]]/calls[[#This Row],[Purchase Amount]]</f>
        <v>0.85185185185185186</v>
      </c>
    </row>
    <row r="793" spans="1:18" x14ac:dyDescent="0.4">
      <c r="A793" t="s">
        <v>823</v>
      </c>
      <c r="B793" t="s">
        <v>21</v>
      </c>
      <c r="C793">
        <v>82</v>
      </c>
      <c r="D793" s="4" t="s">
        <v>9</v>
      </c>
      <c r="E793" s="5">
        <v>45202</v>
      </c>
      <c r="F793">
        <v>130</v>
      </c>
      <c r="G793">
        <f>AVERAGEIF(calls[Representative], calls[[#This Row],[Representative]], calls[Satisfaction Rating])</f>
        <v>3.8706422018348627</v>
      </c>
      <c r="H793" t="str">
        <f>IF(AVERAGEIF(calls[Representative],calls[[#This Row],[Representative]],calls[Satisfaction Rating])&lt;3.5,"Needs Training","OK")</f>
        <v>OK</v>
      </c>
      <c r="I793">
        <v>4.4000000000000004</v>
      </c>
      <c r="J793">
        <f>IF(MONTH(calls[[#This Row],[Date of Call]])&lt;=6, YEAR(calls[[#This Row],[Date of Call]]), YEAR(calls[[#This Row],[Date of Call]])+1)</f>
        <v>2024</v>
      </c>
      <c r="K793" t="str">
        <f>TEXT(calls[[#This Row],[Date of Call]],"DDDD")</f>
        <v>Tuesday</v>
      </c>
      <c r="L793" t="str" cm="1">
        <f t="array" ref="L793">_xlfn.IFS(calls[[#This Row],[Duration]]&lt;=10,"under 10 mins",calls[[#This Row],[Duration]]&lt;=30,"10 to 30mins",calls[[#This Row],[Duration]]&lt;=60,"60 to 30mins",calls[[#This Row],[Duration]]&lt;=120,"1 to 2hrs",TRUE,"More than 2 hrs")</f>
        <v>1 to 2hrs</v>
      </c>
      <c r="M793">
        <f>ROUND(calls[[#This Row],[Satisfaction Rating]],0)</f>
        <v>4</v>
      </c>
      <c r="N793">
        <f>COUNTIF(calls[Customer ID], calls[[#This Row],[Customer ID]])</f>
        <v>67</v>
      </c>
      <c r="O793">
        <f>SUMIF(calls[Customer ID], calls[[#This Row],[Customer ID]], calls[Purchase Amount])</f>
        <v>7216</v>
      </c>
      <c r="P793">
        <f>calls[[#This Row],[call count]]/calls[[#This Row],[Purchase Amount]]</f>
        <v>0.51538461538461533</v>
      </c>
      <c r="Q793">
        <f>COUNTIF(calls[Customer ID],calls[[#This Row],[Customer ID]])</f>
        <v>67</v>
      </c>
      <c r="R793">
        <f>calls[[#This Row],[call count]]/calls[[#This Row],[Purchase Amount]]</f>
        <v>0.51538461538461533</v>
      </c>
    </row>
    <row r="794" spans="1:18" x14ac:dyDescent="0.4">
      <c r="A794" t="s">
        <v>824</v>
      </c>
      <c r="B794" t="s">
        <v>13</v>
      </c>
      <c r="C794">
        <v>86</v>
      </c>
      <c r="D794" s="4" t="s">
        <v>2</v>
      </c>
      <c r="E794" s="5">
        <v>45203</v>
      </c>
      <c r="F794">
        <v>92</v>
      </c>
      <c r="G794">
        <f>AVERAGEIF(calls[Representative], calls[[#This Row],[Representative]], calls[Satisfaction Rating])</f>
        <v>3.8824999999999998</v>
      </c>
      <c r="H794" t="str">
        <f>IF(AVERAGEIF(calls[Representative],calls[[#This Row],[Representative]],calls[Satisfaction Rating])&lt;3.5,"Needs Training","OK")</f>
        <v>OK</v>
      </c>
      <c r="I794">
        <v>2.4</v>
      </c>
      <c r="J794">
        <f>IF(MONTH(calls[[#This Row],[Date of Call]])&lt;=6, YEAR(calls[[#This Row],[Date of Call]]), YEAR(calls[[#This Row],[Date of Call]])+1)</f>
        <v>2024</v>
      </c>
      <c r="K794" t="str">
        <f>TEXT(calls[[#This Row],[Date of Call]],"DDDD")</f>
        <v>Wednesday</v>
      </c>
      <c r="L794" t="str" cm="1">
        <f t="array" ref="L794">_xlfn.IFS(calls[[#This Row],[Duration]]&lt;=10,"under 10 mins",calls[[#This Row],[Duration]]&lt;=30,"10 to 30mins",calls[[#This Row],[Duration]]&lt;=60,"60 to 30mins",calls[[#This Row],[Duration]]&lt;=120,"1 to 2hrs",TRUE,"More than 2 hrs")</f>
        <v>1 to 2hrs</v>
      </c>
      <c r="M794">
        <f>ROUND(calls[[#This Row],[Satisfaction Rating]],0)</f>
        <v>2</v>
      </c>
      <c r="N794">
        <f>COUNTIF(calls[Customer ID], calls[[#This Row],[Customer ID]])</f>
        <v>74</v>
      </c>
      <c r="O794">
        <f>SUMIF(calls[Customer ID], calls[[#This Row],[Customer ID]], calls[Purchase Amount])</f>
        <v>6749</v>
      </c>
      <c r="P794">
        <f>calls[[#This Row],[call count]]/calls[[#This Row],[Purchase Amount]]</f>
        <v>0.80434782608695654</v>
      </c>
      <c r="Q794">
        <f>COUNTIF(calls[Customer ID],calls[[#This Row],[Customer ID]])</f>
        <v>74</v>
      </c>
      <c r="R794">
        <f>calls[[#This Row],[call count]]/calls[[#This Row],[Purchase Amount]]</f>
        <v>0.80434782608695654</v>
      </c>
    </row>
    <row r="795" spans="1:18" x14ac:dyDescent="0.4">
      <c r="A795" t="s">
        <v>825</v>
      </c>
      <c r="B795" t="s">
        <v>54</v>
      </c>
      <c r="C795">
        <v>57</v>
      </c>
      <c r="D795" s="4" t="s">
        <v>23</v>
      </c>
      <c r="E795" s="5">
        <v>45203</v>
      </c>
      <c r="F795">
        <v>48</v>
      </c>
      <c r="G795">
        <f>AVERAGEIF(calls[Representative], calls[[#This Row],[Representative]], calls[Satisfaction Rating])</f>
        <v>3.8973118279569863</v>
      </c>
      <c r="H795" t="str">
        <f>IF(AVERAGEIF(calls[Representative],calls[[#This Row],[Representative]],calls[Satisfaction Rating])&lt;3.5,"Needs Training","OK")</f>
        <v>OK</v>
      </c>
      <c r="I795">
        <v>4.5</v>
      </c>
      <c r="J795">
        <f>IF(MONTH(calls[[#This Row],[Date of Call]])&lt;=6, YEAR(calls[[#This Row],[Date of Call]]), YEAR(calls[[#This Row],[Date of Call]])+1)</f>
        <v>2024</v>
      </c>
      <c r="K795" t="str">
        <f>TEXT(calls[[#This Row],[Date of Call]],"DDDD")</f>
        <v>Wednesday</v>
      </c>
      <c r="L795" t="str" cm="1">
        <f t="array" ref="L795">_xlfn.IFS(calls[[#This Row],[Duration]]&lt;=10,"under 10 mins",calls[[#This Row],[Duration]]&lt;=30,"10 to 30mins",calls[[#This Row],[Duration]]&lt;=60,"60 to 30mins",calls[[#This Row],[Duration]]&lt;=120,"1 to 2hrs",TRUE,"More than 2 hrs")</f>
        <v>60 to 30mins</v>
      </c>
      <c r="M795">
        <f>ROUND(calls[[#This Row],[Satisfaction Rating]],0)</f>
        <v>5</v>
      </c>
      <c r="N795">
        <f>COUNTIF(calls[Customer ID], calls[[#This Row],[Customer ID]])</f>
        <v>70</v>
      </c>
      <c r="O795">
        <f>SUMIF(calls[Customer ID], calls[[#This Row],[Customer ID]], calls[Purchase Amount])</f>
        <v>6819</v>
      </c>
      <c r="P795">
        <f>calls[[#This Row],[call count]]/calls[[#This Row],[Purchase Amount]]</f>
        <v>1.4583333333333333</v>
      </c>
      <c r="Q795">
        <f>COUNTIF(calls[Customer ID],calls[[#This Row],[Customer ID]])</f>
        <v>70</v>
      </c>
      <c r="R795">
        <f>calls[[#This Row],[call count]]/calls[[#This Row],[Purchase Amount]]</f>
        <v>1.4583333333333333</v>
      </c>
    </row>
    <row r="796" spans="1:18" x14ac:dyDescent="0.4">
      <c r="A796" t="s">
        <v>826</v>
      </c>
      <c r="B796" t="s">
        <v>11</v>
      </c>
      <c r="C796">
        <v>103</v>
      </c>
      <c r="D796" s="4" t="s">
        <v>27</v>
      </c>
      <c r="E796" s="5">
        <v>45203</v>
      </c>
      <c r="F796">
        <v>160</v>
      </c>
      <c r="G796">
        <f>AVERAGEIF(calls[Representative], calls[[#This Row],[Representative]], calls[Satisfaction Rating])</f>
        <v>3.8589371980676304</v>
      </c>
      <c r="H796" t="str">
        <f>IF(AVERAGEIF(calls[Representative],calls[[#This Row],[Representative]],calls[Satisfaction Rating])&lt;3.5,"Needs Training","OK")</f>
        <v>OK</v>
      </c>
      <c r="I796">
        <v>4.5</v>
      </c>
      <c r="J796">
        <f>IF(MONTH(calls[[#This Row],[Date of Call]])&lt;=6, YEAR(calls[[#This Row],[Date of Call]]), YEAR(calls[[#This Row],[Date of Call]])+1)</f>
        <v>2024</v>
      </c>
      <c r="K796" t="str">
        <f>TEXT(calls[[#This Row],[Date of Call]],"DDDD")</f>
        <v>Wednesday</v>
      </c>
      <c r="L796" t="str" cm="1">
        <f t="array" ref="L796">_xlfn.IFS(calls[[#This Row],[Duration]]&lt;=10,"under 10 mins",calls[[#This Row],[Duration]]&lt;=30,"10 to 30mins",calls[[#This Row],[Duration]]&lt;=60,"60 to 30mins",calls[[#This Row],[Duration]]&lt;=120,"1 to 2hrs",TRUE,"More than 2 hrs")</f>
        <v>1 to 2hrs</v>
      </c>
      <c r="M796">
        <f>ROUND(calls[[#This Row],[Satisfaction Rating]],0)</f>
        <v>5</v>
      </c>
      <c r="N796">
        <f>COUNTIF(calls[Customer ID], calls[[#This Row],[Customer ID]])</f>
        <v>60</v>
      </c>
      <c r="O796">
        <f>SUMIF(calls[Customer ID], calls[[#This Row],[Customer ID]], calls[Purchase Amount])</f>
        <v>5404</v>
      </c>
      <c r="P796">
        <f>calls[[#This Row],[call count]]/calls[[#This Row],[Purchase Amount]]</f>
        <v>0.375</v>
      </c>
      <c r="Q796">
        <f>COUNTIF(calls[Customer ID],calls[[#This Row],[Customer ID]])</f>
        <v>60</v>
      </c>
      <c r="R796">
        <f>calls[[#This Row],[call count]]/calls[[#This Row],[Purchase Amount]]</f>
        <v>0.375</v>
      </c>
    </row>
    <row r="797" spans="1:18" x14ac:dyDescent="0.4">
      <c r="A797" t="s">
        <v>827</v>
      </c>
      <c r="B797" t="s">
        <v>30</v>
      </c>
      <c r="C797">
        <v>138</v>
      </c>
      <c r="D797" s="4" t="s">
        <v>23</v>
      </c>
      <c r="E797" s="5">
        <v>45204</v>
      </c>
      <c r="F797">
        <v>155</v>
      </c>
      <c r="G797">
        <f>AVERAGEIF(calls[Representative], calls[[#This Row],[Representative]], calls[Satisfaction Rating])</f>
        <v>3.8973118279569863</v>
      </c>
      <c r="H797" t="str">
        <f>IF(AVERAGEIF(calls[Representative],calls[[#This Row],[Representative]],calls[Satisfaction Rating])&lt;3.5,"Needs Training","OK")</f>
        <v>OK</v>
      </c>
      <c r="I797">
        <v>2.7</v>
      </c>
      <c r="J797">
        <f>IF(MONTH(calls[[#This Row],[Date of Call]])&lt;=6, YEAR(calls[[#This Row],[Date of Call]]), YEAR(calls[[#This Row],[Date of Call]])+1)</f>
        <v>2024</v>
      </c>
      <c r="K797" t="str">
        <f>TEXT(calls[[#This Row],[Date of Call]],"DDDD")</f>
        <v>Thursday</v>
      </c>
      <c r="L797" t="str" cm="1">
        <f t="array" ref="L797">_xlfn.IFS(calls[[#This Row],[Duration]]&lt;=10,"under 10 mins",calls[[#This Row],[Duration]]&lt;=30,"10 to 30mins",calls[[#This Row],[Duration]]&lt;=60,"60 to 30mins",calls[[#This Row],[Duration]]&lt;=120,"1 to 2hrs",TRUE,"More than 2 hrs")</f>
        <v>More than 2 hrs</v>
      </c>
      <c r="M797">
        <f>ROUND(calls[[#This Row],[Satisfaction Rating]],0)</f>
        <v>3</v>
      </c>
      <c r="N797">
        <f>COUNTIF(calls[Customer ID], calls[[#This Row],[Customer ID]])</f>
        <v>69</v>
      </c>
      <c r="O797">
        <f>SUMIF(calls[Customer ID], calls[[#This Row],[Customer ID]], calls[Purchase Amount])</f>
        <v>7230</v>
      </c>
      <c r="P797">
        <f>calls[[#This Row],[call count]]/calls[[#This Row],[Purchase Amount]]</f>
        <v>0.44516129032258067</v>
      </c>
      <c r="Q797">
        <f>COUNTIF(calls[Customer ID],calls[[#This Row],[Customer ID]])</f>
        <v>69</v>
      </c>
      <c r="R797">
        <f>calls[[#This Row],[call count]]/calls[[#This Row],[Purchase Amount]]</f>
        <v>0.44516129032258067</v>
      </c>
    </row>
    <row r="798" spans="1:18" x14ac:dyDescent="0.4">
      <c r="A798" t="s">
        <v>828</v>
      </c>
      <c r="B798" t="s">
        <v>26</v>
      </c>
      <c r="C798">
        <v>88</v>
      </c>
      <c r="D798" s="4" t="s">
        <v>9</v>
      </c>
      <c r="E798" s="5">
        <v>45204</v>
      </c>
      <c r="F798">
        <v>100</v>
      </c>
      <c r="G798">
        <f>AVERAGEIF(calls[Representative], calls[[#This Row],[Representative]], calls[Satisfaction Rating])</f>
        <v>3.8706422018348627</v>
      </c>
      <c r="H798" t="str">
        <f>IF(AVERAGEIF(calls[Representative],calls[[#This Row],[Representative]],calls[Satisfaction Rating])&lt;3.5,"Needs Training","OK")</f>
        <v>OK</v>
      </c>
      <c r="I798">
        <v>4.9000000000000004</v>
      </c>
      <c r="J798">
        <f>IF(MONTH(calls[[#This Row],[Date of Call]])&lt;=6, YEAR(calls[[#This Row],[Date of Call]]), YEAR(calls[[#This Row],[Date of Call]])+1)</f>
        <v>2024</v>
      </c>
      <c r="K798" t="str">
        <f>TEXT(calls[[#This Row],[Date of Call]],"DDDD")</f>
        <v>Thursday</v>
      </c>
      <c r="L798" t="str" cm="1">
        <f t="array" ref="L798">_xlfn.IFS(calls[[#This Row],[Duration]]&lt;=10,"under 10 mins",calls[[#This Row],[Duration]]&lt;=30,"10 to 30mins",calls[[#This Row],[Duration]]&lt;=60,"60 to 30mins",calls[[#This Row],[Duration]]&lt;=120,"1 to 2hrs",TRUE,"More than 2 hrs")</f>
        <v>1 to 2hrs</v>
      </c>
      <c r="M798">
        <f>ROUND(calls[[#This Row],[Satisfaction Rating]],0)</f>
        <v>5</v>
      </c>
      <c r="N798">
        <f>COUNTIF(calls[Customer ID], calls[[#This Row],[Customer ID]])</f>
        <v>72</v>
      </c>
      <c r="O798">
        <f>SUMIF(calls[Customer ID], calls[[#This Row],[Customer ID]], calls[Purchase Amount])</f>
        <v>6242</v>
      </c>
      <c r="P798">
        <f>calls[[#This Row],[call count]]/calls[[#This Row],[Purchase Amount]]</f>
        <v>0.72</v>
      </c>
      <c r="Q798">
        <f>COUNTIF(calls[Customer ID],calls[[#This Row],[Customer ID]])</f>
        <v>72</v>
      </c>
      <c r="R798">
        <f>calls[[#This Row],[call count]]/calls[[#This Row],[Purchase Amount]]</f>
        <v>0.72</v>
      </c>
    </row>
    <row r="799" spans="1:18" x14ac:dyDescent="0.4">
      <c r="A799" t="s">
        <v>829</v>
      </c>
      <c r="B799" t="s">
        <v>40</v>
      </c>
      <c r="C799">
        <v>118</v>
      </c>
      <c r="D799" s="4" t="s">
        <v>14</v>
      </c>
      <c r="E799" s="5">
        <v>45204</v>
      </c>
      <c r="F799">
        <v>56</v>
      </c>
      <c r="G799">
        <f>AVERAGEIF(calls[Representative], calls[[#This Row],[Representative]], calls[Satisfaction Rating])</f>
        <v>3.9227513227513247</v>
      </c>
      <c r="H799" t="str">
        <f>IF(AVERAGEIF(calls[Representative],calls[[#This Row],[Representative]],calls[Satisfaction Rating])&lt;3.5,"Needs Training","OK")</f>
        <v>OK</v>
      </c>
      <c r="I799">
        <v>3.7</v>
      </c>
      <c r="J799">
        <f>IF(MONTH(calls[[#This Row],[Date of Call]])&lt;=6, YEAR(calls[[#This Row],[Date of Call]]), YEAR(calls[[#This Row],[Date of Call]])+1)</f>
        <v>2024</v>
      </c>
      <c r="K799" t="str">
        <f>TEXT(calls[[#This Row],[Date of Call]],"DDDD")</f>
        <v>Thursday</v>
      </c>
      <c r="L799" t="str" cm="1">
        <f t="array" ref="L799">_xlfn.IFS(calls[[#This Row],[Duration]]&lt;=10,"under 10 mins",calls[[#This Row],[Duration]]&lt;=30,"10 to 30mins",calls[[#This Row],[Duration]]&lt;=60,"60 to 30mins",calls[[#This Row],[Duration]]&lt;=120,"1 to 2hrs",TRUE,"More than 2 hrs")</f>
        <v>1 to 2hrs</v>
      </c>
      <c r="M799">
        <f>ROUND(calls[[#This Row],[Satisfaction Rating]],0)</f>
        <v>4</v>
      </c>
      <c r="N799">
        <f>COUNTIF(calls[Customer ID], calls[[#This Row],[Customer ID]])</f>
        <v>69</v>
      </c>
      <c r="O799">
        <f>SUMIF(calls[Customer ID], calls[[#This Row],[Customer ID]], calls[Purchase Amount])</f>
        <v>6601</v>
      </c>
      <c r="P799">
        <f>calls[[#This Row],[call count]]/calls[[#This Row],[Purchase Amount]]</f>
        <v>1.2321428571428572</v>
      </c>
      <c r="Q799">
        <f>COUNTIF(calls[Customer ID],calls[[#This Row],[Customer ID]])</f>
        <v>69</v>
      </c>
      <c r="R799">
        <f>calls[[#This Row],[call count]]/calls[[#This Row],[Purchase Amount]]</f>
        <v>1.2321428571428572</v>
      </c>
    </row>
    <row r="800" spans="1:18" x14ac:dyDescent="0.4">
      <c r="A800" t="s">
        <v>830</v>
      </c>
      <c r="B800" t="s">
        <v>13</v>
      </c>
      <c r="C800">
        <v>4</v>
      </c>
      <c r="D800" s="4" t="s">
        <v>2</v>
      </c>
      <c r="E800" s="5">
        <v>45204</v>
      </c>
      <c r="F800">
        <v>170</v>
      </c>
      <c r="G800">
        <f>AVERAGEIF(calls[Representative], calls[[#This Row],[Representative]], calls[Satisfaction Rating])</f>
        <v>3.8824999999999998</v>
      </c>
      <c r="H800" t="str">
        <f>IF(AVERAGEIF(calls[Representative],calls[[#This Row],[Representative]],calls[Satisfaction Rating])&lt;3.5,"Needs Training","OK")</f>
        <v>OK</v>
      </c>
      <c r="I800">
        <v>3.9</v>
      </c>
      <c r="J800">
        <f>IF(MONTH(calls[[#This Row],[Date of Call]])&lt;=6, YEAR(calls[[#This Row],[Date of Call]]), YEAR(calls[[#This Row],[Date of Call]])+1)</f>
        <v>2024</v>
      </c>
      <c r="K800" t="str">
        <f>TEXT(calls[[#This Row],[Date of Call]],"DDDD")</f>
        <v>Thursday</v>
      </c>
      <c r="L800" t="str" cm="1">
        <f t="array" ref="L800">_xlfn.IFS(calls[[#This Row],[Duration]]&lt;=10,"under 10 mins",calls[[#This Row],[Duration]]&lt;=30,"10 to 30mins",calls[[#This Row],[Duration]]&lt;=60,"60 to 30mins",calls[[#This Row],[Duration]]&lt;=120,"1 to 2hrs",TRUE,"More than 2 hrs")</f>
        <v>under 10 mins</v>
      </c>
      <c r="M800">
        <f>ROUND(calls[[#This Row],[Satisfaction Rating]],0)</f>
        <v>4</v>
      </c>
      <c r="N800">
        <f>COUNTIF(calls[Customer ID], calls[[#This Row],[Customer ID]])</f>
        <v>74</v>
      </c>
      <c r="O800">
        <f>SUMIF(calls[Customer ID], calls[[#This Row],[Customer ID]], calls[Purchase Amount])</f>
        <v>6749</v>
      </c>
      <c r="P800">
        <f>calls[[#This Row],[call count]]/calls[[#This Row],[Purchase Amount]]</f>
        <v>0.43529411764705883</v>
      </c>
      <c r="Q800">
        <f>COUNTIF(calls[Customer ID],calls[[#This Row],[Customer ID]])</f>
        <v>74</v>
      </c>
      <c r="R800">
        <f>calls[[#This Row],[call count]]/calls[[#This Row],[Purchase Amount]]</f>
        <v>0.43529411764705883</v>
      </c>
    </row>
    <row r="801" spans="1:18" x14ac:dyDescent="0.4">
      <c r="A801" t="s">
        <v>831</v>
      </c>
      <c r="B801" t="s">
        <v>64</v>
      </c>
      <c r="C801">
        <v>78</v>
      </c>
      <c r="D801" s="4" t="s">
        <v>27</v>
      </c>
      <c r="E801" s="5">
        <v>45205</v>
      </c>
      <c r="F801">
        <v>74</v>
      </c>
      <c r="G801">
        <f>AVERAGEIF(calls[Representative], calls[[#This Row],[Representative]], calls[Satisfaction Rating])</f>
        <v>3.8589371980676304</v>
      </c>
      <c r="H801" t="str">
        <f>IF(AVERAGEIF(calls[Representative],calls[[#This Row],[Representative]],calls[Satisfaction Rating])&lt;3.5,"Needs Training","OK")</f>
        <v>OK</v>
      </c>
      <c r="I801">
        <v>3.5</v>
      </c>
      <c r="J801">
        <f>IF(MONTH(calls[[#This Row],[Date of Call]])&lt;=6, YEAR(calls[[#This Row],[Date of Call]]), YEAR(calls[[#This Row],[Date of Call]])+1)</f>
        <v>2024</v>
      </c>
      <c r="K801" t="str">
        <f>TEXT(calls[[#This Row],[Date of Call]],"DDDD")</f>
        <v>Friday</v>
      </c>
      <c r="L801" t="str" cm="1">
        <f t="array" ref="L801">_xlfn.IFS(calls[[#This Row],[Duration]]&lt;=10,"under 10 mins",calls[[#This Row],[Duration]]&lt;=30,"10 to 30mins",calls[[#This Row],[Duration]]&lt;=60,"60 to 30mins",calls[[#This Row],[Duration]]&lt;=120,"1 to 2hrs",TRUE,"More than 2 hrs")</f>
        <v>1 to 2hrs</v>
      </c>
      <c r="M801">
        <f>ROUND(calls[[#This Row],[Satisfaction Rating]],0)</f>
        <v>4</v>
      </c>
      <c r="N801">
        <f>COUNTIF(calls[Customer ID], calls[[#This Row],[Customer ID]])</f>
        <v>65</v>
      </c>
      <c r="O801">
        <f>SUMIF(calls[Customer ID], calls[[#This Row],[Customer ID]], calls[Purchase Amount])</f>
        <v>6785</v>
      </c>
      <c r="P801">
        <f>calls[[#This Row],[call count]]/calls[[#This Row],[Purchase Amount]]</f>
        <v>0.8783783783783784</v>
      </c>
      <c r="Q801">
        <f>COUNTIF(calls[Customer ID],calls[[#This Row],[Customer ID]])</f>
        <v>65</v>
      </c>
      <c r="R801">
        <f>calls[[#This Row],[call count]]/calls[[#This Row],[Purchase Amount]]</f>
        <v>0.8783783783783784</v>
      </c>
    </row>
    <row r="802" spans="1:18" x14ac:dyDescent="0.4">
      <c r="A802" t="s">
        <v>832</v>
      </c>
      <c r="B802" t="s">
        <v>44</v>
      </c>
      <c r="C802">
        <v>69</v>
      </c>
      <c r="D802" s="4" t="s">
        <v>2</v>
      </c>
      <c r="E802" s="5">
        <v>45205</v>
      </c>
      <c r="F802">
        <v>99</v>
      </c>
      <c r="G802">
        <f>AVERAGEIF(calls[Representative], calls[[#This Row],[Representative]], calls[Satisfaction Rating])</f>
        <v>3.8824999999999998</v>
      </c>
      <c r="H802" t="str">
        <f>IF(AVERAGEIF(calls[Representative],calls[[#This Row],[Representative]],calls[Satisfaction Rating])&lt;3.5,"Needs Training","OK")</f>
        <v>OK</v>
      </c>
      <c r="I802">
        <v>2.7</v>
      </c>
      <c r="J802">
        <f>IF(MONTH(calls[[#This Row],[Date of Call]])&lt;=6, YEAR(calls[[#This Row],[Date of Call]]), YEAR(calls[[#This Row],[Date of Call]])+1)</f>
        <v>2024</v>
      </c>
      <c r="K802" t="str">
        <f>TEXT(calls[[#This Row],[Date of Call]],"DDDD")</f>
        <v>Friday</v>
      </c>
      <c r="L802" t="str" cm="1">
        <f t="array" ref="L802">_xlfn.IFS(calls[[#This Row],[Duration]]&lt;=10,"under 10 mins",calls[[#This Row],[Duration]]&lt;=30,"10 to 30mins",calls[[#This Row],[Duration]]&lt;=60,"60 to 30mins",calls[[#This Row],[Duration]]&lt;=120,"1 to 2hrs",TRUE,"More than 2 hrs")</f>
        <v>1 to 2hrs</v>
      </c>
      <c r="M802">
        <f>ROUND(calls[[#This Row],[Satisfaction Rating]],0)</f>
        <v>3</v>
      </c>
      <c r="N802">
        <f>COUNTIF(calls[Customer ID], calls[[#This Row],[Customer ID]])</f>
        <v>62</v>
      </c>
      <c r="O802">
        <f>SUMIF(calls[Customer ID], calls[[#This Row],[Customer ID]], calls[Purchase Amount])</f>
        <v>6176</v>
      </c>
      <c r="P802">
        <f>calls[[#This Row],[call count]]/calls[[#This Row],[Purchase Amount]]</f>
        <v>0.6262626262626263</v>
      </c>
      <c r="Q802">
        <f>COUNTIF(calls[Customer ID],calls[[#This Row],[Customer ID]])</f>
        <v>62</v>
      </c>
      <c r="R802">
        <f>calls[[#This Row],[call count]]/calls[[#This Row],[Purchase Amount]]</f>
        <v>0.6262626262626263</v>
      </c>
    </row>
    <row r="803" spans="1:18" x14ac:dyDescent="0.4">
      <c r="A803" t="s">
        <v>833</v>
      </c>
      <c r="B803" t="s">
        <v>21</v>
      </c>
      <c r="C803">
        <v>90</v>
      </c>
      <c r="D803" s="4" t="s">
        <v>23</v>
      </c>
      <c r="E803" s="5">
        <v>45205</v>
      </c>
      <c r="F803">
        <v>84</v>
      </c>
      <c r="G803">
        <f>AVERAGEIF(calls[Representative], calls[[#This Row],[Representative]], calls[Satisfaction Rating])</f>
        <v>3.8973118279569863</v>
      </c>
      <c r="H803" t="str">
        <f>IF(AVERAGEIF(calls[Representative],calls[[#This Row],[Representative]],calls[Satisfaction Rating])&lt;3.5,"Needs Training","OK")</f>
        <v>OK</v>
      </c>
      <c r="I803">
        <v>3.9</v>
      </c>
      <c r="J803">
        <f>IF(MONTH(calls[[#This Row],[Date of Call]])&lt;=6, YEAR(calls[[#This Row],[Date of Call]]), YEAR(calls[[#This Row],[Date of Call]])+1)</f>
        <v>2024</v>
      </c>
      <c r="K803" t="str">
        <f>TEXT(calls[[#This Row],[Date of Call]],"DDDD")</f>
        <v>Friday</v>
      </c>
      <c r="L803" t="str" cm="1">
        <f t="array" ref="L803">_xlfn.IFS(calls[[#This Row],[Duration]]&lt;=10,"under 10 mins",calls[[#This Row],[Duration]]&lt;=30,"10 to 30mins",calls[[#This Row],[Duration]]&lt;=60,"60 to 30mins",calls[[#This Row],[Duration]]&lt;=120,"1 to 2hrs",TRUE,"More than 2 hrs")</f>
        <v>1 to 2hrs</v>
      </c>
      <c r="M803">
        <f>ROUND(calls[[#This Row],[Satisfaction Rating]],0)</f>
        <v>4</v>
      </c>
      <c r="N803">
        <f>COUNTIF(calls[Customer ID], calls[[#This Row],[Customer ID]])</f>
        <v>67</v>
      </c>
      <c r="O803">
        <f>SUMIF(calls[Customer ID], calls[[#This Row],[Customer ID]], calls[Purchase Amount])</f>
        <v>7216</v>
      </c>
      <c r="P803">
        <f>calls[[#This Row],[call count]]/calls[[#This Row],[Purchase Amount]]</f>
        <v>0.79761904761904767</v>
      </c>
      <c r="Q803">
        <f>COUNTIF(calls[Customer ID],calls[[#This Row],[Customer ID]])</f>
        <v>67</v>
      </c>
      <c r="R803">
        <f>calls[[#This Row],[call count]]/calls[[#This Row],[Purchase Amount]]</f>
        <v>0.79761904761904767</v>
      </c>
    </row>
    <row r="804" spans="1:18" x14ac:dyDescent="0.4">
      <c r="A804" t="s">
        <v>834</v>
      </c>
      <c r="B804" t="s">
        <v>44</v>
      </c>
      <c r="C804">
        <v>134</v>
      </c>
      <c r="D804" s="4" t="s">
        <v>2</v>
      </c>
      <c r="E804" s="5">
        <v>45205</v>
      </c>
      <c r="F804">
        <v>35</v>
      </c>
      <c r="G804">
        <f>AVERAGEIF(calls[Representative], calls[[#This Row],[Representative]], calls[Satisfaction Rating])</f>
        <v>3.8824999999999998</v>
      </c>
      <c r="H804" t="str">
        <f>IF(AVERAGEIF(calls[Representative],calls[[#This Row],[Representative]],calls[Satisfaction Rating])&lt;3.5,"Needs Training","OK")</f>
        <v>OK</v>
      </c>
      <c r="I804">
        <v>3.4</v>
      </c>
      <c r="J804">
        <f>IF(MONTH(calls[[#This Row],[Date of Call]])&lt;=6, YEAR(calls[[#This Row],[Date of Call]]), YEAR(calls[[#This Row],[Date of Call]])+1)</f>
        <v>2024</v>
      </c>
      <c r="K804" t="str">
        <f>TEXT(calls[[#This Row],[Date of Call]],"DDDD")</f>
        <v>Friday</v>
      </c>
      <c r="L804" t="str" cm="1">
        <f t="array" ref="L804">_xlfn.IFS(calls[[#This Row],[Duration]]&lt;=10,"under 10 mins",calls[[#This Row],[Duration]]&lt;=30,"10 to 30mins",calls[[#This Row],[Duration]]&lt;=60,"60 to 30mins",calls[[#This Row],[Duration]]&lt;=120,"1 to 2hrs",TRUE,"More than 2 hrs")</f>
        <v>More than 2 hrs</v>
      </c>
      <c r="M804">
        <f>ROUND(calls[[#This Row],[Satisfaction Rating]],0)</f>
        <v>3</v>
      </c>
      <c r="N804">
        <f>COUNTIF(calls[Customer ID], calls[[#This Row],[Customer ID]])</f>
        <v>62</v>
      </c>
      <c r="O804">
        <f>SUMIF(calls[Customer ID], calls[[#This Row],[Customer ID]], calls[Purchase Amount])</f>
        <v>6176</v>
      </c>
      <c r="P804">
        <f>calls[[#This Row],[call count]]/calls[[#This Row],[Purchase Amount]]</f>
        <v>1.7714285714285714</v>
      </c>
      <c r="Q804">
        <f>COUNTIF(calls[Customer ID],calls[[#This Row],[Customer ID]])</f>
        <v>62</v>
      </c>
      <c r="R804">
        <f>calls[[#This Row],[call count]]/calls[[#This Row],[Purchase Amount]]</f>
        <v>1.7714285714285714</v>
      </c>
    </row>
    <row r="805" spans="1:18" x14ac:dyDescent="0.4">
      <c r="A805" t="s">
        <v>835</v>
      </c>
      <c r="B805" t="s">
        <v>6</v>
      </c>
      <c r="C805">
        <v>65</v>
      </c>
      <c r="D805" s="4" t="s">
        <v>14</v>
      </c>
      <c r="E805" s="5">
        <v>45205</v>
      </c>
      <c r="F805">
        <v>150</v>
      </c>
      <c r="G805">
        <f>AVERAGEIF(calls[Representative], calls[[#This Row],[Representative]], calls[Satisfaction Rating])</f>
        <v>3.9227513227513247</v>
      </c>
      <c r="H805" t="str">
        <f>IF(AVERAGEIF(calls[Representative],calls[[#This Row],[Representative]],calls[Satisfaction Rating])&lt;3.5,"Needs Training","OK")</f>
        <v>OK</v>
      </c>
      <c r="I805">
        <v>5</v>
      </c>
      <c r="J805">
        <f>IF(MONTH(calls[[#This Row],[Date of Call]])&lt;=6, YEAR(calls[[#This Row],[Date of Call]]), YEAR(calls[[#This Row],[Date of Call]])+1)</f>
        <v>2024</v>
      </c>
      <c r="K805" t="str">
        <f>TEXT(calls[[#This Row],[Date of Call]],"DDDD")</f>
        <v>Friday</v>
      </c>
      <c r="L805" t="str" cm="1">
        <f t="array" ref="L805">_xlfn.IFS(calls[[#This Row],[Duration]]&lt;=10,"under 10 mins",calls[[#This Row],[Duration]]&lt;=30,"10 to 30mins",calls[[#This Row],[Duration]]&lt;=60,"60 to 30mins",calls[[#This Row],[Duration]]&lt;=120,"1 to 2hrs",TRUE,"More than 2 hrs")</f>
        <v>1 to 2hrs</v>
      </c>
      <c r="M805">
        <f>ROUND(calls[[#This Row],[Satisfaction Rating]],0)</f>
        <v>5</v>
      </c>
      <c r="N805">
        <f>COUNTIF(calls[Customer ID], calls[[#This Row],[Customer ID]])</f>
        <v>82</v>
      </c>
      <c r="O805">
        <f>SUMIF(calls[Customer ID], calls[[#This Row],[Customer ID]], calls[Purchase Amount])</f>
        <v>7689</v>
      </c>
      <c r="P805">
        <f>calls[[#This Row],[call count]]/calls[[#This Row],[Purchase Amount]]</f>
        <v>0.54666666666666663</v>
      </c>
      <c r="Q805">
        <f>COUNTIF(calls[Customer ID],calls[[#This Row],[Customer ID]])</f>
        <v>82</v>
      </c>
      <c r="R805">
        <f>calls[[#This Row],[call count]]/calls[[#This Row],[Purchase Amount]]</f>
        <v>0.54666666666666663</v>
      </c>
    </row>
    <row r="806" spans="1:18" x14ac:dyDescent="0.4">
      <c r="A806" t="s">
        <v>836</v>
      </c>
      <c r="B806" t="s">
        <v>8</v>
      </c>
      <c r="C806">
        <v>54</v>
      </c>
      <c r="D806" s="4" t="s">
        <v>27</v>
      </c>
      <c r="E806" s="5">
        <v>45206</v>
      </c>
      <c r="F806">
        <v>176</v>
      </c>
      <c r="G806">
        <f>AVERAGEIF(calls[Representative], calls[[#This Row],[Representative]], calls[Satisfaction Rating])</f>
        <v>3.8589371980676304</v>
      </c>
      <c r="H806" t="str">
        <f>IF(AVERAGEIF(calls[Representative],calls[[#This Row],[Representative]],calls[Satisfaction Rating])&lt;3.5,"Needs Training","OK")</f>
        <v>OK</v>
      </c>
      <c r="I806">
        <v>4.4000000000000004</v>
      </c>
      <c r="J806">
        <f>IF(MONTH(calls[[#This Row],[Date of Call]])&lt;=6, YEAR(calls[[#This Row],[Date of Call]]), YEAR(calls[[#This Row],[Date of Call]])+1)</f>
        <v>2024</v>
      </c>
      <c r="K806" t="str">
        <f>TEXT(calls[[#This Row],[Date of Call]],"DDDD")</f>
        <v>Saturday</v>
      </c>
      <c r="L806" t="str" cm="1">
        <f t="array" ref="L806">_xlfn.IFS(calls[[#This Row],[Duration]]&lt;=10,"under 10 mins",calls[[#This Row],[Duration]]&lt;=30,"10 to 30mins",calls[[#This Row],[Duration]]&lt;=60,"60 to 30mins",calls[[#This Row],[Duration]]&lt;=120,"1 to 2hrs",TRUE,"More than 2 hrs")</f>
        <v>60 to 30mins</v>
      </c>
      <c r="M806">
        <f>ROUND(calls[[#This Row],[Satisfaction Rating]],0)</f>
        <v>4</v>
      </c>
      <c r="N806">
        <f>COUNTIF(calls[Customer ID], calls[[#This Row],[Customer ID]])</f>
        <v>79</v>
      </c>
      <c r="O806">
        <f>SUMIF(calls[Customer ID], calls[[#This Row],[Customer ID]], calls[Purchase Amount])</f>
        <v>7747</v>
      </c>
      <c r="P806">
        <f>calls[[#This Row],[call count]]/calls[[#This Row],[Purchase Amount]]</f>
        <v>0.44886363636363635</v>
      </c>
      <c r="Q806">
        <f>COUNTIF(calls[Customer ID],calls[[#This Row],[Customer ID]])</f>
        <v>79</v>
      </c>
      <c r="R806">
        <f>calls[[#This Row],[call count]]/calls[[#This Row],[Purchase Amount]]</f>
        <v>0.44886363636363635</v>
      </c>
    </row>
    <row r="807" spans="1:18" x14ac:dyDescent="0.4">
      <c r="A807" t="s">
        <v>837</v>
      </c>
      <c r="B807" t="s">
        <v>8</v>
      </c>
      <c r="C807">
        <v>90</v>
      </c>
      <c r="D807" s="4" t="s">
        <v>27</v>
      </c>
      <c r="E807" s="5">
        <v>45206</v>
      </c>
      <c r="F807">
        <v>84</v>
      </c>
      <c r="G807">
        <f>AVERAGEIF(calls[Representative], calls[[#This Row],[Representative]], calls[Satisfaction Rating])</f>
        <v>3.8589371980676304</v>
      </c>
      <c r="H807" t="str">
        <f>IF(AVERAGEIF(calls[Representative],calls[[#This Row],[Representative]],calls[Satisfaction Rating])&lt;3.5,"Needs Training","OK")</f>
        <v>OK</v>
      </c>
      <c r="I807">
        <v>4.3</v>
      </c>
      <c r="J807">
        <f>IF(MONTH(calls[[#This Row],[Date of Call]])&lt;=6, YEAR(calls[[#This Row],[Date of Call]]), YEAR(calls[[#This Row],[Date of Call]])+1)</f>
        <v>2024</v>
      </c>
      <c r="K807" t="str">
        <f>TEXT(calls[[#This Row],[Date of Call]],"DDDD")</f>
        <v>Saturday</v>
      </c>
      <c r="L807" t="str" cm="1">
        <f t="array" ref="L807">_xlfn.IFS(calls[[#This Row],[Duration]]&lt;=10,"under 10 mins",calls[[#This Row],[Duration]]&lt;=30,"10 to 30mins",calls[[#This Row],[Duration]]&lt;=60,"60 to 30mins",calls[[#This Row],[Duration]]&lt;=120,"1 to 2hrs",TRUE,"More than 2 hrs")</f>
        <v>1 to 2hrs</v>
      </c>
      <c r="M807">
        <f>ROUND(calls[[#This Row],[Satisfaction Rating]],0)</f>
        <v>4</v>
      </c>
      <c r="N807">
        <f>COUNTIF(calls[Customer ID], calls[[#This Row],[Customer ID]])</f>
        <v>79</v>
      </c>
      <c r="O807">
        <f>SUMIF(calls[Customer ID], calls[[#This Row],[Customer ID]], calls[Purchase Amount])</f>
        <v>7747</v>
      </c>
      <c r="P807">
        <f>calls[[#This Row],[call count]]/calls[[#This Row],[Purchase Amount]]</f>
        <v>0.94047619047619047</v>
      </c>
      <c r="Q807">
        <f>COUNTIF(calls[Customer ID],calls[[#This Row],[Customer ID]])</f>
        <v>79</v>
      </c>
      <c r="R807">
        <f>calls[[#This Row],[call count]]/calls[[#This Row],[Purchase Amount]]</f>
        <v>0.94047619047619047</v>
      </c>
    </row>
    <row r="808" spans="1:18" x14ac:dyDescent="0.4">
      <c r="A808" t="s">
        <v>838</v>
      </c>
      <c r="B808" t="s">
        <v>21</v>
      </c>
      <c r="C808">
        <v>66</v>
      </c>
      <c r="D808" s="4" t="s">
        <v>27</v>
      </c>
      <c r="E808" s="5">
        <v>45206</v>
      </c>
      <c r="F808">
        <v>136</v>
      </c>
      <c r="G808">
        <f>AVERAGEIF(calls[Representative], calls[[#This Row],[Representative]], calls[Satisfaction Rating])</f>
        <v>3.8589371980676304</v>
      </c>
      <c r="H808" t="str">
        <f>IF(AVERAGEIF(calls[Representative],calls[[#This Row],[Representative]],calls[Satisfaction Rating])&lt;3.5,"Needs Training","OK")</f>
        <v>OK</v>
      </c>
      <c r="I808">
        <v>4.7</v>
      </c>
      <c r="J808">
        <f>IF(MONTH(calls[[#This Row],[Date of Call]])&lt;=6, YEAR(calls[[#This Row],[Date of Call]]), YEAR(calls[[#This Row],[Date of Call]])+1)</f>
        <v>2024</v>
      </c>
      <c r="K808" t="str">
        <f>TEXT(calls[[#This Row],[Date of Call]],"DDDD")</f>
        <v>Saturday</v>
      </c>
      <c r="L808" t="str" cm="1">
        <f t="array" ref="L808">_xlfn.IFS(calls[[#This Row],[Duration]]&lt;=10,"under 10 mins",calls[[#This Row],[Duration]]&lt;=30,"10 to 30mins",calls[[#This Row],[Duration]]&lt;=60,"60 to 30mins",calls[[#This Row],[Duration]]&lt;=120,"1 to 2hrs",TRUE,"More than 2 hrs")</f>
        <v>1 to 2hrs</v>
      </c>
      <c r="M808">
        <f>ROUND(calls[[#This Row],[Satisfaction Rating]],0)</f>
        <v>5</v>
      </c>
      <c r="N808">
        <f>COUNTIF(calls[Customer ID], calls[[#This Row],[Customer ID]])</f>
        <v>67</v>
      </c>
      <c r="O808">
        <f>SUMIF(calls[Customer ID], calls[[#This Row],[Customer ID]], calls[Purchase Amount])</f>
        <v>7216</v>
      </c>
      <c r="P808">
        <f>calls[[#This Row],[call count]]/calls[[#This Row],[Purchase Amount]]</f>
        <v>0.49264705882352944</v>
      </c>
      <c r="Q808">
        <f>COUNTIF(calls[Customer ID],calls[[#This Row],[Customer ID]])</f>
        <v>67</v>
      </c>
      <c r="R808">
        <f>calls[[#This Row],[call count]]/calls[[#This Row],[Purchase Amount]]</f>
        <v>0.49264705882352944</v>
      </c>
    </row>
    <row r="809" spans="1:18" x14ac:dyDescent="0.4">
      <c r="A809" t="s">
        <v>839</v>
      </c>
      <c r="B809" t="s">
        <v>13</v>
      </c>
      <c r="C809">
        <v>150</v>
      </c>
      <c r="D809" s="4" t="s">
        <v>27</v>
      </c>
      <c r="E809" s="5">
        <v>45207</v>
      </c>
      <c r="F809">
        <v>70</v>
      </c>
      <c r="G809">
        <f>AVERAGEIF(calls[Representative], calls[[#This Row],[Representative]], calls[Satisfaction Rating])</f>
        <v>3.8589371980676304</v>
      </c>
      <c r="H809" t="str">
        <f>IF(AVERAGEIF(calls[Representative],calls[[#This Row],[Representative]],calls[Satisfaction Rating])&lt;3.5,"Needs Training","OK")</f>
        <v>OK</v>
      </c>
      <c r="I809">
        <v>4.0999999999999996</v>
      </c>
      <c r="J809">
        <f>IF(MONTH(calls[[#This Row],[Date of Call]])&lt;=6, YEAR(calls[[#This Row],[Date of Call]]), YEAR(calls[[#This Row],[Date of Call]])+1)</f>
        <v>2024</v>
      </c>
      <c r="K809" t="str">
        <f>TEXT(calls[[#This Row],[Date of Call]],"DDDD")</f>
        <v>Sunday</v>
      </c>
      <c r="L809" t="str" cm="1">
        <f t="array" ref="L809">_xlfn.IFS(calls[[#This Row],[Duration]]&lt;=10,"under 10 mins",calls[[#This Row],[Duration]]&lt;=30,"10 to 30mins",calls[[#This Row],[Duration]]&lt;=60,"60 to 30mins",calls[[#This Row],[Duration]]&lt;=120,"1 to 2hrs",TRUE,"More than 2 hrs")</f>
        <v>More than 2 hrs</v>
      </c>
      <c r="M809">
        <f>ROUND(calls[[#This Row],[Satisfaction Rating]],0)</f>
        <v>4</v>
      </c>
      <c r="N809">
        <f>COUNTIF(calls[Customer ID], calls[[#This Row],[Customer ID]])</f>
        <v>74</v>
      </c>
      <c r="O809">
        <f>SUMIF(calls[Customer ID], calls[[#This Row],[Customer ID]], calls[Purchase Amount])</f>
        <v>6749</v>
      </c>
      <c r="P809">
        <f>calls[[#This Row],[call count]]/calls[[#This Row],[Purchase Amount]]</f>
        <v>1.0571428571428572</v>
      </c>
      <c r="Q809">
        <f>COUNTIF(calls[Customer ID],calls[[#This Row],[Customer ID]])</f>
        <v>74</v>
      </c>
      <c r="R809">
        <f>calls[[#This Row],[call count]]/calls[[#This Row],[Purchase Amount]]</f>
        <v>1.0571428571428572</v>
      </c>
    </row>
    <row r="810" spans="1:18" x14ac:dyDescent="0.4">
      <c r="A810" t="s">
        <v>840</v>
      </c>
      <c r="B810" t="s">
        <v>32</v>
      </c>
      <c r="C810">
        <v>18</v>
      </c>
      <c r="D810" s="4" t="s">
        <v>14</v>
      </c>
      <c r="E810" s="5">
        <v>45207</v>
      </c>
      <c r="F810">
        <v>96</v>
      </c>
      <c r="G810">
        <f>AVERAGEIF(calls[Representative], calls[[#This Row],[Representative]], calls[Satisfaction Rating])</f>
        <v>3.9227513227513247</v>
      </c>
      <c r="H810" t="str">
        <f>IF(AVERAGEIF(calls[Representative],calls[[#This Row],[Representative]],calls[Satisfaction Rating])&lt;3.5,"Needs Training","OK")</f>
        <v>OK</v>
      </c>
      <c r="I810">
        <v>4.8</v>
      </c>
      <c r="J810">
        <f>IF(MONTH(calls[[#This Row],[Date of Call]])&lt;=6, YEAR(calls[[#This Row],[Date of Call]]), YEAR(calls[[#This Row],[Date of Call]])+1)</f>
        <v>2024</v>
      </c>
      <c r="K810" t="str">
        <f>TEXT(calls[[#This Row],[Date of Call]],"DDDD")</f>
        <v>Sunday</v>
      </c>
      <c r="L810" t="str" cm="1">
        <f t="array" ref="L810">_xlfn.IFS(calls[[#This Row],[Duration]]&lt;=10,"under 10 mins",calls[[#This Row],[Duration]]&lt;=30,"10 to 30mins",calls[[#This Row],[Duration]]&lt;=60,"60 to 30mins",calls[[#This Row],[Duration]]&lt;=120,"1 to 2hrs",TRUE,"More than 2 hrs")</f>
        <v>10 to 30mins</v>
      </c>
      <c r="M810">
        <f>ROUND(calls[[#This Row],[Satisfaction Rating]],0)</f>
        <v>5</v>
      </c>
      <c r="N810">
        <f>COUNTIF(calls[Customer ID], calls[[#This Row],[Customer ID]])</f>
        <v>63</v>
      </c>
      <c r="O810">
        <f>SUMIF(calls[Customer ID], calls[[#This Row],[Customer ID]], calls[Purchase Amount])</f>
        <v>5634</v>
      </c>
      <c r="P810">
        <f>calls[[#This Row],[call count]]/calls[[#This Row],[Purchase Amount]]</f>
        <v>0.65625</v>
      </c>
      <c r="Q810">
        <f>COUNTIF(calls[Customer ID],calls[[#This Row],[Customer ID]])</f>
        <v>63</v>
      </c>
      <c r="R810">
        <f>calls[[#This Row],[call count]]/calls[[#This Row],[Purchase Amount]]</f>
        <v>0.65625</v>
      </c>
    </row>
    <row r="811" spans="1:18" x14ac:dyDescent="0.4">
      <c r="A811" t="s">
        <v>841</v>
      </c>
      <c r="B811" t="s">
        <v>8</v>
      </c>
      <c r="C811">
        <v>87</v>
      </c>
      <c r="D811" s="4" t="s">
        <v>14</v>
      </c>
      <c r="E811" s="5">
        <v>45207</v>
      </c>
      <c r="F811">
        <v>23</v>
      </c>
      <c r="G811">
        <f>AVERAGEIF(calls[Representative], calls[[#This Row],[Representative]], calls[Satisfaction Rating])</f>
        <v>3.9227513227513247</v>
      </c>
      <c r="H811" t="str">
        <f>IF(AVERAGEIF(calls[Representative],calls[[#This Row],[Representative]],calls[Satisfaction Rating])&lt;3.5,"Needs Training","OK")</f>
        <v>OK</v>
      </c>
      <c r="I811">
        <v>4.2</v>
      </c>
      <c r="J811">
        <f>IF(MONTH(calls[[#This Row],[Date of Call]])&lt;=6, YEAR(calls[[#This Row],[Date of Call]]), YEAR(calls[[#This Row],[Date of Call]])+1)</f>
        <v>2024</v>
      </c>
      <c r="K811" t="str">
        <f>TEXT(calls[[#This Row],[Date of Call]],"DDDD")</f>
        <v>Sunday</v>
      </c>
      <c r="L811" t="str" cm="1">
        <f t="array" ref="L811">_xlfn.IFS(calls[[#This Row],[Duration]]&lt;=10,"under 10 mins",calls[[#This Row],[Duration]]&lt;=30,"10 to 30mins",calls[[#This Row],[Duration]]&lt;=60,"60 to 30mins",calls[[#This Row],[Duration]]&lt;=120,"1 to 2hrs",TRUE,"More than 2 hrs")</f>
        <v>1 to 2hrs</v>
      </c>
      <c r="M811">
        <f>ROUND(calls[[#This Row],[Satisfaction Rating]],0)</f>
        <v>4</v>
      </c>
      <c r="N811">
        <f>COUNTIF(calls[Customer ID], calls[[#This Row],[Customer ID]])</f>
        <v>79</v>
      </c>
      <c r="O811">
        <f>SUMIF(calls[Customer ID], calls[[#This Row],[Customer ID]], calls[Purchase Amount])</f>
        <v>7747</v>
      </c>
      <c r="P811">
        <f>calls[[#This Row],[call count]]/calls[[#This Row],[Purchase Amount]]</f>
        <v>3.4347826086956523</v>
      </c>
      <c r="Q811">
        <f>COUNTIF(calls[Customer ID],calls[[#This Row],[Customer ID]])</f>
        <v>79</v>
      </c>
      <c r="R811">
        <f>calls[[#This Row],[call count]]/calls[[#This Row],[Purchase Amount]]</f>
        <v>3.4347826086956523</v>
      </c>
    </row>
    <row r="812" spans="1:18" x14ac:dyDescent="0.4">
      <c r="A812" t="s">
        <v>842</v>
      </c>
      <c r="B812" t="s">
        <v>30</v>
      </c>
      <c r="C812">
        <v>94</v>
      </c>
      <c r="D812" s="4" t="s">
        <v>27</v>
      </c>
      <c r="E812" s="5">
        <v>45208</v>
      </c>
      <c r="F812">
        <v>120</v>
      </c>
      <c r="G812">
        <f>AVERAGEIF(calls[Representative], calls[[#This Row],[Representative]], calls[Satisfaction Rating])</f>
        <v>3.8589371980676304</v>
      </c>
      <c r="H812" t="str">
        <f>IF(AVERAGEIF(calls[Representative],calls[[#This Row],[Representative]],calls[Satisfaction Rating])&lt;3.5,"Needs Training","OK")</f>
        <v>OK</v>
      </c>
      <c r="I812">
        <v>3.4</v>
      </c>
      <c r="J812">
        <f>IF(MONTH(calls[[#This Row],[Date of Call]])&lt;=6, YEAR(calls[[#This Row],[Date of Call]]), YEAR(calls[[#This Row],[Date of Call]])+1)</f>
        <v>2024</v>
      </c>
      <c r="K812" t="str">
        <f>TEXT(calls[[#This Row],[Date of Call]],"DDDD")</f>
        <v>Monday</v>
      </c>
      <c r="L812" t="str" cm="1">
        <f t="array" ref="L812">_xlfn.IFS(calls[[#This Row],[Duration]]&lt;=10,"under 10 mins",calls[[#This Row],[Duration]]&lt;=30,"10 to 30mins",calls[[#This Row],[Duration]]&lt;=60,"60 to 30mins",calls[[#This Row],[Duration]]&lt;=120,"1 to 2hrs",TRUE,"More than 2 hrs")</f>
        <v>1 to 2hrs</v>
      </c>
      <c r="M812">
        <f>ROUND(calls[[#This Row],[Satisfaction Rating]],0)</f>
        <v>3</v>
      </c>
      <c r="N812">
        <f>COUNTIF(calls[Customer ID], calls[[#This Row],[Customer ID]])</f>
        <v>69</v>
      </c>
      <c r="O812">
        <f>SUMIF(calls[Customer ID], calls[[#This Row],[Customer ID]], calls[Purchase Amount])</f>
        <v>7230</v>
      </c>
      <c r="P812">
        <f>calls[[#This Row],[call count]]/calls[[#This Row],[Purchase Amount]]</f>
        <v>0.57499999999999996</v>
      </c>
      <c r="Q812">
        <f>COUNTIF(calls[Customer ID],calls[[#This Row],[Customer ID]])</f>
        <v>69</v>
      </c>
      <c r="R812">
        <f>calls[[#This Row],[call count]]/calls[[#This Row],[Purchase Amount]]</f>
        <v>0.57499999999999996</v>
      </c>
    </row>
    <row r="813" spans="1:18" x14ac:dyDescent="0.4">
      <c r="A813" t="s">
        <v>843</v>
      </c>
      <c r="B813" t="s">
        <v>54</v>
      </c>
      <c r="C813">
        <v>56</v>
      </c>
      <c r="D813" s="4" t="s">
        <v>27</v>
      </c>
      <c r="E813" s="5">
        <v>45208</v>
      </c>
      <c r="F813">
        <v>205</v>
      </c>
      <c r="G813">
        <f>AVERAGEIF(calls[Representative], calls[[#This Row],[Representative]], calls[Satisfaction Rating])</f>
        <v>3.8589371980676304</v>
      </c>
      <c r="H813" t="str">
        <f>IF(AVERAGEIF(calls[Representative],calls[[#This Row],[Representative]],calls[Satisfaction Rating])&lt;3.5,"Needs Training","OK")</f>
        <v>OK</v>
      </c>
      <c r="I813">
        <v>3.3</v>
      </c>
      <c r="J813">
        <f>IF(MONTH(calls[[#This Row],[Date of Call]])&lt;=6, YEAR(calls[[#This Row],[Date of Call]]), YEAR(calls[[#This Row],[Date of Call]])+1)</f>
        <v>2024</v>
      </c>
      <c r="K813" t="str">
        <f>TEXT(calls[[#This Row],[Date of Call]],"DDDD")</f>
        <v>Monday</v>
      </c>
      <c r="L813" t="str" cm="1">
        <f t="array" ref="L813">_xlfn.IFS(calls[[#This Row],[Duration]]&lt;=10,"under 10 mins",calls[[#This Row],[Duration]]&lt;=30,"10 to 30mins",calls[[#This Row],[Duration]]&lt;=60,"60 to 30mins",calls[[#This Row],[Duration]]&lt;=120,"1 to 2hrs",TRUE,"More than 2 hrs")</f>
        <v>60 to 30mins</v>
      </c>
      <c r="M813">
        <f>ROUND(calls[[#This Row],[Satisfaction Rating]],0)</f>
        <v>3</v>
      </c>
      <c r="N813">
        <f>COUNTIF(calls[Customer ID], calls[[#This Row],[Customer ID]])</f>
        <v>70</v>
      </c>
      <c r="O813">
        <f>SUMIF(calls[Customer ID], calls[[#This Row],[Customer ID]], calls[Purchase Amount])</f>
        <v>6819</v>
      </c>
      <c r="P813">
        <f>calls[[#This Row],[call count]]/calls[[#This Row],[Purchase Amount]]</f>
        <v>0.34146341463414637</v>
      </c>
      <c r="Q813">
        <f>COUNTIF(calls[Customer ID],calls[[#This Row],[Customer ID]])</f>
        <v>70</v>
      </c>
      <c r="R813">
        <f>calls[[#This Row],[call count]]/calls[[#This Row],[Purchase Amount]]</f>
        <v>0.34146341463414637</v>
      </c>
    </row>
    <row r="814" spans="1:18" x14ac:dyDescent="0.4">
      <c r="A814" t="s">
        <v>844</v>
      </c>
      <c r="B814" t="s">
        <v>40</v>
      </c>
      <c r="C814">
        <v>41</v>
      </c>
      <c r="D814" s="4" t="s">
        <v>9</v>
      </c>
      <c r="E814" s="5">
        <v>45209</v>
      </c>
      <c r="F814">
        <v>42</v>
      </c>
      <c r="G814">
        <f>AVERAGEIF(calls[Representative], calls[[#This Row],[Representative]], calls[Satisfaction Rating])</f>
        <v>3.8706422018348627</v>
      </c>
      <c r="H814" t="str">
        <f>IF(AVERAGEIF(calls[Representative],calls[[#This Row],[Representative]],calls[Satisfaction Rating])&lt;3.5,"Needs Training","OK")</f>
        <v>OK</v>
      </c>
      <c r="I814">
        <v>3.8</v>
      </c>
      <c r="J814">
        <f>IF(MONTH(calls[[#This Row],[Date of Call]])&lt;=6, YEAR(calls[[#This Row],[Date of Call]]), YEAR(calls[[#This Row],[Date of Call]])+1)</f>
        <v>2024</v>
      </c>
      <c r="K814" t="str">
        <f>TEXT(calls[[#This Row],[Date of Call]],"DDDD")</f>
        <v>Tuesday</v>
      </c>
      <c r="L814" t="str" cm="1">
        <f t="array" ref="L814">_xlfn.IFS(calls[[#This Row],[Duration]]&lt;=10,"under 10 mins",calls[[#This Row],[Duration]]&lt;=30,"10 to 30mins",calls[[#This Row],[Duration]]&lt;=60,"60 to 30mins",calls[[#This Row],[Duration]]&lt;=120,"1 to 2hrs",TRUE,"More than 2 hrs")</f>
        <v>60 to 30mins</v>
      </c>
      <c r="M814">
        <f>ROUND(calls[[#This Row],[Satisfaction Rating]],0)</f>
        <v>4</v>
      </c>
      <c r="N814">
        <f>COUNTIF(calls[Customer ID], calls[[#This Row],[Customer ID]])</f>
        <v>69</v>
      </c>
      <c r="O814">
        <f>SUMIF(calls[Customer ID], calls[[#This Row],[Customer ID]], calls[Purchase Amount])</f>
        <v>6601</v>
      </c>
      <c r="P814">
        <f>calls[[#This Row],[call count]]/calls[[#This Row],[Purchase Amount]]</f>
        <v>1.6428571428571428</v>
      </c>
      <c r="Q814">
        <f>COUNTIF(calls[Customer ID],calls[[#This Row],[Customer ID]])</f>
        <v>69</v>
      </c>
      <c r="R814">
        <f>calls[[#This Row],[call count]]/calls[[#This Row],[Purchase Amount]]</f>
        <v>1.6428571428571428</v>
      </c>
    </row>
    <row r="815" spans="1:18" x14ac:dyDescent="0.4">
      <c r="A815" t="s">
        <v>845</v>
      </c>
      <c r="B815" t="s">
        <v>13</v>
      </c>
      <c r="C815">
        <v>119</v>
      </c>
      <c r="D815" s="4" t="s">
        <v>23</v>
      </c>
      <c r="E815" s="5">
        <v>45209</v>
      </c>
      <c r="F815">
        <v>111</v>
      </c>
      <c r="G815">
        <f>AVERAGEIF(calls[Representative], calls[[#This Row],[Representative]], calls[Satisfaction Rating])</f>
        <v>3.8973118279569863</v>
      </c>
      <c r="H815" t="str">
        <f>IF(AVERAGEIF(calls[Representative],calls[[#This Row],[Representative]],calls[Satisfaction Rating])&lt;3.5,"Needs Training","OK")</f>
        <v>OK</v>
      </c>
      <c r="I815">
        <v>3.9</v>
      </c>
      <c r="J815">
        <f>IF(MONTH(calls[[#This Row],[Date of Call]])&lt;=6, YEAR(calls[[#This Row],[Date of Call]]), YEAR(calls[[#This Row],[Date of Call]])+1)</f>
        <v>2024</v>
      </c>
      <c r="K815" t="str">
        <f>TEXT(calls[[#This Row],[Date of Call]],"DDDD")</f>
        <v>Tuesday</v>
      </c>
      <c r="L815" t="str" cm="1">
        <f t="array" ref="L815">_xlfn.IFS(calls[[#This Row],[Duration]]&lt;=10,"under 10 mins",calls[[#This Row],[Duration]]&lt;=30,"10 to 30mins",calls[[#This Row],[Duration]]&lt;=60,"60 to 30mins",calls[[#This Row],[Duration]]&lt;=120,"1 to 2hrs",TRUE,"More than 2 hrs")</f>
        <v>1 to 2hrs</v>
      </c>
      <c r="M815">
        <f>ROUND(calls[[#This Row],[Satisfaction Rating]],0)</f>
        <v>4</v>
      </c>
      <c r="N815">
        <f>COUNTIF(calls[Customer ID], calls[[#This Row],[Customer ID]])</f>
        <v>74</v>
      </c>
      <c r="O815">
        <f>SUMIF(calls[Customer ID], calls[[#This Row],[Customer ID]], calls[Purchase Amount])</f>
        <v>6749</v>
      </c>
      <c r="P815">
        <f>calls[[#This Row],[call count]]/calls[[#This Row],[Purchase Amount]]</f>
        <v>0.66666666666666663</v>
      </c>
      <c r="Q815">
        <f>COUNTIF(calls[Customer ID],calls[[#This Row],[Customer ID]])</f>
        <v>74</v>
      </c>
      <c r="R815">
        <f>calls[[#This Row],[call count]]/calls[[#This Row],[Purchase Amount]]</f>
        <v>0.66666666666666663</v>
      </c>
    </row>
    <row r="816" spans="1:18" x14ac:dyDescent="0.4">
      <c r="A816" t="s">
        <v>846</v>
      </c>
      <c r="B816" t="s">
        <v>11</v>
      </c>
      <c r="C816">
        <v>108</v>
      </c>
      <c r="D816" s="4" t="s">
        <v>27</v>
      </c>
      <c r="E816" s="5">
        <v>45209</v>
      </c>
      <c r="F816">
        <v>68</v>
      </c>
      <c r="G816">
        <f>AVERAGEIF(calls[Representative], calls[[#This Row],[Representative]], calls[Satisfaction Rating])</f>
        <v>3.8589371980676304</v>
      </c>
      <c r="H816" t="str">
        <f>IF(AVERAGEIF(calls[Representative],calls[[#This Row],[Representative]],calls[Satisfaction Rating])&lt;3.5,"Needs Training","OK")</f>
        <v>OK</v>
      </c>
      <c r="I816">
        <v>2.5</v>
      </c>
      <c r="J816">
        <f>IF(MONTH(calls[[#This Row],[Date of Call]])&lt;=6, YEAR(calls[[#This Row],[Date of Call]]), YEAR(calls[[#This Row],[Date of Call]])+1)</f>
        <v>2024</v>
      </c>
      <c r="K816" t="str">
        <f>TEXT(calls[[#This Row],[Date of Call]],"DDDD")</f>
        <v>Tuesday</v>
      </c>
      <c r="L816" t="str" cm="1">
        <f t="array" ref="L816">_xlfn.IFS(calls[[#This Row],[Duration]]&lt;=10,"under 10 mins",calls[[#This Row],[Duration]]&lt;=30,"10 to 30mins",calls[[#This Row],[Duration]]&lt;=60,"60 to 30mins",calls[[#This Row],[Duration]]&lt;=120,"1 to 2hrs",TRUE,"More than 2 hrs")</f>
        <v>1 to 2hrs</v>
      </c>
      <c r="M816">
        <f>ROUND(calls[[#This Row],[Satisfaction Rating]],0)</f>
        <v>3</v>
      </c>
      <c r="N816">
        <f>COUNTIF(calls[Customer ID], calls[[#This Row],[Customer ID]])</f>
        <v>60</v>
      </c>
      <c r="O816">
        <f>SUMIF(calls[Customer ID], calls[[#This Row],[Customer ID]], calls[Purchase Amount])</f>
        <v>5404</v>
      </c>
      <c r="P816">
        <f>calls[[#This Row],[call count]]/calls[[#This Row],[Purchase Amount]]</f>
        <v>0.88235294117647056</v>
      </c>
      <c r="Q816">
        <f>COUNTIF(calls[Customer ID],calls[[#This Row],[Customer ID]])</f>
        <v>60</v>
      </c>
      <c r="R816">
        <f>calls[[#This Row],[call count]]/calls[[#This Row],[Purchase Amount]]</f>
        <v>0.88235294117647056</v>
      </c>
    </row>
    <row r="817" spans="1:18" x14ac:dyDescent="0.4">
      <c r="A817" t="s">
        <v>847</v>
      </c>
      <c r="B817" t="s">
        <v>64</v>
      </c>
      <c r="C817">
        <v>63</v>
      </c>
      <c r="D817" s="4" t="s">
        <v>2</v>
      </c>
      <c r="E817" s="5">
        <v>45209</v>
      </c>
      <c r="F817">
        <v>172</v>
      </c>
      <c r="G817">
        <f>AVERAGEIF(calls[Representative], calls[[#This Row],[Representative]], calls[Satisfaction Rating])</f>
        <v>3.8824999999999998</v>
      </c>
      <c r="H817" t="str">
        <f>IF(AVERAGEIF(calls[Representative],calls[[#This Row],[Representative]],calls[Satisfaction Rating])&lt;3.5,"Needs Training","OK")</f>
        <v>OK</v>
      </c>
      <c r="I817">
        <v>4.9000000000000004</v>
      </c>
      <c r="J817">
        <f>IF(MONTH(calls[[#This Row],[Date of Call]])&lt;=6, YEAR(calls[[#This Row],[Date of Call]]), YEAR(calls[[#This Row],[Date of Call]])+1)</f>
        <v>2024</v>
      </c>
      <c r="K817" t="str">
        <f>TEXT(calls[[#This Row],[Date of Call]],"DDDD")</f>
        <v>Tuesday</v>
      </c>
      <c r="L817" t="str" cm="1">
        <f t="array" ref="L817">_xlfn.IFS(calls[[#This Row],[Duration]]&lt;=10,"under 10 mins",calls[[#This Row],[Duration]]&lt;=30,"10 to 30mins",calls[[#This Row],[Duration]]&lt;=60,"60 to 30mins",calls[[#This Row],[Duration]]&lt;=120,"1 to 2hrs",TRUE,"More than 2 hrs")</f>
        <v>1 to 2hrs</v>
      </c>
      <c r="M817">
        <f>ROUND(calls[[#This Row],[Satisfaction Rating]],0)</f>
        <v>5</v>
      </c>
      <c r="N817">
        <f>COUNTIF(calls[Customer ID], calls[[#This Row],[Customer ID]])</f>
        <v>65</v>
      </c>
      <c r="O817">
        <f>SUMIF(calls[Customer ID], calls[[#This Row],[Customer ID]], calls[Purchase Amount])</f>
        <v>6785</v>
      </c>
      <c r="P817">
        <f>calls[[#This Row],[call count]]/calls[[#This Row],[Purchase Amount]]</f>
        <v>0.37790697674418605</v>
      </c>
      <c r="Q817">
        <f>COUNTIF(calls[Customer ID],calls[[#This Row],[Customer ID]])</f>
        <v>65</v>
      </c>
      <c r="R817">
        <f>calls[[#This Row],[call count]]/calls[[#This Row],[Purchase Amount]]</f>
        <v>0.37790697674418605</v>
      </c>
    </row>
    <row r="818" spans="1:18" x14ac:dyDescent="0.4">
      <c r="A818" t="s">
        <v>848</v>
      </c>
      <c r="B818" t="s">
        <v>51</v>
      </c>
      <c r="C818">
        <v>59</v>
      </c>
      <c r="D818" s="4" t="s">
        <v>27</v>
      </c>
      <c r="E818" s="5">
        <v>45209</v>
      </c>
      <c r="F818">
        <v>152</v>
      </c>
      <c r="G818">
        <f>AVERAGEIF(calls[Representative], calls[[#This Row],[Representative]], calls[Satisfaction Rating])</f>
        <v>3.8589371980676304</v>
      </c>
      <c r="H818" t="str">
        <f>IF(AVERAGEIF(calls[Representative],calls[[#This Row],[Representative]],calls[Satisfaction Rating])&lt;3.5,"Needs Training","OK")</f>
        <v>OK</v>
      </c>
      <c r="I818">
        <v>4.8</v>
      </c>
      <c r="J818">
        <f>IF(MONTH(calls[[#This Row],[Date of Call]])&lt;=6, YEAR(calls[[#This Row],[Date of Call]]), YEAR(calls[[#This Row],[Date of Call]])+1)</f>
        <v>2024</v>
      </c>
      <c r="K818" t="str">
        <f>TEXT(calls[[#This Row],[Date of Call]],"DDDD")</f>
        <v>Tuesday</v>
      </c>
      <c r="L818" t="str" cm="1">
        <f t="array" ref="L818">_xlfn.IFS(calls[[#This Row],[Duration]]&lt;=10,"under 10 mins",calls[[#This Row],[Duration]]&lt;=30,"10 to 30mins",calls[[#This Row],[Duration]]&lt;=60,"60 to 30mins",calls[[#This Row],[Duration]]&lt;=120,"1 to 2hrs",TRUE,"More than 2 hrs")</f>
        <v>60 to 30mins</v>
      </c>
      <c r="M818">
        <f>ROUND(calls[[#This Row],[Satisfaction Rating]],0)</f>
        <v>5</v>
      </c>
      <c r="N818">
        <f>COUNTIF(calls[Customer ID], calls[[#This Row],[Customer ID]])</f>
        <v>59</v>
      </c>
      <c r="O818">
        <f>SUMIF(calls[Customer ID], calls[[#This Row],[Customer ID]], calls[Purchase Amount])</f>
        <v>6518</v>
      </c>
      <c r="P818">
        <f>calls[[#This Row],[call count]]/calls[[#This Row],[Purchase Amount]]</f>
        <v>0.38815789473684209</v>
      </c>
      <c r="Q818">
        <f>COUNTIF(calls[Customer ID],calls[[#This Row],[Customer ID]])</f>
        <v>59</v>
      </c>
      <c r="R818">
        <f>calls[[#This Row],[call count]]/calls[[#This Row],[Purchase Amount]]</f>
        <v>0.38815789473684209</v>
      </c>
    </row>
    <row r="819" spans="1:18" x14ac:dyDescent="0.4">
      <c r="A819" t="s">
        <v>849</v>
      </c>
      <c r="B819" t="s">
        <v>51</v>
      </c>
      <c r="C819">
        <v>90</v>
      </c>
      <c r="D819" s="4" t="s">
        <v>9</v>
      </c>
      <c r="E819" s="5">
        <v>45209</v>
      </c>
      <c r="F819">
        <v>48</v>
      </c>
      <c r="G819">
        <f>AVERAGEIF(calls[Representative], calls[[#This Row],[Representative]], calls[Satisfaction Rating])</f>
        <v>3.8706422018348627</v>
      </c>
      <c r="H819" t="str">
        <f>IF(AVERAGEIF(calls[Representative],calls[[#This Row],[Representative]],calls[Satisfaction Rating])&lt;3.5,"Needs Training","OK")</f>
        <v>OK</v>
      </c>
      <c r="I819">
        <v>4.7</v>
      </c>
      <c r="J819">
        <f>IF(MONTH(calls[[#This Row],[Date of Call]])&lt;=6, YEAR(calls[[#This Row],[Date of Call]]), YEAR(calls[[#This Row],[Date of Call]])+1)</f>
        <v>2024</v>
      </c>
      <c r="K819" t="str">
        <f>TEXT(calls[[#This Row],[Date of Call]],"DDDD")</f>
        <v>Tuesday</v>
      </c>
      <c r="L819" t="str" cm="1">
        <f t="array" ref="L819">_xlfn.IFS(calls[[#This Row],[Duration]]&lt;=10,"under 10 mins",calls[[#This Row],[Duration]]&lt;=30,"10 to 30mins",calls[[#This Row],[Duration]]&lt;=60,"60 to 30mins",calls[[#This Row],[Duration]]&lt;=120,"1 to 2hrs",TRUE,"More than 2 hrs")</f>
        <v>1 to 2hrs</v>
      </c>
      <c r="M819">
        <f>ROUND(calls[[#This Row],[Satisfaction Rating]],0)</f>
        <v>5</v>
      </c>
      <c r="N819">
        <f>COUNTIF(calls[Customer ID], calls[[#This Row],[Customer ID]])</f>
        <v>59</v>
      </c>
      <c r="O819">
        <f>SUMIF(calls[Customer ID], calls[[#This Row],[Customer ID]], calls[Purchase Amount])</f>
        <v>6518</v>
      </c>
      <c r="P819">
        <f>calls[[#This Row],[call count]]/calls[[#This Row],[Purchase Amount]]</f>
        <v>1.2291666666666667</v>
      </c>
      <c r="Q819">
        <f>COUNTIF(calls[Customer ID],calls[[#This Row],[Customer ID]])</f>
        <v>59</v>
      </c>
      <c r="R819">
        <f>calls[[#This Row],[call count]]/calls[[#This Row],[Purchase Amount]]</f>
        <v>1.2291666666666667</v>
      </c>
    </row>
    <row r="820" spans="1:18" x14ac:dyDescent="0.4">
      <c r="A820" t="s">
        <v>850</v>
      </c>
      <c r="B820" t="s">
        <v>26</v>
      </c>
      <c r="C820">
        <v>55</v>
      </c>
      <c r="D820" s="4" t="s">
        <v>9</v>
      </c>
      <c r="E820" s="5">
        <v>45209</v>
      </c>
      <c r="F820">
        <v>25</v>
      </c>
      <c r="G820">
        <f>AVERAGEIF(calls[Representative], calls[[#This Row],[Representative]], calls[Satisfaction Rating])</f>
        <v>3.8706422018348627</v>
      </c>
      <c r="H820" t="str">
        <f>IF(AVERAGEIF(calls[Representative],calls[[#This Row],[Representative]],calls[Satisfaction Rating])&lt;3.5,"Needs Training","OK")</f>
        <v>OK</v>
      </c>
      <c r="I820">
        <v>4.7</v>
      </c>
      <c r="J820">
        <f>IF(MONTH(calls[[#This Row],[Date of Call]])&lt;=6, YEAR(calls[[#This Row],[Date of Call]]), YEAR(calls[[#This Row],[Date of Call]])+1)</f>
        <v>2024</v>
      </c>
      <c r="K820" t="str">
        <f>TEXT(calls[[#This Row],[Date of Call]],"DDDD")</f>
        <v>Tuesday</v>
      </c>
      <c r="L820" t="str" cm="1">
        <f t="array" ref="L820">_xlfn.IFS(calls[[#This Row],[Duration]]&lt;=10,"under 10 mins",calls[[#This Row],[Duration]]&lt;=30,"10 to 30mins",calls[[#This Row],[Duration]]&lt;=60,"60 to 30mins",calls[[#This Row],[Duration]]&lt;=120,"1 to 2hrs",TRUE,"More than 2 hrs")</f>
        <v>60 to 30mins</v>
      </c>
      <c r="M820">
        <f>ROUND(calls[[#This Row],[Satisfaction Rating]],0)</f>
        <v>5</v>
      </c>
      <c r="N820">
        <f>COUNTIF(calls[Customer ID], calls[[#This Row],[Customer ID]])</f>
        <v>72</v>
      </c>
      <c r="O820">
        <f>SUMIF(calls[Customer ID], calls[[#This Row],[Customer ID]], calls[Purchase Amount])</f>
        <v>6242</v>
      </c>
      <c r="P820">
        <f>calls[[#This Row],[call count]]/calls[[#This Row],[Purchase Amount]]</f>
        <v>2.88</v>
      </c>
      <c r="Q820">
        <f>COUNTIF(calls[Customer ID],calls[[#This Row],[Customer ID]])</f>
        <v>72</v>
      </c>
      <c r="R820">
        <f>calls[[#This Row],[call count]]/calls[[#This Row],[Purchase Amount]]</f>
        <v>2.88</v>
      </c>
    </row>
    <row r="821" spans="1:18" x14ac:dyDescent="0.4">
      <c r="A821" t="s">
        <v>851</v>
      </c>
      <c r="B821" t="s">
        <v>11</v>
      </c>
      <c r="C821">
        <v>84</v>
      </c>
      <c r="D821" s="4" t="s">
        <v>23</v>
      </c>
      <c r="E821" s="5">
        <v>45210</v>
      </c>
      <c r="F821">
        <v>54</v>
      </c>
      <c r="G821">
        <f>AVERAGEIF(calls[Representative], calls[[#This Row],[Representative]], calls[Satisfaction Rating])</f>
        <v>3.8973118279569863</v>
      </c>
      <c r="H821" t="str">
        <f>IF(AVERAGEIF(calls[Representative],calls[[#This Row],[Representative]],calls[Satisfaction Rating])&lt;3.5,"Needs Training","OK")</f>
        <v>OK</v>
      </c>
      <c r="I821">
        <v>3.3</v>
      </c>
      <c r="J821">
        <f>IF(MONTH(calls[[#This Row],[Date of Call]])&lt;=6, YEAR(calls[[#This Row],[Date of Call]]), YEAR(calls[[#This Row],[Date of Call]])+1)</f>
        <v>2024</v>
      </c>
      <c r="K821" t="str">
        <f>TEXT(calls[[#This Row],[Date of Call]],"DDDD")</f>
        <v>Wednesday</v>
      </c>
      <c r="L821" t="str" cm="1">
        <f t="array" ref="L821">_xlfn.IFS(calls[[#This Row],[Duration]]&lt;=10,"under 10 mins",calls[[#This Row],[Duration]]&lt;=30,"10 to 30mins",calls[[#This Row],[Duration]]&lt;=60,"60 to 30mins",calls[[#This Row],[Duration]]&lt;=120,"1 to 2hrs",TRUE,"More than 2 hrs")</f>
        <v>1 to 2hrs</v>
      </c>
      <c r="M821">
        <f>ROUND(calls[[#This Row],[Satisfaction Rating]],0)</f>
        <v>3</v>
      </c>
      <c r="N821">
        <f>COUNTIF(calls[Customer ID], calls[[#This Row],[Customer ID]])</f>
        <v>60</v>
      </c>
      <c r="O821">
        <f>SUMIF(calls[Customer ID], calls[[#This Row],[Customer ID]], calls[Purchase Amount])</f>
        <v>5404</v>
      </c>
      <c r="P821">
        <f>calls[[#This Row],[call count]]/calls[[#This Row],[Purchase Amount]]</f>
        <v>1.1111111111111112</v>
      </c>
      <c r="Q821">
        <f>COUNTIF(calls[Customer ID],calls[[#This Row],[Customer ID]])</f>
        <v>60</v>
      </c>
      <c r="R821">
        <f>calls[[#This Row],[call count]]/calls[[#This Row],[Purchase Amount]]</f>
        <v>1.1111111111111112</v>
      </c>
    </row>
    <row r="822" spans="1:18" x14ac:dyDescent="0.4">
      <c r="A822" t="s">
        <v>852</v>
      </c>
      <c r="B822" t="s">
        <v>11</v>
      </c>
      <c r="C822">
        <v>150</v>
      </c>
      <c r="D822" s="4" t="s">
        <v>14</v>
      </c>
      <c r="E822" s="5">
        <v>45210</v>
      </c>
      <c r="F822">
        <v>108</v>
      </c>
      <c r="G822">
        <f>AVERAGEIF(calls[Representative], calls[[#This Row],[Representative]], calls[Satisfaction Rating])</f>
        <v>3.9227513227513247</v>
      </c>
      <c r="H822" t="str">
        <f>IF(AVERAGEIF(calls[Representative],calls[[#This Row],[Representative]],calls[Satisfaction Rating])&lt;3.5,"Needs Training","OK")</f>
        <v>OK</v>
      </c>
      <c r="I822">
        <v>4.7</v>
      </c>
      <c r="J822">
        <f>IF(MONTH(calls[[#This Row],[Date of Call]])&lt;=6, YEAR(calls[[#This Row],[Date of Call]]), YEAR(calls[[#This Row],[Date of Call]])+1)</f>
        <v>2024</v>
      </c>
      <c r="K822" t="str">
        <f>TEXT(calls[[#This Row],[Date of Call]],"DDDD")</f>
        <v>Wednesday</v>
      </c>
      <c r="L822" t="str" cm="1">
        <f t="array" ref="L822">_xlfn.IFS(calls[[#This Row],[Duration]]&lt;=10,"under 10 mins",calls[[#This Row],[Duration]]&lt;=30,"10 to 30mins",calls[[#This Row],[Duration]]&lt;=60,"60 to 30mins",calls[[#This Row],[Duration]]&lt;=120,"1 to 2hrs",TRUE,"More than 2 hrs")</f>
        <v>More than 2 hrs</v>
      </c>
      <c r="M822">
        <f>ROUND(calls[[#This Row],[Satisfaction Rating]],0)</f>
        <v>5</v>
      </c>
      <c r="N822">
        <f>COUNTIF(calls[Customer ID], calls[[#This Row],[Customer ID]])</f>
        <v>60</v>
      </c>
      <c r="O822">
        <f>SUMIF(calls[Customer ID], calls[[#This Row],[Customer ID]], calls[Purchase Amount])</f>
        <v>5404</v>
      </c>
      <c r="P822">
        <f>calls[[#This Row],[call count]]/calls[[#This Row],[Purchase Amount]]</f>
        <v>0.55555555555555558</v>
      </c>
      <c r="Q822">
        <f>COUNTIF(calls[Customer ID],calls[[#This Row],[Customer ID]])</f>
        <v>60</v>
      </c>
      <c r="R822">
        <f>calls[[#This Row],[call count]]/calls[[#This Row],[Purchase Amount]]</f>
        <v>0.55555555555555558</v>
      </c>
    </row>
    <row r="823" spans="1:18" x14ac:dyDescent="0.4">
      <c r="A823" t="s">
        <v>853</v>
      </c>
      <c r="B823" t="s">
        <v>84</v>
      </c>
      <c r="C823">
        <v>69</v>
      </c>
      <c r="D823" s="4" t="s">
        <v>27</v>
      </c>
      <c r="E823" s="5">
        <v>45210</v>
      </c>
      <c r="F823">
        <v>36</v>
      </c>
      <c r="G823">
        <f>AVERAGEIF(calls[Representative], calls[[#This Row],[Representative]], calls[Satisfaction Rating])</f>
        <v>3.8589371980676304</v>
      </c>
      <c r="H823" t="str">
        <f>IF(AVERAGEIF(calls[Representative],calls[[#This Row],[Representative]],calls[Satisfaction Rating])&lt;3.5,"Needs Training","OK")</f>
        <v>OK</v>
      </c>
      <c r="I823">
        <v>4.5</v>
      </c>
      <c r="J823">
        <f>IF(MONTH(calls[[#This Row],[Date of Call]])&lt;=6, YEAR(calls[[#This Row],[Date of Call]]), YEAR(calls[[#This Row],[Date of Call]])+1)</f>
        <v>2024</v>
      </c>
      <c r="K823" t="str">
        <f>TEXT(calls[[#This Row],[Date of Call]],"DDDD")</f>
        <v>Wednesday</v>
      </c>
      <c r="L823" t="str" cm="1">
        <f t="array" ref="L823">_xlfn.IFS(calls[[#This Row],[Duration]]&lt;=10,"under 10 mins",calls[[#This Row],[Duration]]&lt;=30,"10 to 30mins",calls[[#This Row],[Duration]]&lt;=60,"60 to 30mins",calls[[#This Row],[Duration]]&lt;=120,"1 to 2hrs",TRUE,"More than 2 hrs")</f>
        <v>1 to 2hrs</v>
      </c>
      <c r="M823">
        <f>ROUND(calls[[#This Row],[Satisfaction Rating]],0)</f>
        <v>5</v>
      </c>
      <c r="N823">
        <f>COUNTIF(calls[Customer ID], calls[[#This Row],[Customer ID]])</f>
        <v>59</v>
      </c>
      <c r="O823">
        <f>SUMIF(calls[Customer ID], calls[[#This Row],[Customer ID]], calls[Purchase Amount])</f>
        <v>5009</v>
      </c>
      <c r="P823">
        <f>calls[[#This Row],[call count]]/calls[[#This Row],[Purchase Amount]]</f>
        <v>1.6388888888888888</v>
      </c>
      <c r="Q823">
        <f>COUNTIF(calls[Customer ID],calls[[#This Row],[Customer ID]])</f>
        <v>59</v>
      </c>
      <c r="R823">
        <f>calls[[#This Row],[call count]]/calls[[#This Row],[Purchase Amount]]</f>
        <v>1.6388888888888888</v>
      </c>
    </row>
    <row r="824" spans="1:18" x14ac:dyDescent="0.4">
      <c r="A824" t="s">
        <v>854</v>
      </c>
      <c r="B824" t="s">
        <v>1</v>
      </c>
      <c r="C824">
        <v>120</v>
      </c>
      <c r="D824" s="4" t="s">
        <v>9</v>
      </c>
      <c r="E824" s="5">
        <v>45211</v>
      </c>
      <c r="F824">
        <v>140</v>
      </c>
      <c r="G824">
        <f>AVERAGEIF(calls[Representative], calls[[#This Row],[Representative]], calls[Satisfaction Rating])</f>
        <v>3.8706422018348627</v>
      </c>
      <c r="H824" t="str">
        <f>IF(AVERAGEIF(calls[Representative],calls[[#This Row],[Representative]],calls[Satisfaction Rating])&lt;3.5,"Needs Training","OK")</f>
        <v>OK</v>
      </c>
      <c r="I824">
        <v>4.5999999999999996</v>
      </c>
      <c r="J824">
        <f>IF(MONTH(calls[[#This Row],[Date of Call]])&lt;=6, YEAR(calls[[#This Row],[Date of Call]]), YEAR(calls[[#This Row],[Date of Call]])+1)</f>
        <v>2024</v>
      </c>
      <c r="K824" t="str">
        <f>TEXT(calls[[#This Row],[Date of Call]],"DDDD")</f>
        <v>Thursday</v>
      </c>
      <c r="L824" t="str" cm="1">
        <f t="array" ref="L824">_xlfn.IFS(calls[[#This Row],[Duration]]&lt;=10,"under 10 mins",calls[[#This Row],[Duration]]&lt;=30,"10 to 30mins",calls[[#This Row],[Duration]]&lt;=60,"60 to 30mins",calls[[#This Row],[Duration]]&lt;=120,"1 to 2hrs",TRUE,"More than 2 hrs")</f>
        <v>1 to 2hrs</v>
      </c>
      <c r="M824">
        <f>ROUND(calls[[#This Row],[Satisfaction Rating]],0)</f>
        <v>5</v>
      </c>
      <c r="N824">
        <f>COUNTIF(calls[Customer ID], calls[[#This Row],[Customer ID]])</f>
        <v>50</v>
      </c>
      <c r="O824">
        <f>SUMIF(calls[Customer ID], calls[[#This Row],[Customer ID]], calls[Purchase Amount])</f>
        <v>4804</v>
      </c>
      <c r="P824">
        <f>calls[[#This Row],[call count]]/calls[[#This Row],[Purchase Amount]]</f>
        <v>0.35714285714285715</v>
      </c>
      <c r="Q824">
        <f>COUNTIF(calls[Customer ID],calls[[#This Row],[Customer ID]])</f>
        <v>50</v>
      </c>
      <c r="R824">
        <f>calls[[#This Row],[call count]]/calls[[#This Row],[Purchase Amount]]</f>
        <v>0.35714285714285715</v>
      </c>
    </row>
    <row r="825" spans="1:18" x14ac:dyDescent="0.4">
      <c r="A825" t="s">
        <v>855</v>
      </c>
      <c r="B825" t="s">
        <v>8</v>
      </c>
      <c r="C825">
        <v>126</v>
      </c>
      <c r="D825" s="4" t="s">
        <v>23</v>
      </c>
      <c r="E825" s="5">
        <v>45211</v>
      </c>
      <c r="F825">
        <v>50</v>
      </c>
      <c r="G825">
        <f>AVERAGEIF(calls[Representative], calls[[#This Row],[Representative]], calls[Satisfaction Rating])</f>
        <v>3.8973118279569863</v>
      </c>
      <c r="H825" t="str">
        <f>IF(AVERAGEIF(calls[Representative],calls[[#This Row],[Representative]],calls[Satisfaction Rating])&lt;3.5,"Needs Training","OK")</f>
        <v>OK</v>
      </c>
      <c r="I825">
        <v>4.8</v>
      </c>
      <c r="J825">
        <f>IF(MONTH(calls[[#This Row],[Date of Call]])&lt;=6, YEAR(calls[[#This Row],[Date of Call]]), YEAR(calls[[#This Row],[Date of Call]])+1)</f>
        <v>2024</v>
      </c>
      <c r="K825" t="str">
        <f>TEXT(calls[[#This Row],[Date of Call]],"DDDD")</f>
        <v>Thursday</v>
      </c>
      <c r="L825" t="str" cm="1">
        <f t="array" ref="L825">_xlfn.IFS(calls[[#This Row],[Duration]]&lt;=10,"under 10 mins",calls[[#This Row],[Duration]]&lt;=30,"10 to 30mins",calls[[#This Row],[Duration]]&lt;=60,"60 to 30mins",calls[[#This Row],[Duration]]&lt;=120,"1 to 2hrs",TRUE,"More than 2 hrs")</f>
        <v>More than 2 hrs</v>
      </c>
      <c r="M825">
        <f>ROUND(calls[[#This Row],[Satisfaction Rating]],0)</f>
        <v>5</v>
      </c>
      <c r="N825">
        <f>COUNTIF(calls[Customer ID], calls[[#This Row],[Customer ID]])</f>
        <v>79</v>
      </c>
      <c r="O825">
        <f>SUMIF(calls[Customer ID], calls[[#This Row],[Customer ID]], calls[Purchase Amount])</f>
        <v>7747</v>
      </c>
      <c r="P825">
        <f>calls[[#This Row],[call count]]/calls[[#This Row],[Purchase Amount]]</f>
        <v>1.58</v>
      </c>
      <c r="Q825">
        <f>COUNTIF(calls[Customer ID],calls[[#This Row],[Customer ID]])</f>
        <v>79</v>
      </c>
      <c r="R825">
        <f>calls[[#This Row],[call count]]/calls[[#This Row],[Purchase Amount]]</f>
        <v>1.58</v>
      </c>
    </row>
    <row r="826" spans="1:18" x14ac:dyDescent="0.4">
      <c r="A826" t="s">
        <v>856</v>
      </c>
      <c r="B826" t="s">
        <v>84</v>
      </c>
      <c r="C826">
        <v>120</v>
      </c>
      <c r="D826" s="4" t="s">
        <v>2</v>
      </c>
      <c r="E826" s="5">
        <v>45211</v>
      </c>
      <c r="F826">
        <v>195</v>
      </c>
      <c r="G826">
        <f>AVERAGEIF(calls[Representative], calls[[#This Row],[Representative]], calls[Satisfaction Rating])</f>
        <v>3.8824999999999998</v>
      </c>
      <c r="H826" t="str">
        <f>IF(AVERAGEIF(calls[Representative],calls[[#This Row],[Representative]],calls[Satisfaction Rating])&lt;3.5,"Needs Training","OK")</f>
        <v>OK</v>
      </c>
      <c r="I826">
        <v>4.3</v>
      </c>
      <c r="J826">
        <f>IF(MONTH(calls[[#This Row],[Date of Call]])&lt;=6, YEAR(calls[[#This Row],[Date of Call]]), YEAR(calls[[#This Row],[Date of Call]])+1)</f>
        <v>2024</v>
      </c>
      <c r="K826" t="str">
        <f>TEXT(calls[[#This Row],[Date of Call]],"DDDD")</f>
        <v>Thursday</v>
      </c>
      <c r="L826" t="str" cm="1">
        <f t="array" ref="L826">_xlfn.IFS(calls[[#This Row],[Duration]]&lt;=10,"under 10 mins",calls[[#This Row],[Duration]]&lt;=30,"10 to 30mins",calls[[#This Row],[Duration]]&lt;=60,"60 to 30mins",calls[[#This Row],[Duration]]&lt;=120,"1 to 2hrs",TRUE,"More than 2 hrs")</f>
        <v>1 to 2hrs</v>
      </c>
      <c r="M826">
        <f>ROUND(calls[[#This Row],[Satisfaction Rating]],0)</f>
        <v>4</v>
      </c>
      <c r="N826">
        <f>COUNTIF(calls[Customer ID], calls[[#This Row],[Customer ID]])</f>
        <v>59</v>
      </c>
      <c r="O826">
        <f>SUMIF(calls[Customer ID], calls[[#This Row],[Customer ID]], calls[Purchase Amount])</f>
        <v>5009</v>
      </c>
      <c r="P826">
        <f>calls[[#This Row],[call count]]/calls[[#This Row],[Purchase Amount]]</f>
        <v>0.30256410256410254</v>
      </c>
      <c r="Q826">
        <f>COUNTIF(calls[Customer ID],calls[[#This Row],[Customer ID]])</f>
        <v>59</v>
      </c>
      <c r="R826">
        <f>calls[[#This Row],[call count]]/calls[[#This Row],[Purchase Amount]]</f>
        <v>0.30256410256410254</v>
      </c>
    </row>
    <row r="827" spans="1:18" x14ac:dyDescent="0.4">
      <c r="A827" t="s">
        <v>857</v>
      </c>
      <c r="B827" t="s">
        <v>8</v>
      </c>
      <c r="C827">
        <v>139</v>
      </c>
      <c r="D827" s="4" t="s">
        <v>9</v>
      </c>
      <c r="E827" s="5">
        <v>45212</v>
      </c>
      <c r="F827">
        <v>48</v>
      </c>
      <c r="G827">
        <f>AVERAGEIF(calls[Representative], calls[[#This Row],[Representative]], calls[Satisfaction Rating])</f>
        <v>3.8706422018348627</v>
      </c>
      <c r="H827" t="str">
        <f>IF(AVERAGEIF(calls[Representative],calls[[#This Row],[Representative]],calls[Satisfaction Rating])&lt;3.5,"Needs Training","OK")</f>
        <v>OK</v>
      </c>
      <c r="I827">
        <v>4.7</v>
      </c>
      <c r="J827">
        <f>IF(MONTH(calls[[#This Row],[Date of Call]])&lt;=6, YEAR(calls[[#This Row],[Date of Call]]), YEAR(calls[[#This Row],[Date of Call]])+1)</f>
        <v>2024</v>
      </c>
      <c r="K827" t="str">
        <f>TEXT(calls[[#This Row],[Date of Call]],"DDDD")</f>
        <v>Friday</v>
      </c>
      <c r="L827" t="str" cm="1">
        <f t="array" ref="L827">_xlfn.IFS(calls[[#This Row],[Duration]]&lt;=10,"under 10 mins",calls[[#This Row],[Duration]]&lt;=30,"10 to 30mins",calls[[#This Row],[Duration]]&lt;=60,"60 to 30mins",calls[[#This Row],[Duration]]&lt;=120,"1 to 2hrs",TRUE,"More than 2 hrs")</f>
        <v>More than 2 hrs</v>
      </c>
      <c r="M827">
        <f>ROUND(calls[[#This Row],[Satisfaction Rating]],0)</f>
        <v>5</v>
      </c>
      <c r="N827">
        <f>COUNTIF(calls[Customer ID], calls[[#This Row],[Customer ID]])</f>
        <v>79</v>
      </c>
      <c r="O827">
        <f>SUMIF(calls[Customer ID], calls[[#This Row],[Customer ID]], calls[Purchase Amount])</f>
        <v>7747</v>
      </c>
      <c r="P827">
        <f>calls[[#This Row],[call count]]/calls[[#This Row],[Purchase Amount]]</f>
        <v>1.6458333333333333</v>
      </c>
      <c r="Q827">
        <f>COUNTIF(calls[Customer ID],calls[[#This Row],[Customer ID]])</f>
        <v>79</v>
      </c>
      <c r="R827">
        <f>calls[[#This Row],[call count]]/calls[[#This Row],[Purchase Amount]]</f>
        <v>1.6458333333333333</v>
      </c>
    </row>
    <row r="828" spans="1:18" x14ac:dyDescent="0.4">
      <c r="A828" t="s">
        <v>858</v>
      </c>
      <c r="B828" t="s">
        <v>26</v>
      </c>
      <c r="C828">
        <v>124</v>
      </c>
      <c r="D828" s="4" t="s">
        <v>27</v>
      </c>
      <c r="E828" s="5">
        <v>45213</v>
      </c>
      <c r="F828">
        <v>29</v>
      </c>
      <c r="G828">
        <f>AVERAGEIF(calls[Representative], calls[[#This Row],[Representative]], calls[Satisfaction Rating])</f>
        <v>3.8589371980676304</v>
      </c>
      <c r="H828" t="str">
        <f>IF(AVERAGEIF(calls[Representative],calls[[#This Row],[Representative]],calls[Satisfaction Rating])&lt;3.5,"Needs Training","OK")</f>
        <v>OK</v>
      </c>
      <c r="I828">
        <v>4.8</v>
      </c>
      <c r="J828">
        <f>IF(MONTH(calls[[#This Row],[Date of Call]])&lt;=6, YEAR(calls[[#This Row],[Date of Call]]), YEAR(calls[[#This Row],[Date of Call]])+1)</f>
        <v>2024</v>
      </c>
      <c r="K828" t="str">
        <f>TEXT(calls[[#This Row],[Date of Call]],"DDDD")</f>
        <v>Saturday</v>
      </c>
      <c r="L828" t="str" cm="1">
        <f t="array" ref="L828">_xlfn.IFS(calls[[#This Row],[Duration]]&lt;=10,"under 10 mins",calls[[#This Row],[Duration]]&lt;=30,"10 to 30mins",calls[[#This Row],[Duration]]&lt;=60,"60 to 30mins",calls[[#This Row],[Duration]]&lt;=120,"1 to 2hrs",TRUE,"More than 2 hrs")</f>
        <v>More than 2 hrs</v>
      </c>
      <c r="M828">
        <f>ROUND(calls[[#This Row],[Satisfaction Rating]],0)</f>
        <v>5</v>
      </c>
      <c r="N828">
        <f>COUNTIF(calls[Customer ID], calls[[#This Row],[Customer ID]])</f>
        <v>72</v>
      </c>
      <c r="O828">
        <f>SUMIF(calls[Customer ID], calls[[#This Row],[Customer ID]], calls[Purchase Amount])</f>
        <v>6242</v>
      </c>
      <c r="P828">
        <f>calls[[#This Row],[call count]]/calls[[#This Row],[Purchase Amount]]</f>
        <v>2.4827586206896552</v>
      </c>
      <c r="Q828">
        <f>COUNTIF(calls[Customer ID],calls[[#This Row],[Customer ID]])</f>
        <v>72</v>
      </c>
      <c r="R828">
        <f>calls[[#This Row],[call count]]/calls[[#This Row],[Purchase Amount]]</f>
        <v>2.4827586206896552</v>
      </c>
    </row>
    <row r="829" spans="1:18" x14ac:dyDescent="0.4">
      <c r="A829" t="s">
        <v>859</v>
      </c>
      <c r="B829" t="s">
        <v>1</v>
      </c>
      <c r="C829">
        <v>108</v>
      </c>
      <c r="D829" s="4" t="s">
        <v>2</v>
      </c>
      <c r="E829" s="5">
        <v>45213</v>
      </c>
      <c r="F829">
        <v>44</v>
      </c>
      <c r="G829">
        <f>AVERAGEIF(calls[Representative], calls[[#This Row],[Representative]], calls[Satisfaction Rating])</f>
        <v>3.8824999999999998</v>
      </c>
      <c r="H829" t="str">
        <f>IF(AVERAGEIF(calls[Representative],calls[[#This Row],[Representative]],calls[Satisfaction Rating])&lt;3.5,"Needs Training","OK")</f>
        <v>OK</v>
      </c>
      <c r="I829">
        <v>4.7</v>
      </c>
      <c r="J829">
        <f>IF(MONTH(calls[[#This Row],[Date of Call]])&lt;=6, YEAR(calls[[#This Row],[Date of Call]]), YEAR(calls[[#This Row],[Date of Call]])+1)</f>
        <v>2024</v>
      </c>
      <c r="K829" t="str">
        <f>TEXT(calls[[#This Row],[Date of Call]],"DDDD")</f>
        <v>Saturday</v>
      </c>
      <c r="L829" t="str" cm="1">
        <f t="array" ref="L829">_xlfn.IFS(calls[[#This Row],[Duration]]&lt;=10,"under 10 mins",calls[[#This Row],[Duration]]&lt;=30,"10 to 30mins",calls[[#This Row],[Duration]]&lt;=60,"60 to 30mins",calls[[#This Row],[Duration]]&lt;=120,"1 to 2hrs",TRUE,"More than 2 hrs")</f>
        <v>1 to 2hrs</v>
      </c>
      <c r="M829">
        <f>ROUND(calls[[#This Row],[Satisfaction Rating]],0)</f>
        <v>5</v>
      </c>
      <c r="N829">
        <f>COUNTIF(calls[Customer ID], calls[[#This Row],[Customer ID]])</f>
        <v>50</v>
      </c>
      <c r="O829">
        <f>SUMIF(calls[Customer ID], calls[[#This Row],[Customer ID]], calls[Purchase Amount])</f>
        <v>4804</v>
      </c>
      <c r="P829">
        <f>calls[[#This Row],[call count]]/calls[[#This Row],[Purchase Amount]]</f>
        <v>1.1363636363636365</v>
      </c>
      <c r="Q829">
        <f>COUNTIF(calls[Customer ID],calls[[#This Row],[Customer ID]])</f>
        <v>50</v>
      </c>
      <c r="R829">
        <f>calls[[#This Row],[call count]]/calls[[#This Row],[Purchase Amount]]</f>
        <v>1.1363636363636365</v>
      </c>
    </row>
    <row r="830" spans="1:18" x14ac:dyDescent="0.4">
      <c r="A830" t="s">
        <v>860</v>
      </c>
      <c r="B830" t="s">
        <v>6</v>
      </c>
      <c r="C830">
        <v>132</v>
      </c>
      <c r="D830" s="4" t="s">
        <v>14</v>
      </c>
      <c r="E830" s="5">
        <v>45213</v>
      </c>
      <c r="F830">
        <v>140</v>
      </c>
      <c r="G830">
        <f>AVERAGEIF(calls[Representative], calls[[#This Row],[Representative]], calls[Satisfaction Rating])</f>
        <v>3.9227513227513247</v>
      </c>
      <c r="H830" t="str">
        <f>IF(AVERAGEIF(calls[Representative],calls[[#This Row],[Representative]],calls[Satisfaction Rating])&lt;3.5,"Needs Training","OK")</f>
        <v>OK</v>
      </c>
      <c r="I830">
        <v>4.3</v>
      </c>
      <c r="J830">
        <f>IF(MONTH(calls[[#This Row],[Date of Call]])&lt;=6, YEAR(calls[[#This Row],[Date of Call]]), YEAR(calls[[#This Row],[Date of Call]])+1)</f>
        <v>2024</v>
      </c>
      <c r="K830" t="str">
        <f>TEXT(calls[[#This Row],[Date of Call]],"DDDD")</f>
        <v>Saturday</v>
      </c>
      <c r="L830" t="str" cm="1">
        <f t="array" ref="L830">_xlfn.IFS(calls[[#This Row],[Duration]]&lt;=10,"under 10 mins",calls[[#This Row],[Duration]]&lt;=30,"10 to 30mins",calls[[#This Row],[Duration]]&lt;=60,"60 to 30mins",calls[[#This Row],[Duration]]&lt;=120,"1 to 2hrs",TRUE,"More than 2 hrs")</f>
        <v>More than 2 hrs</v>
      </c>
      <c r="M830">
        <f>ROUND(calls[[#This Row],[Satisfaction Rating]],0)</f>
        <v>4</v>
      </c>
      <c r="N830">
        <f>COUNTIF(calls[Customer ID], calls[[#This Row],[Customer ID]])</f>
        <v>82</v>
      </c>
      <c r="O830">
        <f>SUMIF(calls[Customer ID], calls[[#This Row],[Customer ID]], calls[Purchase Amount])</f>
        <v>7689</v>
      </c>
      <c r="P830">
        <f>calls[[#This Row],[call count]]/calls[[#This Row],[Purchase Amount]]</f>
        <v>0.58571428571428574</v>
      </c>
      <c r="Q830">
        <f>COUNTIF(calls[Customer ID],calls[[#This Row],[Customer ID]])</f>
        <v>82</v>
      </c>
      <c r="R830">
        <f>calls[[#This Row],[call count]]/calls[[#This Row],[Purchase Amount]]</f>
        <v>0.58571428571428574</v>
      </c>
    </row>
    <row r="831" spans="1:18" x14ac:dyDescent="0.4">
      <c r="A831" t="s">
        <v>861</v>
      </c>
      <c r="B831" t="s">
        <v>64</v>
      </c>
      <c r="C831">
        <v>67</v>
      </c>
      <c r="D831" s="4" t="s">
        <v>14</v>
      </c>
      <c r="E831" s="5">
        <v>45213</v>
      </c>
      <c r="F831">
        <v>105</v>
      </c>
      <c r="G831">
        <f>AVERAGEIF(calls[Representative], calls[[#This Row],[Representative]], calls[Satisfaction Rating])</f>
        <v>3.9227513227513247</v>
      </c>
      <c r="H831" t="str">
        <f>IF(AVERAGEIF(calls[Representative],calls[[#This Row],[Representative]],calls[Satisfaction Rating])&lt;3.5,"Needs Training","OK")</f>
        <v>OK</v>
      </c>
      <c r="I831">
        <v>3.8</v>
      </c>
      <c r="J831">
        <f>IF(MONTH(calls[[#This Row],[Date of Call]])&lt;=6, YEAR(calls[[#This Row],[Date of Call]]), YEAR(calls[[#This Row],[Date of Call]])+1)</f>
        <v>2024</v>
      </c>
      <c r="K831" t="str">
        <f>TEXT(calls[[#This Row],[Date of Call]],"DDDD")</f>
        <v>Saturday</v>
      </c>
      <c r="L831" t="str" cm="1">
        <f t="array" ref="L831">_xlfn.IFS(calls[[#This Row],[Duration]]&lt;=10,"under 10 mins",calls[[#This Row],[Duration]]&lt;=30,"10 to 30mins",calls[[#This Row],[Duration]]&lt;=60,"60 to 30mins",calls[[#This Row],[Duration]]&lt;=120,"1 to 2hrs",TRUE,"More than 2 hrs")</f>
        <v>1 to 2hrs</v>
      </c>
      <c r="M831">
        <f>ROUND(calls[[#This Row],[Satisfaction Rating]],0)</f>
        <v>4</v>
      </c>
      <c r="N831">
        <f>COUNTIF(calls[Customer ID], calls[[#This Row],[Customer ID]])</f>
        <v>65</v>
      </c>
      <c r="O831">
        <f>SUMIF(calls[Customer ID], calls[[#This Row],[Customer ID]], calls[Purchase Amount])</f>
        <v>6785</v>
      </c>
      <c r="P831">
        <f>calls[[#This Row],[call count]]/calls[[#This Row],[Purchase Amount]]</f>
        <v>0.61904761904761907</v>
      </c>
      <c r="Q831">
        <f>COUNTIF(calls[Customer ID],calls[[#This Row],[Customer ID]])</f>
        <v>65</v>
      </c>
      <c r="R831">
        <f>calls[[#This Row],[call count]]/calls[[#This Row],[Purchase Amount]]</f>
        <v>0.61904761904761907</v>
      </c>
    </row>
    <row r="832" spans="1:18" x14ac:dyDescent="0.4">
      <c r="A832" t="s">
        <v>862</v>
      </c>
      <c r="B832" t="s">
        <v>21</v>
      </c>
      <c r="C832">
        <v>125</v>
      </c>
      <c r="D832" s="4" t="s">
        <v>14</v>
      </c>
      <c r="E832" s="5">
        <v>45213</v>
      </c>
      <c r="F832">
        <v>82</v>
      </c>
      <c r="G832">
        <f>AVERAGEIF(calls[Representative], calls[[#This Row],[Representative]], calls[Satisfaction Rating])</f>
        <v>3.9227513227513247</v>
      </c>
      <c r="H832" t="str">
        <f>IF(AVERAGEIF(calls[Representative],calls[[#This Row],[Representative]],calls[Satisfaction Rating])&lt;3.5,"Needs Training","OK")</f>
        <v>OK</v>
      </c>
      <c r="I832">
        <v>4.5999999999999996</v>
      </c>
      <c r="J832">
        <f>IF(MONTH(calls[[#This Row],[Date of Call]])&lt;=6, YEAR(calls[[#This Row],[Date of Call]]), YEAR(calls[[#This Row],[Date of Call]])+1)</f>
        <v>2024</v>
      </c>
      <c r="K832" t="str">
        <f>TEXT(calls[[#This Row],[Date of Call]],"DDDD")</f>
        <v>Saturday</v>
      </c>
      <c r="L832" t="str" cm="1">
        <f t="array" ref="L832">_xlfn.IFS(calls[[#This Row],[Duration]]&lt;=10,"under 10 mins",calls[[#This Row],[Duration]]&lt;=30,"10 to 30mins",calls[[#This Row],[Duration]]&lt;=60,"60 to 30mins",calls[[#This Row],[Duration]]&lt;=120,"1 to 2hrs",TRUE,"More than 2 hrs")</f>
        <v>More than 2 hrs</v>
      </c>
      <c r="M832">
        <f>ROUND(calls[[#This Row],[Satisfaction Rating]],0)</f>
        <v>5</v>
      </c>
      <c r="N832">
        <f>COUNTIF(calls[Customer ID], calls[[#This Row],[Customer ID]])</f>
        <v>67</v>
      </c>
      <c r="O832">
        <f>SUMIF(calls[Customer ID], calls[[#This Row],[Customer ID]], calls[Purchase Amount])</f>
        <v>7216</v>
      </c>
      <c r="P832">
        <f>calls[[#This Row],[call count]]/calls[[#This Row],[Purchase Amount]]</f>
        <v>0.81707317073170727</v>
      </c>
      <c r="Q832">
        <f>COUNTIF(calls[Customer ID],calls[[#This Row],[Customer ID]])</f>
        <v>67</v>
      </c>
      <c r="R832">
        <f>calls[[#This Row],[call count]]/calls[[#This Row],[Purchase Amount]]</f>
        <v>0.81707317073170727</v>
      </c>
    </row>
    <row r="833" spans="1:18" x14ac:dyDescent="0.4">
      <c r="A833" t="s">
        <v>863</v>
      </c>
      <c r="B833" t="s">
        <v>1</v>
      </c>
      <c r="C833">
        <v>23</v>
      </c>
      <c r="D833" s="4" t="s">
        <v>2</v>
      </c>
      <c r="E833" s="5">
        <v>45213</v>
      </c>
      <c r="F833">
        <v>24</v>
      </c>
      <c r="G833">
        <f>AVERAGEIF(calls[Representative], calls[[#This Row],[Representative]], calls[Satisfaction Rating])</f>
        <v>3.8824999999999998</v>
      </c>
      <c r="H833" t="str">
        <f>IF(AVERAGEIF(calls[Representative],calls[[#This Row],[Representative]],calls[Satisfaction Rating])&lt;3.5,"Needs Training","OK")</f>
        <v>OK</v>
      </c>
      <c r="I833">
        <v>2.9</v>
      </c>
      <c r="J833">
        <f>IF(MONTH(calls[[#This Row],[Date of Call]])&lt;=6, YEAR(calls[[#This Row],[Date of Call]]), YEAR(calls[[#This Row],[Date of Call]])+1)</f>
        <v>2024</v>
      </c>
      <c r="K833" t="str">
        <f>TEXT(calls[[#This Row],[Date of Call]],"DDDD")</f>
        <v>Saturday</v>
      </c>
      <c r="L833" t="str" cm="1">
        <f t="array" ref="L833">_xlfn.IFS(calls[[#This Row],[Duration]]&lt;=10,"under 10 mins",calls[[#This Row],[Duration]]&lt;=30,"10 to 30mins",calls[[#This Row],[Duration]]&lt;=60,"60 to 30mins",calls[[#This Row],[Duration]]&lt;=120,"1 to 2hrs",TRUE,"More than 2 hrs")</f>
        <v>10 to 30mins</v>
      </c>
      <c r="M833">
        <f>ROUND(calls[[#This Row],[Satisfaction Rating]],0)</f>
        <v>3</v>
      </c>
      <c r="N833">
        <f>COUNTIF(calls[Customer ID], calls[[#This Row],[Customer ID]])</f>
        <v>50</v>
      </c>
      <c r="O833">
        <f>SUMIF(calls[Customer ID], calls[[#This Row],[Customer ID]], calls[Purchase Amount])</f>
        <v>4804</v>
      </c>
      <c r="P833">
        <f>calls[[#This Row],[call count]]/calls[[#This Row],[Purchase Amount]]</f>
        <v>2.0833333333333335</v>
      </c>
      <c r="Q833">
        <f>COUNTIF(calls[Customer ID],calls[[#This Row],[Customer ID]])</f>
        <v>50</v>
      </c>
      <c r="R833">
        <f>calls[[#This Row],[call count]]/calls[[#This Row],[Purchase Amount]]</f>
        <v>2.0833333333333335</v>
      </c>
    </row>
    <row r="834" spans="1:18" x14ac:dyDescent="0.4">
      <c r="A834" t="s">
        <v>864</v>
      </c>
      <c r="B834" t="s">
        <v>13</v>
      </c>
      <c r="C834">
        <v>131</v>
      </c>
      <c r="D834" s="4" t="s">
        <v>27</v>
      </c>
      <c r="E834" s="5">
        <v>45214</v>
      </c>
      <c r="F834">
        <v>205</v>
      </c>
      <c r="G834">
        <f>AVERAGEIF(calls[Representative], calls[[#This Row],[Representative]], calls[Satisfaction Rating])</f>
        <v>3.8589371980676304</v>
      </c>
      <c r="H834" t="str">
        <f>IF(AVERAGEIF(calls[Representative],calls[[#This Row],[Representative]],calls[Satisfaction Rating])&lt;3.5,"Needs Training","OK")</f>
        <v>OK</v>
      </c>
      <c r="I834">
        <v>4.8</v>
      </c>
      <c r="J834">
        <f>IF(MONTH(calls[[#This Row],[Date of Call]])&lt;=6, YEAR(calls[[#This Row],[Date of Call]]), YEAR(calls[[#This Row],[Date of Call]])+1)</f>
        <v>2024</v>
      </c>
      <c r="K834" t="str">
        <f>TEXT(calls[[#This Row],[Date of Call]],"DDDD")</f>
        <v>Sunday</v>
      </c>
      <c r="L834" t="str" cm="1">
        <f t="array" ref="L834">_xlfn.IFS(calls[[#This Row],[Duration]]&lt;=10,"under 10 mins",calls[[#This Row],[Duration]]&lt;=30,"10 to 30mins",calls[[#This Row],[Duration]]&lt;=60,"60 to 30mins",calls[[#This Row],[Duration]]&lt;=120,"1 to 2hrs",TRUE,"More than 2 hrs")</f>
        <v>More than 2 hrs</v>
      </c>
      <c r="M834">
        <f>ROUND(calls[[#This Row],[Satisfaction Rating]],0)</f>
        <v>5</v>
      </c>
      <c r="N834">
        <f>COUNTIF(calls[Customer ID], calls[[#This Row],[Customer ID]])</f>
        <v>74</v>
      </c>
      <c r="O834">
        <f>SUMIF(calls[Customer ID], calls[[#This Row],[Customer ID]], calls[Purchase Amount])</f>
        <v>6749</v>
      </c>
      <c r="P834">
        <f>calls[[#This Row],[call count]]/calls[[#This Row],[Purchase Amount]]</f>
        <v>0.36097560975609755</v>
      </c>
      <c r="Q834">
        <f>COUNTIF(calls[Customer ID],calls[[#This Row],[Customer ID]])</f>
        <v>74</v>
      </c>
      <c r="R834">
        <f>calls[[#This Row],[call count]]/calls[[#This Row],[Purchase Amount]]</f>
        <v>0.36097560975609755</v>
      </c>
    </row>
    <row r="835" spans="1:18" x14ac:dyDescent="0.4">
      <c r="A835" t="s">
        <v>865</v>
      </c>
      <c r="B835" t="s">
        <v>6</v>
      </c>
      <c r="C835">
        <v>56</v>
      </c>
      <c r="D835" s="4" t="s">
        <v>9</v>
      </c>
      <c r="E835" s="5">
        <v>45214</v>
      </c>
      <c r="F835">
        <v>225</v>
      </c>
      <c r="G835">
        <f>AVERAGEIF(calls[Representative], calls[[#This Row],[Representative]], calls[Satisfaction Rating])</f>
        <v>3.8706422018348627</v>
      </c>
      <c r="H835" t="str">
        <f>IF(AVERAGEIF(calls[Representative],calls[[#This Row],[Representative]],calls[Satisfaction Rating])&lt;3.5,"Needs Training","OK")</f>
        <v>OK</v>
      </c>
      <c r="I835">
        <v>4.9000000000000004</v>
      </c>
      <c r="J835">
        <f>IF(MONTH(calls[[#This Row],[Date of Call]])&lt;=6, YEAR(calls[[#This Row],[Date of Call]]), YEAR(calls[[#This Row],[Date of Call]])+1)</f>
        <v>2024</v>
      </c>
      <c r="K835" t="str">
        <f>TEXT(calls[[#This Row],[Date of Call]],"DDDD")</f>
        <v>Sunday</v>
      </c>
      <c r="L835" t="str" cm="1">
        <f t="array" ref="L835">_xlfn.IFS(calls[[#This Row],[Duration]]&lt;=10,"under 10 mins",calls[[#This Row],[Duration]]&lt;=30,"10 to 30mins",calls[[#This Row],[Duration]]&lt;=60,"60 to 30mins",calls[[#This Row],[Duration]]&lt;=120,"1 to 2hrs",TRUE,"More than 2 hrs")</f>
        <v>60 to 30mins</v>
      </c>
      <c r="M835">
        <f>ROUND(calls[[#This Row],[Satisfaction Rating]],0)</f>
        <v>5</v>
      </c>
      <c r="N835">
        <f>COUNTIF(calls[Customer ID], calls[[#This Row],[Customer ID]])</f>
        <v>82</v>
      </c>
      <c r="O835">
        <f>SUMIF(calls[Customer ID], calls[[#This Row],[Customer ID]], calls[Purchase Amount])</f>
        <v>7689</v>
      </c>
      <c r="P835">
        <f>calls[[#This Row],[call count]]/calls[[#This Row],[Purchase Amount]]</f>
        <v>0.36444444444444446</v>
      </c>
      <c r="Q835">
        <f>COUNTIF(calls[Customer ID],calls[[#This Row],[Customer ID]])</f>
        <v>82</v>
      </c>
      <c r="R835">
        <f>calls[[#This Row],[call count]]/calls[[#This Row],[Purchase Amount]]</f>
        <v>0.36444444444444446</v>
      </c>
    </row>
    <row r="836" spans="1:18" x14ac:dyDescent="0.4">
      <c r="A836" t="s">
        <v>866</v>
      </c>
      <c r="B836" t="s">
        <v>13</v>
      </c>
      <c r="C836">
        <v>70</v>
      </c>
      <c r="D836" s="4" t="s">
        <v>27</v>
      </c>
      <c r="E836" s="5">
        <v>45214</v>
      </c>
      <c r="F836">
        <v>50</v>
      </c>
      <c r="G836">
        <f>AVERAGEIF(calls[Representative], calls[[#This Row],[Representative]], calls[Satisfaction Rating])</f>
        <v>3.8589371980676304</v>
      </c>
      <c r="H836" t="str">
        <f>IF(AVERAGEIF(calls[Representative],calls[[#This Row],[Representative]],calls[Satisfaction Rating])&lt;3.5,"Needs Training","OK")</f>
        <v>OK</v>
      </c>
      <c r="I836">
        <v>3.4</v>
      </c>
      <c r="J836">
        <f>IF(MONTH(calls[[#This Row],[Date of Call]])&lt;=6, YEAR(calls[[#This Row],[Date of Call]]), YEAR(calls[[#This Row],[Date of Call]])+1)</f>
        <v>2024</v>
      </c>
      <c r="K836" t="str">
        <f>TEXT(calls[[#This Row],[Date of Call]],"DDDD")</f>
        <v>Sunday</v>
      </c>
      <c r="L836" t="str" cm="1">
        <f t="array" ref="L836">_xlfn.IFS(calls[[#This Row],[Duration]]&lt;=10,"under 10 mins",calls[[#This Row],[Duration]]&lt;=30,"10 to 30mins",calls[[#This Row],[Duration]]&lt;=60,"60 to 30mins",calls[[#This Row],[Duration]]&lt;=120,"1 to 2hrs",TRUE,"More than 2 hrs")</f>
        <v>1 to 2hrs</v>
      </c>
      <c r="M836">
        <f>ROUND(calls[[#This Row],[Satisfaction Rating]],0)</f>
        <v>3</v>
      </c>
      <c r="N836">
        <f>COUNTIF(calls[Customer ID], calls[[#This Row],[Customer ID]])</f>
        <v>74</v>
      </c>
      <c r="O836">
        <f>SUMIF(calls[Customer ID], calls[[#This Row],[Customer ID]], calls[Purchase Amount])</f>
        <v>6749</v>
      </c>
      <c r="P836">
        <f>calls[[#This Row],[call count]]/calls[[#This Row],[Purchase Amount]]</f>
        <v>1.48</v>
      </c>
      <c r="Q836">
        <f>COUNTIF(calls[Customer ID],calls[[#This Row],[Customer ID]])</f>
        <v>74</v>
      </c>
      <c r="R836">
        <f>calls[[#This Row],[call count]]/calls[[#This Row],[Purchase Amount]]</f>
        <v>1.48</v>
      </c>
    </row>
    <row r="837" spans="1:18" x14ac:dyDescent="0.4">
      <c r="A837" t="s">
        <v>867</v>
      </c>
      <c r="B837" t="s">
        <v>13</v>
      </c>
      <c r="C837">
        <v>55</v>
      </c>
      <c r="D837" s="4" t="s">
        <v>14</v>
      </c>
      <c r="E837" s="5">
        <v>45214</v>
      </c>
      <c r="F837">
        <v>80</v>
      </c>
      <c r="G837">
        <f>AVERAGEIF(calls[Representative], calls[[#This Row],[Representative]], calls[Satisfaction Rating])</f>
        <v>3.9227513227513247</v>
      </c>
      <c r="H837" t="str">
        <f>IF(AVERAGEIF(calls[Representative],calls[[#This Row],[Representative]],calls[Satisfaction Rating])&lt;3.5,"Needs Training","OK")</f>
        <v>OK</v>
      </c>
      <c r="I837">
        <v>4.3</v>
      </c>
      <c r="J837">
        <f>IF(MONTH(calls[[#This Row],[Date of Call]])&lt;=6, YEAR(calls[[#This Row],[Date of Call]]), YEAR(calls[[#This Row],[Date of Call]])+1)</f>
        <v>2024</v>
      </c>
      <c r="K837" t="str">
        <f>TEXT(calls[[#This Row],[Date of Call]],"DDDD")</f>
        <v>Sunday</v>
      </c>
      <c r="L837" t="str" cm="1">
        <f t="array" ref="L837">_xlfn.IFS(calls[[#This Row],[Duration]]&lt;=10,"under 10 mins",calls[[#This Row],[Duration]]&lt;=30,"10 to 30mins",calls[[#This Row],[Duration]]&lt;=60,"60 to 30mins",calls[[#This Row],[Duration]]&lt;=120,"1 to 2hrs",TRUE,"More than 2 hrs")</f>
        <v>60 to 30mins</v>
      </c>
      <c r="M837">
        <f>ROUND(calls[[#This Row],[Satisfaction Rating]],0)</f>
        <v>4</v>
      </c>
      <c r="N837">
        <f>COUNTIF(calls[Customer ID], calls[[#This Row],[Customer ID]])</f>
        <v>74</v>
      </c>
      <c r="O837">
        <f>SUMIF(calls[Customer ID], calls[[#This Row],[Customer ID]], calls[Purchase Amount])</f>
        <v>6749</v>
      </c>
      <c r="P837">
        <f>calls[[#This Row],[call count]]/calls[[#This Row],[Purchase Amount]]</f>
        <v>0.92500000000000004</v>
      </c>
      <c r="Q837">
        <f>COUNTIF(calls[Customer ID],calls[[#This Row],[Customer ID]])</f>
        <v>74</v>
      </c>
      <c r="R837">
        <f>calls[[#This Row],[call count]]/calls[[#This Row],[Purchase Amount]]</f>
        <v>0.92500000000000004</v>
      </c>
    </row>
    <row r="838" spans="1:18" x14ac:dyDescent="0.4">
      <c r="A838" t="s">
        <v>868</v>
      </c>
      <c r="B838" t="s">
        <v>21</v>
      </c>
      <c r="C838">
        <v>77</v>
      </c>
      <c r="D838" s="4" t="s">
        <v>9</v>
      </c>
      <c r="E838" s="5">
        <v>45214</v>
      </c>
      <c r="F838">
        <v>78</v>
      </c>
      <c r="G838">
        <f>AVERAGEIF(calls[Representative], calls[[#This Row],[Representative]], calls[Satisfaction Rating])</f>
        <v>3.8706422018348627</v>
      </c>
      <c r="H838" t="str">
        <f>IF(AVERAGEIF(calls[Representative],calls[[#This Row],[Representative]],calls[Satisfaction Rating])&lt;3.5,"Needs Training","OK")</f>
        <v>OK</v>
      </c>
      <c r="I838">
        <v>3.9</v>
      </c>
      <c r="J838">
        <f>IF(MONTH(calls[[#This Row],[Date of Call]])&lt;=6, YEAR(calls[[#This Row],[Date of Call]]), YEAR(calls[[#This Row],[Date of Call]])+1)</f>
        <v>2024</v>
      </c>
      <c r="K838" t="str">
        <f>TEXT(calls[[#This Row],[Date of Call]],"DDDD")</f>
        <v>Sunday</v>
      </c>
      <c r="L838" t="str" cm="1">
        <f t="array" ref="L838">_xlfn.IFS(calls[[#This Row],[Duration]]&lt;=10,"under 10 mins",calls[[#This Row],[Duration]]&lt;=30,"10 to 30mins",calls[[#This Row],[Duration]]&lt;=60,"60 to 30mins",calls[[#This Row],[Duration]]&lt;=120,"1 to 2hrs",TRUE,"More than 2 hrs")</f>
        <v>1 to 2hrs</v>
      </c>
      <c r="M838">
        <f>ROUND(calls[[#This Row],[Satisfaction Rating]],0)</f>
        <v>4</v>
      </c>
      <c r="N838">
        <f>COUNTIF(calls[Customer ID], calls[[#This Row],[Customer ID]])</f>
        <v>67</v>
      </c>
      <c r="O838">
        <f>SUMIF(calls[Customer ID], calls[[#This Row],[Customer ID]], calls[Purchase Amount])</f>
        <v>7216</v>
      </c>
      <c r="P838">
        <f>calls[[#This Row],[call count]]/calls[[#This Row],[Purchase Amount]]</f>
        <v>0.85897435897435892</v>
      </c>
      <c r="Q838">
        <f>COUNTIF(calls[Customer ID],calls[[#This Row],[Customer ID]])</f>
        <v>67</v>
      </c>
      <c r="R838">
        <f>calls[[#This Row],[call count]]/calls[[#This Row],[Purchase Amount]]</f>
        <v>0.85897435897435892</v>
      </c>
    </row>
    <row r="839" spans="1:18" x14ac:dyDescent="0.4">
      <c r="A839" t="s">
        <v>869</v>
      </c>
      <c r="B839" t="s">
        <v>11</v>
      </c>
      <c r="C839">
        <v>133</v>
      </c>
      <c r="D839" s="4" t="s">
        <v>27</v>
      </c>
      <c r="E839" s="5">
        <v>45215</v>
      </c>
      <c r="F839">
        <v>40</v>
      </c>
      <c r="G839">
        <f>AVERAGEIF(calls[Representative], calls[[#This Row],[Representative]], calls[Satisfaction Rating])</f>
        <v>3.8589371980676304</v>
      </c>
      <c r="H839" t="str">
        <f>IF(AVERAGEIF(calls[Representative],calls[[#This Row],[Representative]],calls[Satisfaction Rating])&lt;3.5,"Needs Training","OK")</f>
        <v>OK</v>
      </c>
      <c r="I839">
        <v>3.9</v>
      </c>
      <c r="J839">
        <f>IF(MONTH(calls[[#This Row],[Date of Call]])&lt;=6, YEAR(calls[[#This Row],[Date of Call]]), YEAR(calls[[#This Row],[Date of Call]])+1)</f>
        <v>2024</v>
      </c>
      <c r="K839" t="str">
        <f>TEXT(calls[[#This Row],[Date of Call]],"DDDD")</f>
        <v>Monday</v>
      </c>
      <c r="L839" t="str" cm="1">
        <f t="array" ref="L839">_xlfn.IFS(calls[[#This Row],[Duration]]&lt;=10,"under 10 mins",calls[[#This Row],[Duration]]&lt;=30,"10 to 30mins",calls[[#This Row],[Duration]]&lt;=60,"60 to 30mins",calls[[#This Row],[Duration]]&lt;=120,"1 to 2hrs",TRUE,"More than 2 hrs")</f>
        <v>More than 2 hrs</v>
      </c>
      <c r="M839">
        <f>ROUND(calls[[#This Row],[Satisfaction Rating]],0)</f>
        <v>4</v>
      </c>
      <c r="N839">
        <f>COUNTIF(calls[Customer ID], calls[[#This Row],[Customer ID]])</f>
        <v>60</v>
      </c>
      <c r="O839">
        <f>SUMIF(calls[Customer ID], calls[[#This Row],[Customer ID]], calls[Purchase Amount])</f>
        <v>5404</v>
      </c>
      <c r="P839">
        <f>calls[[#This Row],[call count]]/calls[[#This Row],[Purchase Amount]]</f>
        <v>1.5</v>
      </c>
      <c r="Q839">
        <f>COUNTIF(calls[Customer ID],calls[[#This Row],[Customer ID]])</f>
        <v>60</v>
      </c>
      <c r="R839">
        <f>calls[[#This Row],[call count]]/calls[[#This Row],[Purchase Amount]]</f>
        <v>1.5</v>
      </c>
    </row>
    <row r="840" spans="1:18" x14ac:dyDescent="0.4">
      <c r="A840" t="s">
        <v>870</v>
      </c>
      <c r="B840" t="s">
        <v>21</v>
      </c>
      <c r="C840">
        <v>77</v>
      </c>
      <c r="D840" s="4" t="s">
        <v>9</v>
      </c>
      <c r="E840" s="5">
        <v>45215</v>
      </c>
      <c r="F840">
        <v>176</v>
      </c>
      <c r="G840">
        <f>AVERAGEIF(calls[Representative], calls[[#This Row],[Representative]], calls[Satisfaction Rating])</f>
        <v>3.8706422018348627</v>
      </c>
      <c r="H840" t="str">
        <f>IF(AVERAGEIF(calls[Representative],calls[[#This Row],[Representative]],calls[Satisfaction Rating])&lt;3.5,"Needs Training","OK")</f>
        <v>OK</v>
      </c>
      <c r="I840">
        <v>1.5</v>
      </c>
      <c r="J840">
        <f>IF(MONTH(calls[[#This Row],[Date of Call]])&lt;=6, YEAR(calls[[#This Row],[Date of Call]]), YEAR(calls[[#This Row],[Date of Call]])+1)</f>
        <v>2024</v>
      </c>
      <c r="K840" t="str">
        <f>TEXT(calls[[#This Row],[Date of Call]],"DDDD")</f>
        <v>Monday</v>
      </c>
      <c r="L840" t="str" cm="1">
        <f t="array" ref="L840">_xlfn.IFS(calls[[#This Row],[Duration]]&lt;=10,"under 10 mins",calls[[#This Row],[Duration]]&lt;=30,"10 to 30mins",calls[[#This Row],[Duration]]&lt;=60,"60 to 30mins",calls[[#This Row],[Duration]]&lt;=120,"1 to 2hrs",TRUE,"More than 2 hrs")</f>
        <v>1 to 2hrs</v>
      </c>
      <c r="M840">
        <f>ROUND(calls[[#This Row],[Satisfaction Rating]],0)</f>
        <v>2</v>
      </c>
      <c r="N840">
        <f>COUNTIF(calls[Customer ID], calls[[#This Row],[Customer ID]])</f>
        <v>67</v>
      </c>
      <c r="O840">
        <f>SUMIF(calls[Customer ID], calls[[#This Row],[Customer ID]], calls[Purchase Amount])</f>
        <v>7216</v>
      </c>
      <c r="P840">
        <f>calls[[#This Row],[call count]]/calls[[#This Row],[Purchase Amount]]</f>
        <v>0.38068181818181818</v>
      </c>
      <c r="Q840">
        <f>COUNTIF(calls[Customer ID],calls[[#This Row],[Customer ID]])</f>
        <v>67</v>
      </c>
      <c r="R840">
        <f>calls[[#This Row],[call count]]/calls[[#This Row],[Purchase Amount]]</f>
        <v>0.38068181818181818</v>
      </c>
    </row>
    <row r="841" spans="1:18" x14ac:dyDescent="0.4">
      <c r="A841" t="s">
        <v>871</v>
      </c>
      <c r="B841" t="s">
        <v>51</v>
      </c>
      <c r="C841">
        <v>103</v>
      </c>
      <c r="D841" s="4" t="s">
        <v>27</v>
      </c>
      <c r="E841" s="5">
        <v>45215</v>
      </c>
      <c r="F841">
        <v>78</v>
      </c>
      <c r="G841">
        <f>AVERAGEIF(calls[Representative], calls[[#This Row],[Representative]], calls[Satisfaction Rating])</f>
        <v>3.8589371980676304</v>
      </c>
      <c r="H841" t="str">
        <f>IF(AVERAGEIF(calls[Representative],calls[[#This Row],[Representative]],calls[Satisfaction Rating])&lt;3.5,"Needs Training","OK")</f>
        <v>OK</v>
      </c>
      <c r="I841">
        <v>3</v>
      </c>
      <c r="J841">
        <f>IF(MONTH(calls[[#This Row],[Date of Call]])&lt;=6, YEAR(calls[[#This Row],[Date of Call]]), YEAR(calls[[#This Row],[Date of Call]])+1)</f>
        <v>2024</v>
      </c>
      <c r="K841" t="str">
        <f>TEXT(calls[[#This Row],[Date of Call]],"DDDD")</f>
        <v>Monday</v>
      </c>
      <c r="L841" t="str" cm="1">
        <f t="array" ref="L841">_xlfn.IFS(calls[[#This Row],[Duration]]&lt;=10,"under 10 mins",calls[[#This Row],[Duration]]&lt;=30,"10 to 30mins",calls[[#This Row],[Duration]]&lt;=60,"60 to 30mins",calls[[#This Row],[Duration]]&lt;=120,"1 to 2hrs",TRUE,"More than 2 hrs")</f>
        <v>1 to 2hrs</v>
      </c>
      <c r="M841">
        <f>ROUND(calls[[#This Row],[Satisfaction Rating]],0)</f>
        <v>3</v>
      </c>
      <c r="N841">
        <f>COUNTIF(calls[Customer ID], calls[[#This Row],[Customer ID]])</f>
        <v>59</v>
      </c>
      <c r="O841">
        <f>SUMIF(calls[Customer ID], calls[[#This Row],[Customer ID]], calls[Purchase Amount])</f>
        <v>6518</v>
      </c>
      <c r="P841">
        <f>calls[[#This Row],[call count]]/calls[[#This Row],[Purchase Amount]]</f>
        <v>0.75641025641025639</v>
      </c>
      <c r="Q841">
        <f>COUNTIF(calls[Customer ID],calls[[#This Row],[Customer ID]])</f>
        <v>59</v>
      </c>
      <c r="R841">
        <f>calls[[#This Row],[call count]]/calls[[#This Row],[Purchase Amount]]</f>
        <v>0.75641025641025639</v>
      </c>
    </row>
    <row r="842" spans="1:18" x14ac:dyDescent="0.4">
      <c r="A842" t="s">
        <v>872</v>
      </c>
      <c r="B842" t="s">
        <v>84</v>
      </c>
      <c r="C842">
        <v>32</v>
      </c>
      <c r="D842" s="4" t="s">
        <v>9</v>
      </c>
      <c r="E842" s="5">
        <v>45215</v>
      </c>
      <c r="F842">
        <v>42</v>
      </c>
      <c r="G842">
        <f>AVERAGEIF(calls[Representative], calls[[#This Row],[Representative]], calls[Satisfaction Rating])</f>
        <v>3.8706422018348627</v>
      </c>
      <c r="H842" t="str">
        <f>IF(AVERAGEIF(calls[Representative],calls[[#This Row],[Representative]],calls[Satisfaction Rating])&lt;3.5,"Needs Training","OK")</f>
        <v>OK</v>
      </c>
      <c r="I842">
        <v>4.2</v>
      </c>
      <c r="J842">
        <f>IF(MONTH(calls[[#This Row],[Date of Call]])&lt;=6, YEAR(calls[[#This Row],[Date of Call]]), YEAR(calls[[#This Row],[Date of Call]])+1)</f>
        <v>2024</v>
      </c>
      <c r="K842" t="str">
        <f>TEXT(calls[[#This Row],[Date of Call]],"DDDD")</f>
        <v>Monday</v>
      </c>
      <c r="L842" t="str" cm="1">
        <f t="array" ref="L842">_xlfn.IFS(calls[[#This Row],[Duration]]&lt;=10,"under 10 mins",calls[[#This Row],[Duration]]&lt;=30,"10 to 30mins",calls[[#This Row],[Duration]]&lt;=60,"60 to 30mins",calls[[#This Row],[Duration]]&lt;=120,"1 to 2hrs",TRUE,"More than 2 hrs")</f>
        <v>60 to 30mins</v>
      </c>
      <c r="M842">
        <f>ROUND(calls[[#This Row],[Satisfaction Rating]],0)</f>
        <v>4</v>
      </c>
      <c r="N842">
        <f>COUNTIF(calls[Customer ID], calls[[#This Row],[Customer ID]])</f>
        <v>59</v>
      </c>
      <c r="O842">
        <f>SUMIF(calls[Customer ID], calls[[#This Row],[Customer ID]], calls[Purchase Amount])</f>
        <v>5009</v>
      </c>
      <c r="P842">
        <f>calls[[#This Row],[call count]]/calls[[#This Row],[Purchase Amount]]</f>
        <v>1.4047619047619047</v>
      </c>
      <c r="Q842">
        <f>COUNTIF(calls[Customer ID],calls[[#This Row],[Customer ID]])</f>
        <v>59</v>
      </c>
      <c r="R842">
        <f>calls[[#This Row],[call count]]/calls[[#This Row],[Purchase Amount]]</f>
        <v>1.4047619047619047</v>
      </c>
    </row>
    <row r="843" spans="1:18" x14ac:dyDescent="0.4">
      <c r="A843" t="s">
        <v>873</v>
      </c>
      <c r="B843" t="s">
        <v>11</v>
      </c>
      <c r="C843">
        <v>30</v>
      </c>
      <c r="D843" s="4" t="s">
        <v>27</v>
      </c>
      <c r="E843" s="5">
        <v>45215</v>
      </c>
      <c r="F843">
        <v>38</v>
      </c>
      <c r="G843">
        <f>AVERAGEIF(calls[Representative], calls[[#This Row],[Representative]], calls[Satisfaction Rating])</f>
        <v>3.8589371980676304</v>
      </c>
      <c r="H843" t="str">
        <f>IF(AVERAGEIF(calls[Representative],calls[[#This Row],[Representative]],calls[Satisfaction Rating])&lt;3.5,"Needs Training","OK")</f>
        <v>OK</v>
      </c>
      <c r="I843">
        <v>3.7</v>
      </c>
      <c r="J843">
        <f>IF(MONTH(calls[[#This Row],[Date of Call]])&lt;=6, YEAR(calls[[#This Row],[Date of Call]]), YEAR(calls[[#This Row],[Date of Call]])+1)</f>
        <v>2024</v>
      </c>
      <c r="K843" t="str">
        <f>TEXT(calls[[#This Row],[Date of Call]],"DDDD")</f>
        <v>Monday</v>
      </c>
      <c r="L843" t="str" cm="1">
        <f t="array" ref="L843">_xlfn.IFS(calls[[#This Row],[Duration]]&lt;=10,"under 10 mins",calls[[#This Row],[Duration]]&lt;=30,"10 to 30mins",calls[[#This Row],[Duration]]&lt;=60,"60 to 30mins",calls[[#This Row],[Duration]]&lt;=120,"1 to 2hrs",TRUE,"More than 2 hrs")</f>
        <v>10 to 30mins</v>
      </c>
      <c r="M843">
        <f>ROUND(calls[[#This Row],[Satisfaction Rating]],0)</f>
        <v>4</v>
      </c>
      <c r="N843">
        <f>COUNTIF(calls[Customer ID], calls[[#This Row],[Customer ID]])</f>
        <v>60</v>
      </c>
      <c r="O843">
        <f>SUMIF(calls[Customer ID], calls[[#This Row],[Customer ID]], calls[Purchase Amount])</f>
        <v>5404</v>
      </c>
      <c r="P843">
        <f>calls[[#This Row],[call count]]/calls[[#This Row],[Purchase Amount]]</f>
        <v>1.5789473684210527</v>
      </c>
      <c r="Q843">
        <f>COUNTIF(calls[Customer ID],calls[[#This Row],[Customer ID]])</f>
        <v>60</v>
      </c>
      <c r="R843">
        <f>calls[[#This Row],[call count]]/calls[[#This Row],[Purchase Amount]]</f>
        <v>1.5789473684210527</v>
      </c>
    </row>
    <row r="844" spans="1:18" x14ac:dyDescent="0.4">
      <c r="A844" t="s">
        <v>874</v>
      </c>
      <c r="B844" t="s">
        <v>8</v>
      </c>
      <c r="C844">
        <v>87</v>
      </c>
      <c r="D844" s="4" t="s">
        <v>23</v>
      </c>
      <c r="E844" s="5">
        <v>45215</v>
      </c>
      <c r="F844">
        <v>27</v>
      </c>
      <c r="G844">
        <f>AVERAGEIF(calls[Representative], calls[[#This Row],[Representative]], calls[Satisfaction Rating])</f>
        <v>3.8973118279569863</v>
      </c>
      <c r="H844" t="str">
        <f>IF(AVERAGEIF(calls[Representative],calls[[#This Row],[Representative]],calls[Satisfaction Rating])&lt;3.5,"Needs Training","OK")</f>
        <v>OK</v>
      </c>
      <c r="I844">
        <v>4.2</v>
      </c>
      <c r="J844">
        <f>IF(MONTH(calls[[#This Row],[Date of Call]])&lt;=6, YEAR(calls[[#This Row],[Date of Call]]), YEAR(calls[[#This Row],[Date of Call]])+1)</f>
        <v>2024</v>
      </c>
      <c r="K844" t="str">
        <f>TEXT(calls[[#This Row],[Date of Call]],"DDDD")</f>
        <v>Monday</v>
      </c>
      <c r="L844" t="str" cm="1">
        <f t="array" ref="L844">_xlfn.IFS(calls[[#This Row],[Duration]]&lt;=10,"under 10 mins",calls[[#This Row],[Duration]]&lt;=30,"10 to 30mins",calls[[#This Row],[Duration]]&lt;=60,"60 to 30mins",calls[[#This Row],[Duration]]&lt;=120,"1 to 2hrs",TRUE,"More than 2 hrs")</f>
        <v>1 to 2hrs</v>
      </c>
      <c r="M844">
        <f>ROUND(calls[[#This Row],[Satisfaction Rating]],0)</f>
        <v>4</v>
      </c>
      <c r="N844">
        <f>COUNTIF(calls[Customer ID], calls[[#This Row],[Customer ID]])</f>
        <v>79</v>
      </c>
      <c r="O844">
        <f>SUMIF(calls[Customer ID], calls[[#This Row],[Customer ID]], calls[Purchase Amount])</f>
        <v>7747</v>
      </c>
      <c r="P844">
        <f>calls[[#This Row],[call count]]/calls[[#This Row],[Purchase Amount]]</f>
        <v>2.925925925925926</v>
      </c>
      <c r="Q844">
        <f>COUNTIF(calls[Customer ID],calls[[#This Row],[Customer ID]])</f>
        <v>79</v>
      </c>
      <c r="R844">
        <f>calls[[#This Row],[call count]]/calls[[#This Row],[Purchase Amount]]</f>
        <v>2.925925925925926</v>
      </c>
    </row>
    <row r="845" spans="1:18" x14ac:dyDescent="0.4">
      <c r="A845" t="s">
        <v>875</v>
      </c>
      <c r="B845" t="s">
        <v>21</v>
      </c>
      <c r="C845">
        <v>137</v>
      </c>
      <c r="D845" s="4" t="s">
        <v>2</v>
      </c>
      <c r="E845" s="5">
        <v>45216</v>
      </c>
      <c r="F845">
        <v>45</v>
      </c>
      <c r="G845">
        <f>AVERAGEIF(calls[Representative], calls[[#This Row],[Representative]], calls[Satisfaction Rating])</f>
        <v>3.8824999999999998</v>
      </c>
      <c r="H845" t="str">
        <f>IF(AVERAGEIF(calls[Representative],calls[[#This Row],[Representative]],calls[Satisfaction Rating])&lt;3.5,"Needs Training","OK")</f>
        <v>OK</v>
      </c>
      <c r="I845">
        <v>4.4000000000000004</v>
      </c>
      <c r="J845">
        <f>IF(MONTH(calls[[#This Row],[Date of Call]])&lt;=6, YEAR(calls[[#This Row],[Date of Call]]), YEAR(calls[[#This Row],[Date of Call]])+1)</f>
        <v>2024</v>
      </c>
      <c r="K845" t="str">
        <f>TEXT(calls[[#This Row],[Date of Call]],"DDDD")</f>
        <v>Tuesday</v>
      </c>
      <c r="L845" t="str" cm="1">
        <f t="array" ref="L845">_xlfn.IFS(calls[[#This Row],[Duration]]&lt;=10,"under 10 mins",calls[[#This Row],[Duration]]&lt;=30,"10 to 30mins",calls[[#This Row],[Duration]]&lt;=60,"60 to 30mins",calls[[#This Row],[Duration]]&lt;=120,"1 to 2hrs",TRUE,"More than 2 hrs")</f>
        <v>More than 2 hrs</v>
      </c>
      <c r="M845">
        <f>ROUND(calls[[#This Row],[Satisfaction Rating]],0)</f>
        <v>4</v>
      </c>
      <c r="N845">
        <f>COUNTIF(calls[Customer ID], calls[[#This Row],[Customer ID]])</f>
        <v>67</v>
      </c>
      <c r="O845">
        <f>SUMIF(calls[Customer ID], calls[[#This Row],[Customer ID]], calls[Purchase Amount])</f>
        <v>7216</v>
      </c>
      <c r="P845">
        <f>calls[[#This Row],[call count]]/calls[[#This Row],[Purchase Amount]]</f>
        <v>1.4888888888888889</v>
      </c>
      <c r="Q845">
        <f>COUNTIF(calls[Customer ID],calls[[#This Row],[Customer ID]])</f>
        <v>67</v>
      </c>
      <c r="R845">
        <f>calls[[#This Row],[call count]]/calls[[#This Row],[Purchase Amount]]</f>
        <v>1.4888888888888889</v>
      </c>
    </row>
    <row r="846" spans="1:18" x14ac:dyDescent="0.4">
      <c r="A846" t="s">
        <v>876</v>
      </c>
      <c r="B846" t="s">
        <v>30</v>
      </c>
      <c r="C846">
        <v>96</v>
      </c>
      <c r="D846" s="4" t="s">
        <v>27</v>
      </c>
      <c r="E846" s="5">
        <v>45216</v>
      </c>
      <c r="F846">
        <v>215</v>
      </c>
      <c r="G846">
        <f>AVERAGEIF(calls[Representative], calls[[#This Row],[Representative]], calls[Satisfaction Rating])</f>
        <v>3.8589371980676304</v>
      </c>
      <c r="H846" t="str">
        <f>IF(AVERAGEIF(calls[Representative],calls[[#This Row],[Representative]],calls[Satisfaction Rating])&lt;3.5,"Needs Training","OK")</f>
        <v>OK</v>
      </c>
      <c r="I846">
        <v>4</v>
      </c>
      <c r="J846">
        <f>IF(MONTH(calls[[#This Row],[Date of Call]])&lt;=6, YEAR(calls[[#This Row],[Date of Call]]), YEAR(calls[[#This Row],[Date of Call]])+1)</f>
        <v>2024</v>
      </c>
      <c r="K846" t="str">
        <f>TEXT(calls[[#This Row],[Date of Call]],"DDDD")</f>
        <v>Tuesday</v>
      </c>
      <c r="L846" t="str" cm="1">
        <f t="array" ref="L846">_xlfn.IFS(calls[[#This Row],[Duration]]&lt;=10,"under 10 mins",calls[[#This Row],[Duration]]&lt;=30,"10 to 30mins",calls[[#This Row],[Duration]]&lt;=60,"60 to 30mins",calls[[#This Row],[Duration]]&lt;=120,"1 to 2hrs",TRUE,"More than 2 hrs")</f>
        <v>1 to 2hrs</v>
      </c>
      <c r="M846">
        <f>ROUND(calls[[#This Row],[Satisfaction Rating]],0)</f>
        <v>4</v>
      </c>
      <c r="N846">
        <f>COUNTIF(calls[Customer ID], calls[[#This Row],[Customer ID]])</f>
        <v>69</v>
      </c>
      <c r="O846">
        <f>SUMIF(calls[Customer ID], calls[[#This Row],[Customer ID]], calls[Purchase Amount])</f>
        <v>7230</v>
      </c>
      <c r="P846">
        <f>calls[[#This Row],[call count]]/calls[[#This Row],[Purchase Amount]]</f>
        <v>0.32093023255813952</v>
      </c>
      <c r="Q846">
        <f>COUNTIF(calls[Customer ID],calls[[#This Row],[Customer ID]])</f>
        <v>69</v>
      </c>
      <c r="R846">
        <f>calls[[#This Row],[call count]]/calls[[#This Row],[Purchase Amount]]</f>
        <v>0.32093023255813952</v>
      </c>
    </row>
    <row r="847" spans="1:18" x14ac:dyDescent="0.4">
      <c r="A847" t="s">
        <v>877</v>
      </c>
      <c r="B847" t="s">
        <v>26</v>
      </c>
      <c r="C847">
        <v>155</v>
      </c>
      <c r="D847" s="4" t="s">
        <v>27</v>
      </c>
      <c r="E847" s="5">
        <v>45217</v>
      </c>
      <c r="F847">
        <v>72</v>
      </c>
      <c r="G847">
        <f>AVERAGEIF(calls[Representative], calls[[#This Row],[Representative]], calls[Satisfaction Rating])</f>
        <v>3.8589371980676304</v>
      </c>
      <c r="H847" t="str">
        <f>IF(AVERAGEIF(calls[Representative],calls[[#This Row],[Representative]],calls[Satisfaction Rating])&lt;3.5,"Needs Training","OK")</f>
        <v>OK</v>
      </c>
      <c r="I847">
        <v>4.7</v>
      </c>
      <c r="J847">
        <f>IF(MONTH(calls[[#This Row],[Date of Call]])&lt;=6, YEAR(calls[[#This Row],[Date of Call]]), YEAR(calls[[#This Row],[Date of Call]])+1)</f>
        <v>2024</v>
      </c>
      <c r="K847" t="str">
        <f>TEXT(calls[[#This Row],[Date of Call]],"DDDD")</f>
        <v>Wednesday</v>
      </c>
      <c r="L847" t="str" cm="1">
        <f t="array" ref="L847">_xlfn.IFS(calls[[#This Row],[Duration]]&lt;=10,"under 10 mins",calls[[#This Row],[Duration]]&lt;=30,"10 to 30mins",calls[[#This Row],[Duration]]&lt;=60,"60 to 30mins",calls[[#This Row],[Duration]]&lt;=120,"1 to 2hrs",TRUE,"More than 2 hrs")</f>
        <v>More than 2 hrs</v>
      </c>
      <c r="M847">
        <f>ROUND(calls[[#This Row],[Satisfaction Rating]],0)</f>
        <v>5</v>
      </c>
      <c r="N847">
        <f>COUNTIF(calls[Customer ID], calls[[#This Row],[Customer ID]])</f>
        <v>72</v>
      </c>
      <c r="O847">
        <f>SUMIF(calls[Customer ID], calls[[#This Row],[Customer ID]], calls[Purchase Amount])</f>
        <v>6242</v>
      </c>
      <c r="P847">
        <f>calls[[#This Row],[call count]]/calls[[#This Row],[Purchase Amount]]</f>
        <v>1</v>
      </c>
      <c r="Q847">
        <f>COUNTIF(calls[Customer ID],calls[[#This Row],[Customer ID]])</f>
        <v>72</v>
      </c>
      <c r="R847">
        <f>calls[[#This Row],[call count]]/calls[[#This Row],[Purchase Amount]]</f>
        <v>1</v>
      </c>
    </row>
    <row r="848" spans="1:18" x14ac:dyDescent="0.4">
      <c r="A848" t="s">
        <v>878</v>
      </c>
      <c r="B848" t="s">
        <v>11</v>
      </c>
      <c r="C848">
        <v>173</v>
      </c>
      <c r="D848" s="4" t="s">
        <v>14</v>
      </c>
      <c r="E848" s="5">
        <v>45217</v>
      </c>
      <c r="F848">
        <v>160</v>
      </c>
      <c r="G848">
        <f>AVERAGEIF(calls[Representative], calls[[#This Row],[Representative]], calls[Satisfaction Rating])</f>
        <v>3.9227513227513247</v>
      </c>
      <c r="H848" t="str">
        <f>IF(AVERAGEIF(calls[Representative],calls[[#This Row],[Representative]],calls[Satisfaction Rating])&lt;3.5,"Needs Training","OK")</f>
        <v>OK</v>
      </c>
      <c r="I848">
        <v>2.8</v>
      </c>
      <c r="J848">
        <f>IF(MONTH(calls[[#This Row],[Date of Call]])&lt;=6, YEAR(calls[[#This Row],[Date of Call]]), YEAR(calls[[#This Row],[Date of Call]])+1)</f>
        <v>2024</v>
      </c>
      <c r="K848" t="str">
        <f>TEXT(calls[[#This Row],[Date of Call]],"DDDD")</f>
        <v>Wednesday</v>
      </c>
      <c r="L848" t="str" cm="1">
        <f t="array" ref="L848">_xlfn.IFS(calls[[#This Row],[Duration]]&lt;=10,"under 10 mins",calls[[#This Row],[Duration]]&lt;=30,"10 to 30mins",calls[[#This Row],[Duration]]&lt;=60,"60 to 30mins",calls[[#This Row],[Duration]]&lt;=120,"1 to 2hrs",TRUE,"More than 2 hrs")</f>
        <v>More than 2 hrs</v>
      </c>
      <c r="M848">
        <f>ROUND(calls[[#This Row],[Satisfaction Rating]],0)</f>
        <v>3</v>
      </c>
      <c r="N848">
        <f>COUNTIF(calls[Customer ID], calls[[#This Row],[Customer ID]])</f>
        <v>60</v>
      </c>
      <c r="O848">
        <f>SUMIF(calls[Customer ID], calls[[#This Row],[Customer ID]], calls[Purchase Amount])</f>
        <v>5404</v>
      </c>
      <c r="P848">
        <f>calls[[#This Row],[call count]]/calls[[#This Row],[Purchase Amount]]</f>
        <v>0.375</v>
      </c>
      <c r="Q848">
        <f>COUNTIF(calls[Customer ID],calls[[#This Row],[Customer ID]])</f>
        <v>60</v>
      </c>
      <c r="R848">
        <f>calls[[#This Row],[call count]]/calls[[#This Row],[Purchase Amount]]</f>
        <v>0.375</v>
      </c>
    </row>
    <row r="849" spans="1:18" x14ac:dyDescent="0.4">
      <c r="A849" t="s">
        <v>879</v>
      </c>
      <c r="B849" t="s">
        <v>26</v>
      </c>
      <c r="C849">
        <v>127</v>
      </c>
      <c r="D849" s="4" t="s">
        <v>27</v>
      </c>
      <c r="E849" s="5">
        <v>45217</v>
      </c>
      <c r="F849">
        <v>165</v>
      </c>
      <c r="G849">
        <f>AVERAGEIF(calls[Representative], calls[[#This Row],[Representative]], calls[Satisfaction Rating])</f>
        <v>3.8589371980676304</v>
      </c>
      <c r="H849" t="str">
        <f>IF(AVERAGEIF(calls[Representative],calls[[#This Row],[Representative]],calls[Satisfaction Rating])&lt;3.5,"Needs Training","OK")</f>
        <v>OK</v>
      </c>
      <c r="I849">
        <v>2.5</v>
      </c>
      <c r="J849">
        <f>IF(MONTH(calls[[#This Row],[Date of Call]])&lt;=6, YEAR(calls[[#This Row],[Date of Call]]), YEAR(calls[[#This Row],[Date of Call]])+1)</f>
        <v>2024</v>
      </c>
      <c r="K849" t="str">
        <f>TEXT(calls[[#This Row],[Date of Call]],"DDDD")</f>
        <v>Wednesday</v>
      </c>
      <c r="L849" t="str" cm="1">
        <f t="array" ref="L849">_xlfn.IFS(calls[[#This Row],[Duration]]&lt;=10,"under 10 mins",calls[[#This Row],[Duration]]&lt;=30,"10 to 30mins",calls[[#This Row],[Duration]]&lt;=60,"60 to 30mins",calls[[#This Row],[Duration]]&lt;=120,"1 to 2hrs",TRUE,"More than 2 hrs")</f>
        <v>More than 2 hrs</v>
      </c>
      <c r="M849">
        <f>ROUND(calls[[#This Row],[Satisfaction Rating]],0)</f>
        <v>3</v>
      </c>
      <c r="N849">
        <f>COUNTIF(calls[Customer ID], calls[[#This Row],[Customer ID]])</f>
        <v>72</v>
      </c>
      <c r="O849">
        <f>SUMIF(calls[Customer ID], calls[[#This Row],[Customer ID]], calls[Purchase Amount])</f>
        <v>6242</v>
      </c>
      <c r="P849">
        <f>calls[[#This Row],[call count]]/calls[[#This Row],[Purchase Amount]]</f>
        <v>0.43636363636363634</v>
      </c>
      <c r="Q849">
        <f>COUNTIF(calls[Customer ID],calls[[#This Row],[Customer ID]])</f>
        <v>72</v>
      </c>
      <c r="R849">
        <f>calls[[#This Row],[call count]]/calls[[#This Row],[Purchase Amount]]</f>
        <v>0.43636363636363634</v>
      </c>
    </row>
    <row r="850" spans="1:18" x14ac:dyDescent="0.4">
      <c r="A850" t="s">
        <v>880</v>
      </c>
      <c r="B850" t="s">
        <v>6</v>
      </c>
      <c r="C850">
        <v>117</v>
      </c>
      <c r="D850" s="4" t="s">
        <v>14</v>
      </c>
      <c r="E850" s="5">
        <v>45217</v>
      </c>
      <c r="F850">
        <v>120</v>
      </c>
      <c r="G850">
        <f>AVERAGEIF(calls[Representative], calls[[#This Row],[Representative]], calls[Satisfaction Rating])</f>
        <v>3.9227513227513247</v>
      </c>
      <c r="H850" t="str">
        <f>IF(AVERAGEIF(calls[Representative],calls[[#This Row],[Representative]],calls[Satisfaction Rating])&lt;3.5,"Needs Training","OK")</f>
        <v>OK</v>
      </c>
      <c r="I850">
        <v>3.4</v>
      </c>
      <c r="J850">
        <f>IF(MONTH(calls[[#This Row],[Date of Call]])&lt;=6, YEAR(calls[[#This Row],[Date of Call]]), YEAR(calls[[#This Row],[Date of Call]])+1)</f>
        <v>2024</v>
      </c>
      <c r="K850" t="str">
        <f>TEXT(calls[[#This Row],[Date of Call]],"DDDD")</f>
        <v>Wednesday</v>
      </c>
      <c r="L850" t="str" cm="1">
        <f t="array" ref="L850">_xlfn.IFS(calls[[#This Row],[Duration]]&lt;=10,"under 10 mins",calls[[#This Row],[Duration]]&lt;=30,"10 to 30mins",calls[[#This Row],[Duration]]&lt;=60,"60 to 30mins",calls[[#This Row],[Duration]]&lt;=120,"1 to 2hrs",TRUE,"More than 2 hrs")</f>
        <v>1 to 2hrs</v>
      </c>
      <c r="M850">
        <f>ROUND(calls[[#This Row],[Satisfaction Rating]],0)</f>
        <v>3</v>
      </c>
      <c r="N850">
        <f>COUNTIF(calls[Customer ID], calls[[#This Row],[Customer ID]])</f>
        <v>82</v>
      </c>
      <c r="O850">
        <f>SUMIF(calls[Customer ID], calls[[#This Row],[Customer ID]], calls[Purchase Amount])</f>
        <v>7689</v>
      </c>
      <c r="P850">
        <f>calls[[#This Row],[call count]]/calls[[#This Row],[Purchase Amount]]</f>
        <v>0.68333333333333335</v>
      </c>
      <c r="Q850">
        <f>COUNTIF(calls[Customer ID],calls[[#This Row],[Customer ID]])</f>
        <v>82</v>
      </c>
      <c r="R850">
        <f>calls[[#This Row],[call count]]/calls[[#This Row],[Purchase Amount]]</f>
        <v>0.68333333333333335</v>
      </c>
    </row>
    <row r="851" spans="1:18" x14ac:dyDescent="0.4">
      <c r="A851" t="s">
        <v>881</v>
      </c>
      <c r="B851" t="s">
        <v>1</v>
      </c>
      <c r="C851">
        <v>133</v>
      </c>
      <c r="D851" s="4" t="s">
        <v>9</v>
      </c>
      <c r="E851" s="5">
        <v>45217</v>
      </c>
      <c r="F851">
        <v>117</v>
      </c>
      <c r="G851">
        <f>AVERAGEIF(calls[Representative], calls[[#This Row],[Representative]], calls[Satisfaction Rating])</f>
        <v>3.8706422018348627</v>
      </c>
      <c r="H851" t="str">
        <f>IF(AVERAGEIF(calls[Representative],calls[[#This Row],[Representative]],calls[Satisfaction Rating])&lt;3.5,"Needs Training","OK")</f>
        <v>OK</v>
      </c>
      <c r="I851">
        <v>4.8</v>
      </c>
      <c r="J851">
        <f>IF(MONTH(calls[[#This Row],[Date of Call]])&lt;=6, YEAR(calls[[#This Row],[Date of Call]]), YEAR(calls[[#This Row],[Date of Call]])+1)</f>
        <v>2024</v>
      </c>
      <c r="K851" t="str">
        <f>TEXT(calls[[#This Row],[Date of Call]],"DDDD")</f>
        <v>Wednesday</v>
      </c>
      <c r="L851" t="str" cm="1">
        <f t="array" ref="L851">_xlfn.IFS(calls[[#This Row],[Duration]]&lt;=10,"under 10 mins",calls[[#This Row],[Duration]]&lt;=30,"10 to 30mins",calls[[#This Row],[Duration]]&lt;=60,"60 to 30mins",calls[[#This Row],[Duration]]&lt;=120,"1 to 2hrs",TRUE,"More than 2 hrs")</f>
        <v>More than 2 hrs</v>
      </c>
      <c r="M851">
        <f>ROUND(calls[[#This Row],[Satisfaction Rating]],0)</f>
        <v>5</v>
      </c>
      <c r="N851">
        <f>COUNTIF(calls[Customer ID], calls[[#This Row],[Customer ID]])</f>
        <v>50</v>
      </c>
      <c r="O851">
        <f>SUMIF(calls[Customer ID], calls[[#This Row],[Customer ID]], calls[Purchase Amount])</f>
        <v>4804</v>
      </c>
      <c r="P851">
        <f>calls[[#This Row],[call count]]/calls[[#This Row],[Purchase Amount]]</f>
        <v>0.42735042735042733</v>
      </c>
      <c r="Q851">
        <f>COUNTIF(calls[Customer ID],calls[[#This Row],[Customer ID]])</f>
        <v>50</v>
      </c>
      <c r="R851">
        <f>calls[[#This Row],[call count]]/calls[[#This Row],[Purchase Amount]]</f>
        <v>0.42735042735042733</v>
      </c>
    </row>
    <row r="852" spans="1:18" x14ac:dyDescent="0.4">
      <c r="A852" t="s">
        <v>882</v>
      </c>
      <c r="B852" t="s">
        <v>32</v>
      </c>
      <c r="C852">
        <v>166</v>
      </c>
      <c r="D852" s="4" t="s">
        <v>23</v>
      </c>
      <c r="E852" s="5">
        <v>45218</v>
      </c>
      <c r="F852">
        <v>29</v>
      </c>
      <c r="G852">
        <f>AVERAGEIF(calls[Representative], calls[[#This Row],[Representative]], calls[Satisfaction Rating])</f>
        <v>3.8973118279569863</v>
      </c>
      <c r="H852" t="str">
        <f>IF(AVERAGEIF(calls[Representative],calls[[#This Row],[Representative]],calls[Satisfaction Rating])&lt;3.5,"Needs Training","OK")</f>
        <v>OK</v>
      </c>
      <c r="I852">
        <v>4.3</v>
      </c>
      <c r="J852">
        <f>IF(MONTH(calls[[#This Row],[Date of Call]])&lt;=6, YEAR(calls[[#This Row],[Date of Call]]), YEAR(calls[[#This Row],[Date of Call]])+1)</f>
        <v>2024</v>
      </c>
      <c r="K852" t="str">
        <f>TEXT(calls[[#This Row],[Date of Call]],"DDDD")</f>
        <v>Thursday</v>
      </c>
      <c r="L852" t="str" cm="1">
        <f t="array" ref="L852">_xlfn.IFS(calls[[#This Row],[Duration]]&lt;=10,"under 10 mins",calls[[#This Row],[Duration]]&lt;=30,"10 to 30mins",calls[[#This Row],[Duration]]&lt;=60,"60 to 30mins",calls[[#This Row],[Duration]]&lt;=120,"1 to 2hrs",TRUE,"More than 2 hrs")</f>
        <v>More than 2 hrs</v>
      </c>
      <c r="M852">
        <f>ROUND(calls[[#This Row],[Satisfaction Rating]],0)</f>
        <v>4</v>
      </c>
      <c r="N852">
        <f>COUNTIF(calls[Customer ID], calls[[#This Row],[Customer ID]])</f>
        <v>63</v>
      </c>
      <c r="O852">
        <f>SUMIF(calls[Customer ID], calls[[#This Row],[Customer ID]], calls[Purchase Amount])</f>
        <v>5634</v>
      </c>
      <c r="P852">
        <f>calls[[#This Row],[call count]]/calls[[#This Row],[Purchase Amount]]</f>
        <v>2.1724137931034484</v>
      </c>
      <c r="Q852">
        <f>COUNTIF(calls[Customer ID],calls[[#This Row],[Customer ID]])</f>
        <v>63</v>
      </c>
      <c r="R852">
        <f>calls[[#This Row],[call count]]/calls[[#This Row],[Purchase Amount]]</f>
        <v>2.1724137931034484</v>
      </c>
    </row>
    <row r="853" spans="1:18" x14ac:dyDescent="0.4">
      <c r="A853" t="s">
        <v>883</v>
      </c>
      <c r="B853" t="s">
        <v>1</v>
      </c>
      <c r="C853">
        <v>50</v>
      </c>
      <c r="D853" s="4" t="s">
        <v>14</v>
      </c>
      <c r="E853" s="5">
        <v>45218</v>
      </c>
      <c r="F853">
        <v>64</v>
      </c>
      <c r="G853">
        <f>AVERAGEIF(calls[Representative], calls[[#This Row],[Representative]], calls[Satisfaction Rating])</f>
        <v>3.9227513227513247</v>
      </c>
      <c r="H853" t="str">
        <f>IF(AVERAGEIF(calls[Representative],calls[[#This Row],[Representative]],calls[Satisfaction Rating])&lt;3.5,"Needs Training","OK")</f>
        <v>OK</v>
      </c>
      <c r="I853">
        <v>4.5</v>
      </c>
      <c r="J853">
        <f>IF(MONTH(calls[[#This Row],[Date of Call]])&lt;=6, YEAR(calls[[#This Row],[Date of Call]]), YEAR(calls[[#This Row],[Date of Call]])+1)</f>
        <v>2024</v>
      </c>
      <c r="K853" t="str">
        <f>TEXT(calls[[#This Row],[Date of Call]],"DDDD")</f>
        <v>Thursday</v>
      </c>
      <c r="L853" t="str" cm="1">
        <f t="array" ref="L853">_xlfn.IFS(calls[[#This Row],[Duration]]&lt;=10,"under 10 mins",calls[[#This Row],[Duration]]&lt;=30,"10 to 30mins",calls[[#This Row],[Duration]]&lt;=60,"60 to 30mins",calls[[#This Row],[Duration]]&lt;=120,"1 to 2hrs",TRUE,"More than 2 hrs")</f>
        <v>60 to 30mins</v>
      </c>
      <c r="M853">
        <f>ROUND(calls[[#This Row],[Satisfaction Rating]],0)</f>
        <v>5</v>
      </c>
      <c r="N853">
        <f>COUNTIF(calls[Customer ID], calls[[#This Row],[Customer ID]])</f>
        <v>50</v>
      </c>
      <c r="O853">
        <f>SUMIF(calls[Customer ID], calls[[#This Row],[Customer ID]], calls[Purchase Amount])</f>
        <v>4804</v>
      </c>
      <c r="P853">
        <f>calls[[#This Row],[call count]]/calls[[#This Row],[Purchase Amount]]</f>
        <v>0.78125</v>
      </c>
      <c r="Q853">
        <f>COUNTIF(calls[Customer ID],calls[[#This Row],[Customer ID]])</f>
        <v>50</v>
      </c>
      <c r="R853">
        <f>calls[[#This Row],[call count]]/calls[[#This Row],[Purchase Amount]]</f>
        <v>0.78125</v>
      </c>
    </row>
    <row r="854" spans="1:18" x14ac:dyDescent="0.4">
      <c r="A854" t="s">
        <v>884</v>
      </c>
      <c r="B854" t="s">
        <v>51</v>
      </c>
      <c r="C854">
        <v>43</v>
      </c>
      <c r="D854" s="4" t="s">
        <v>9</v>
      </c>
      <c r="E854" s="5">
        <v>45218</v>
      </c>
      <c r="F854">
        <v>84</v>
      </c>
      <c r="G854">
        <f>AVERAGEIF(calls[Representative], calls[[#This Row],[Representative]], calls[Satisfaction Rating])</f>
        <v>3.8706422018348627</v>
      </c>
      <c r="H854" t="str">
        <f>IF(AVERAGEIF(calls[Representative],calls[[#This Row],[Representative]],calls[Satisfaction Rating])&lt;3.5,"Needs Training","OK")</f>
        <v>OK</v>
      </c>
      <c r="I854">
        <v>3.6</v>
      </c>
      <c r="J854">
        <f>IF(MONTH(calls[[#This Row],[Date of Call]])&lt;=6, YEAR(calls[[#This Row],[Date of Call]]), YEAR(calls[[#This Row],[Date of Call]])+1)</f>
        <v>2024</v>
      </c>
      <c r="K854" t="str">
        <f>TEXT(calls[[#This Row],[Date of Call]],"DDDD")</f>
        <v>Thursday</v>
      </c>
      <c r="L854" t="str" cm="1">
        <f t="array" ref="L854">_xlfn.IFS(calls[[#This Row],[Duration]]&lt;=10,"under 10 mins",calls[[#This Row],[Duration]]&lt;=30,"10 to 30mins",calls[[#This Row],[Duration]]&lt;=60,"60 to 30mins",calls[[#This Row],[Duration]]&lt;=120,"1 to 2hrs",TRUE,"More than 2 hrs")</f>
        <v>60 to 30mins</v>
      </c>
      <c r="M854">
        <f>ROUND(calls[[#This Row],[Satisfaction Rating]],0)</f>
        <v>4</v>
      </c>
      <c r="N854">
        <f>COUNTIF(calls[Customer ID], calls[[#This Row],[Customer ID]])</f>
        <v>59</v>
      </c>
      <c r="O854">
        <f>SUMIF(calls[Customer ID], calls[[#This Row],[Customer ID]], calls[Purchase Amount])</f>
        <v>6518</v>
      </c>
      <c r="P854">
        <f>calls[[#This Row],[call count]]/calls[[#This Row],[Purchase Amount]]</f>
        <v>0.70238095238095233</v>
      </c>
      <c r="Q854">
        <f>COUNTIF(calls[Customer ID],calls[[#This Row],[Customer ID]])</f>
        <v>59</v>
      </c>
      <c r="R854">
        <f>calls[[#This Row],[call count]]/calls[[#This Row],[Purchase Amount]]</f>
        <v>0.70238095238095233</v>
      </c>
    </row>
    <row r="855" spans="1:18" x14ac:dyDescent="0.4">
      <c r="A855" t="s">
        <v>885</v>
      </c>
      <c r="B855" t="s">
        <v>30</v>
      </c>
      <c r="C855">
        <v>124</v>
      </c>
      <c r="D855" s="4" t="s">
        <v>27</v>
      </c>
      <c r="E855" s="5">
        <v>45218</v>
      </c>
      <c r="F855">
        <v>42</v>
      </c>
      <c r="G855">
        <f>AVERAGEIF(calls[Representative], calls[[#This Row],[Representative]], calls[Satisfaction Rating])</f>
        <v>3.8589371980676304</v>
      </c>
      <c r="H855" t="str">
        <f>IF(AVERAGEIF(calls[Representative],calls[[#This Row],[Representative]],calls[Satisfaction Rating])&lt;3.5,"Needs Training","OK")</f>
        <v>OK</v>
      </c>
      <c r="I855">
        <v>3.7</v>
      </c>
      <c r="J855">
        <f>IF(MONTH(calls[[#This Row],[Date of Call]])&lt;=6, YEAR(calls[[#This Row],[Date of Call]]), YEAR(calls[[#This Row],[Date of Call]])+1)</f>
        <v>2024</v>
      </c>
      <c r="K855" t="str">
        <f>TEXT(calls[[#This Row],[Date of Call]],"DDDD")</f>
        <v>Thursday</v>
      </c>
      <c r="L855" t="str" cm="1">
        <f t="array" ref="L855">_xlfn.IFS(calls[[#This Row],[Duration]]&lt;=10,"under 10 mins",calls[[#This Row],[Duration]]&lt;=30,"10 to 30mins",calls[[#This Row],[Duration]]&lt;=60,"60 to 30mins",calls[[#This Row],[Duration]]&lt;=120,"1 to 2hrs",TRUE,"More than 2 hrs")</f>
        <v>More than 2 hrs</v>
      </c>
      <c r="M855">
        <f>ROUND(calls[[#This Row],[Satisfaction Rating]],0)</f>
        <v>4</v>
      </c>
      <c r="N855">
        <f>COUNTIF(calls[Customer ID], calls[[#This Row],[Customer ID]])</f>
        <v>69</v>
      </c>
      <c r="O855">
        <f>SUMIF(calls[Customer ID], calls[[#This Row],[Customer ID]], calls[Purchase Amount])</f>
        <v>7230</v>
      </c>
      <c r="P855">
        <f>calls[[#This Row],[call count]]/calls[[#This Row],[Purchase Amount]]</f>
        <v>1.6428571428571428</v>
      </c>
      <c r="Q855">
        <f>COUNTIF(calls[Customer ID],calls[[#This Row],[Customer ID]])</f>
        <v>69</v>
      </c>
      <c r="R855">
        <f>calls[[#This Row],[call count]]/calls[[#This Row],[Purchase Amount]]</f>
        <v>1.6428571428571428</v>
      </c>
    </row>
    <row r="856" spans="1:18" x14ac:dyDescent="0.4">
      <c r="A856" t="s">
        <v>886</v>
      </c>
      <c r="B856" t="s">
        <v>11</v>
      </c>
      <c r="C856">
        <v>94</v>
      </c>
      <c r="D856" s="4" t="s">
        <v>27</v>
      </c>
      <c r="E856" s="5">
        <v>45218</v>
      </c>
      <c r="F856">
        <v>120</v>
      </c>
      <c r="G856">
        <f>AVERAGEIF(calls[Representative], calls[[#This Row],[Representative]], calls[Satisfaction Rating])</f>
        <v>3.8589371980676304</v>
      </c>
      <c r="H856" t="str">
        <f>IF(AVERAGEIF(calls[Representative],calls[[#This Row],[Representative]],calls[Satisfaction Rating])&lt;3.5,"Needs Training","OK")</f>
        <v>OK</v>
      </c>
      <c r="I856">
        <v>3.5</v>
      </c>
      <c r="J856">
        <f>IF(MONTH(calls[[#This Row],[Date of Call]])&lt;=6, YEAR(calls[[#This Row],[Date of Call]]), YEAR(calls[[#This Row],[Date of Call]])+1)</f>
        <v>2024</v>
      </c>
      <c r="K856" t="str">
        <f>TEXT(calls[[#This Row],[Date of Call]],"DDDD")</f>
        <v>Thursday</v>
      </c>
      <c r="L856" t="str" cm="1">
        <f t="array" ref="L856">_xlfn.IFS(calls[[#This Row],[Duration]]&lt;=10,"under 10 mins",calls[[#This Row],[Duration]]&lt;=30,"10 to 30mins",calls[[#This Row],[Duration]]&lt;=60,"60 to 30mins",calls[[#This Row],[Duration]]&lt;=120,"1 to 2hrs",TRUE,"More than 2 hrs")</f>
        <v>1 to 2hrs</v>
      </c>
      <c r="M856">
        <f>ROUND(calls[[#This Row],[Satisfaction Rating]],0)</f>
        <v>4</v>
      </c>
      <c r="N856">
        <f>COUNTIF(calls[Customer ID], calls[[#This Row],[Customer ID]])</f>
        <v>60</v>
      </c>
      <c r="O856">
        <f>SUMIF(calls[Customer ID], calls[[#This Row],[Customer ID]], calls[Purchase Amount])</f>
        <v>5404</v>
      </c>
      <c r="P856">
        <f>calls[[#This Row],[call count]]/calls[[#This Row],[Purchase Amount]]</f>
        <v>0.5</v>
      </c>
      <c r="Q856">
        <f>COUNTIF(calls[Customer ID],calls[[#This Row],[Customer ID]])</f>
        <v>60</v>
      </c>
      <c r="R856">
        <f>calls[[#This Row],[call count]]/calls[[#This Row],[Purchase Amount]]</f>
        <v>0.5</v>
      </c>
    </row>
    <row r="857" spans="1:18" x14ac:dyDescent="0.4">
      <c r="A857" t="s">
        <v>887</v>
      </c>
      <c r="B857" t="s">
        <v>51</v>
      </c>
      <c r="C857">
        <v>126</v>
      </c>
      <c r="D857" s="4" t="s">
        <v>23</v>
      </c>
      <c r="E857" s="5">
        <v>45219</v>
      </c>
      <c r="F857">
        <v>80</v>
      </c>
      <c r="G857">
        <f>AVERAGEIF(calls[Representative], calls[[#This Row],[Representative]], calls[Satisfaction Rating])</f>
        <v>3.8973118279569863</v>
      </c>
      <c r="H857" t="str">
        <f>IF(AVERAGEIF(calls[Representative],calls[[#This Row],[Representative]],calls[Satisfaction Rating])&lt;3.5,"Needs Training","OK")</f>
        <v>OK</v>
      </c>
      <c r="I857">
        <v>4.7</v>
      </c>
      <c r="J857">
        <f>IF(MONTH(calls[[#This Row],[Date of Call]])&lt;=6, YEAR(calls[[#This Row],[Date of Call]]), YEAR(calls[[#This Row],[Date of Call]])+1)</f>
        <v>2024</v>
      </c>
      <c r="K857" t="str">
        <f>TEXT(calls[[#This Row],[Date of Call]],"DDDD")</f>
        <v>Friday</v>
      </c>
      <c r="L857" t="str" cm="1">
        <f t="array" ref="L857">_xlfn.IFS(calls[[#This Row],[Duration]]&lt;=10,"under 10 mins",calls[[#This Row],[Duration]]&lt;=30,"10 to 30mins",calls[[#This Row],[Duration]]&lt;=60,"60 to 30mins",calls[[#This Row],[Duration]]&lt;=120,"1 to 2hrs",TRUE,"More than 2 hrs")</f>
        <v>More than 2 hrs</v>
      </c>
      <c r="M857">
        <f>ROUND(calls[[#This Row],[Satisfaction Rating]],0)</f>
        <v>5</v>
      </c>
      <c r="N857">
        <f>COUNTIF(calls[Customer ID], calls[[#This Row],[Customer ID]])</f>
        <v>59</v>
      </c>
      <c r="O857">
        <f>SUMIF(calls[Customer ID], calls[[#This Row],[Customer ID]], calls[Purchase Amount])</f>
        <v>6518</v>
      </c>
      <c r="P857">
        <f>calls[[#This Row],[call count]]/calls[[#This Row],[Purchase Amount]]</f>
        <v>0.73750000000000004</v>
      </c>
      <c r="Q857">
        <f>COUNTIF(calls[Customer ID],calls[[#This Row],[Customer ID]])</f>
        <v>59</v>
      </c>
      <c r="R857">
        <f>calls[[#This Row],[call count]]/calls[[#This Row],[Purchase Amount]]</f>
        <v>0.73750000000000004</v>
      </c>
    </row>
    <row r="858" spans="1:18" x14ac:dyDescent="0.4">
      <c r="A858" t="s">
        <v>888</v>
      </c>
      <c r="B858" t="s">
        <v>32</v>
      </c>
      <c r="C858">
        <v>105</v>
      </c>
      <c r="D858" s="4" t="s">
        <v>14</v>
      </c>
      <c r="E858" s="5">
        <v>45219</v>
      </c>
      <c r="F858">
        <v>185</v>
      </c>
      <c r="G858">
        <f>AVERAGEIF(calls[Representative], calls[[#This Row],[Representative]], calls[Satisfaction Rating])</f>
        <v>3.9227513227513247</v>
      </c>
      <c r="H858" t="str">
        <f>IF(AVERAGEIF(calls[Representative],calls[[#This Row],[Representative]],calls[Satisfaction Rating])&lt;3.5,"Needs Training","OK")</f>
        <v>OK</v>
      </c>
      <c r="I858">
        <v>3.5</v>
      </c>
      <c r="J858">
        <f>IF(MONTH(calls[[#This Row],[Date of Call]])&lt;=6, YEAR(calls[[#This Row],[Date of Call]]), YEAR(calls[[#This Row],[Date of Call]])+1)</f>
        <v>2024</v>
      </c>
      <c r="K858" t="str">
        <f>TEXT(calls[[#This Row],[Date of Call]],"DDDD")</f>
        <v>Friday</v>
      </c>
      <c r="L858" t="str" cm="1">
        <f t="array" ref="L858">_xlfn.IFS(calls[[#This Row],[Duration]]&lt;=10,"under 10 mins",calls[[#This Row],[Duration]]&lt;=30,"10 to 30mins",calls[[#This Row],[Duration]]&lt;=60,"60 to 30mins",calls[[#This Row],[Duration]]&lt;=120,"1 to 2hrs",TRUE,"More than 2 hrs")</f>
        <v>1 to 2hrs</v>
      </c>
      <c r="M858">
        <f>ROUND(calls[[#This Row],[Satisfaction Rating]],0)</f>
        <v>4</v>
      </c>
      <c r="N858">
        <f>COUNTIF(calls[Customer ID], calls[[#This Row],[Customer ID]])</f>
        <v>63</v>
      </c>
      <c r="O858">
        <f>SUMIF(calls[Customer ID], calls[[#This Row],[Customer ID]], calls[Purchase Amount])</f>
        <v>5634</v>
      </c>
      <c r="P858">
        <f>calls[[#This Row],[call count]]/calls[[#This Row],[Purchase Amount]]</f>
        <v>0.34054054054054056</v>
      </c>
      <c r="Q858">
        <f>COUNTIF(calls[Customer ID],calls[[#This Row],[Customer ID]])</f>
        <v>63</v>
      </c>
      <c r="R858">
        <f>calls[[#This Row],[call count]]/calls[[#This Row],[Purchase Amount]]</f>
        <v>0.34054054054054056</v>
      </c>
    </row>
    <row r="859" spans="1:18" x14ac:dyDescent="0.4">
      <c r="A859" t="s">
        <v>889</v>
      </c>
      <c r="B859" t="s">
        <v>13</v>
      </c>
      <c r="C859">
        <v>60</v>
      </c>
      <c r="D859" s="4" t="s">
        <v>2</v>
      </c>
      <c r="E859" s="5">
        <v>45220</v>
      </c>
      <c r="F859">
        <v>135</v>
      </c>
      <c r="G859">
        <f>AVERAGEIF(calls[Representative], calls[[#This Row],[Representative]], calls[Satisfaction Rating])</f>
        <v>3.8824999999999998</v>
      </c>
      <c r="H859" t="str">
        <f>IF(AVERAGEIF(calls[Representative],calls[[#This Row],[Representative]],calls[Satisfaction Rating])&lt;3.5,"Needs Training","OK")</f>
        <v>OK</v>
      </c>
      <c r="I859">
        <v>3.9</v>
      </c>
      <c r="J859">
        <f>IF(MONTH(calls[[#This Row],[Date of Call]])&lt;=6, YEAR(calls[[#This Row],[Date of Call]]), YEAR(calls[[#This Row],[Date of Call]])+1)</f>
        <v>2024</v>
      </c>
      <c r="K859" t="str">
        <f>TEXT(calls[[#This Row],[Date of Call]],"DDDD")</f>
        <v>Saturday</v>
      </c>
      <c r="L859" t="str" cm="1">
        <f t="array" ref="L859">_xlfn.IFS(calls[[#This Row],[Duration]]&lt;=10,"under 10 mins",calls[[#This Row],[Duration]]&lt;=30,"10 to 30mins",calls[[#This Row],[Duration]]&lt;=60,"60 to 30mins",calls[[#This Row],[Duration]]&lt;=120,"1 to 2hrs",TRUE,"More than 2 hrs")</f>
        <v>60 to 30mins</v>
      </c>
      <c r="M859">
        <f>ROUND(calls[[#This Row],[Satisfaction Rating]],0)</f>
        <v>4</v>
      </c>
      <c r="N859">
        <f>COUNTIF(calls[Customer ID], calls[[#This Row],[Customer ID]])</f>
        <v>74</v>
      </c>
      <c r="O859">
        <f>SUMIF(calls[Customer ID], calls[[#This Row],[Customer ID]], calls[Purchase Amount])</f>
        <v>6749</v>
      </c>
      <c r="P859">
        <f>calls[[#This Row],[call count]]/calls[[#This Row],[Purchase Amount]]</f>
        <v>0.54814814814814816</v>
      </c>
      <c r="Q859">
        <f>COUNTIF(calls[Customer ID],calls[[#This Row],[Customer ID]])</f>
        <v>74</v>
      </c>
      <c r="R859">
        <f>calls[[#This Row],[call count]]/calls[[#This Row],[Purchase Amount]]</f>
        <v>0.54814814814814816</v>
      </c>
    </row>
    <row r="860" spans="1:18" x14ac:dyDescent="0.4">
      <c r="A860" t="s">
        <v>890</v>
      </c>
      <c r="B860" t="s">
        <v>13</v>
      </c>
      <c r="C860">
        <v>72</v>
      </c>
      <c r="D860" s="4" t="s">
        <v>14</v>
      </c>
      <c r="E860" s="5">
        <v>45220</v>
      </c>
      <c r="F860">
        <v>20</v>
      </c>
      <c r="G860">
        <f>AVERAGEIF(calls[Representative], calls[[#This Row],[Representative]], calls[Satisfaction Rating])</f>
        <v>3.9227513227513247</v>
      </c>
      <c r="H860" t="str">
        <f>IF(AVERAGEIF(calls[Representative],calls[[#This Row],[Representative]],calls[Satisfaction Rating])&lt;3.5,"Needs Training","OK")</f>
        <v>OK</v>
      </c>
      <c r="I860">
        <v>4.8</v>
      </c>
      <c r="J860">
        <f>IF(MONTH(calls[[#This Row],[Date of Call]])&lt;=6, YEAR(calls[[#This Row],[Date of Call]]), YEAR(calls[[#This Row],[Date of Call]])+1)</f>
        <v>2024</v>
      </c>
      <c r="K860" t="str">
        <f>TEXT(calls[[#This Row],[Date of Call]],"DDDD")</f>
        <v>Saturday</v>
      </c>
      <c r="L860" t="str" cm="1">
        <f t="array" ref="L860">_xlfn.IFS(calls[[#This Row],[Duration]]&lt;=10,"under 10 mins",calls[[#This Row],[Duration]]&lt;=30,"10 to 30mins",calls[[#This Row],[Duration]]&lt;=60,"60 to 30mins",calls[[#This Row],[Duration]]&lt;=120,"1 to 2hrs",TRUE,"More than 2 hrs")</f>
        <v>1 to 2hrs</v>
      </c>
      <c r="M860">
        <f>ROUND(calls[[#This Row],[Satisfaction Rating]],0)</f>
        <v>5</v>
      </c>
      <c r="N860">
        <f>COUNTIF(calls[Customer ID], calls[[#This Row],[Customer ID]])</f>
        <v>74</v>
      </c>
      <c r="O860">
        <f>SUMIF(calls[Customer ID], calls[[#This Row],[Customer ID]], calls[Purchase Amount])</f>
        <v>6749</v>
      </c>
      <c r="P860">
        <f>calls[[#This Row],[call count]]/calls[[#This Row],[Purchase Amount]]</f>
        <v>3.7</v>
      </c>
      <c r="Q860">
        <f>COUNTIF(calls[Customer ID],calls[[#This Row],[Customer ID]])</f>
        <v>74</v>
      </c>
      <c r="R860">
        <f>calls[[#This Row],[call count]]/calls[[#This Row],[Purchase Amount]]</f>
        <v>3.7</v>
      </c>
    </row>
    <row r="861" spans="1:18" x14ac:dyDescent="0.4">
      <c r="A861" t="s">
        <v>891</v>
      </c>
      <c r="B861" t="s">
        <v>54</v>
      </c>
      <c r="C861">
        <v>40</v>
      </c>
      <c r="D861" s="4" t="s">
        <v>14</v>
      </c>
      <c r="E861" s="5">
        <v>45220</v>
      </c>
      <c r="F861">
        <v>31</v>
      </c>
      <c r="G861">
        <f>AVERAGEIF(calls[Representative], calls[[#This Row],[Representative]], calls[Satisfaction Rating])</f>
        <v>3.9227513227513247</v>
      </c>
      <c r="H861" t="str">
        <f>IF(AVERAGEIF(calls[Representative],calls[[#This Row],[Representative]],calls[Satisfaction Rating])&lt;3.5,"Needs Training","OK")</f>
        <v>OK</v>
      </c>
      <c r="I861">
        <v>4</v>
      </c>
      <c r="J861">
        <f>IF(MONTH(calls[[#This Row],[Date of Call]])&lt;=6, YEAR(calls[[#This Row],[Date of Call]]), YEAR(calls[[#This Row],[Date of Call]])+1)</f>
        <v>2024</v>
      </c>
      <c r="K861" t="str">
        <f>TEXT(calls[[#This Row],[Date of Call]],"DDDD")</f>
        <v>Saturday</v>
      </c>
      <c r="L861" t="str" cm="1">
        <f t="array" ref="L861">_xlfn.IFS(calls[[#This Row],[Duration]]&lt;=10,"under 10 mins",calls[[#This Row],[Duration]]&lt;=30,"10 to 30mins",calls[[#This Row],[Duration]]&lt;=60,"60 to 30mins",calls[[#This Row],[Duration]]&lt;=120,"1 to 2hrs",TRUE,"More than 2 hrs")</f>
        <v>60 to 30mins</v>
      </c>
      <c r="M861">
        <f>ROUND(calls[[#This Row],[Satisfaction Rating]],0)</f>
        <v>4</v>
      </c>
      <c r="N861">
        <f>COUNTIF(calls[Customer ID], calls[[#This Row],[Customer ID]])</f>
        <v>70</v>
      </c>
      <c r="O861">
        <f>SUMIF(calls[Customer ID], calls[[#This Row],[Customer ID]], calls[Purchase Amount])</f>
        <v>6819</v>
      </c>
      <c r="P861">
        <f>calls[[#This Row],[call count]]/calls[[#This Row],[Purchase Amount]]</f>
        <v>2.2580645161290325</v>
      </c>
      <c r="Q861">
        <f>COUNTIF(calls[Customer ID],calls[[#This Row],[Customer ID]])</f>
        <v>70</v>
      </c>
      <c r="R861">
        <f>calls[[#This Row],[call count]]/calls[[#This Row],[Purchase Amount]]</f>
        <v>2.2580645161290325</v>
      </c>
    </row>
    <row r="862" spans="1:18" x14ac:dyDescent="0.4">
      <c r="A862" t="s">
        <v>892</v>
      </c>
      <c r="B862" t="s">
        <v>84</v>
      </c>
      <c r="C862">
        <v>54</v>
      </c>
      <c r="D862" s="4" t="s">
        <v>23</v>
      </c>
      <c r="E862" s="5">
        <v>45221</v>
      </c>
      <c r="F862">
        <v>120</v>
      </c>
      <c r="G862">
        <f>AVERAGEIF(calls[Representative], calls[[#This Row],[Representative]], calls[Satisfaction Rating])</f>
        <v>3.8973118279569863</v>
      </c>
      <c r="H862" t="str">
        <f>IF(AVERAGEIF(calls[Representative],calls[[#This Row],[Representative]],calls[Satisfaction Rating])&lt;3.5,"Needs Training","OK")</f>
        <v>OK</v>
      </c>
      <c r="I862">
        <v>4.7</v>
      </c>
      <c r="J862">
        <f>IF(MONTH(calls[[#This Row],[Date of Call]])&lt;=6, YEAR(calls[[#This Row],[Date of Call]]), YEAR(calls[[#This Row],[Date of Call]])+1)</f>
        <v>2024</v>
      </c>
      <c r="K862" t="str">
        <f>TEXT(calls[[#This Row],[Date of Call]],"DDDD")</f>
        <v>Sunday</v>
      </c>
      <c r="L862" t="str" cm="1">
        <f t="array" ref="L862">_xlfn.IFS(calls[[#This Row],[Duration]]&lt;=10,"under 10 mins",calls[[#This Row],[Duration]]&lt;=30,"10 to 30mins",calls[[#This Row],[Duration]]&lt;=60,"60 to 30mins",calls[[#This Row],[Duration]]&lt;=120,"1 to 2hrs",TRUE,"More than 2 hrs")</f>
        <v>60 to 30mins</v>
      </c>
      <c r="M862">
        <f>ROUND(calls[[#This Row],[Satisfaction Rating]],0)</f>
        <v>5</v>
      </c>
      <c r="N862">
        <f>COUNTIF(calls[Customer ID], calls[[#This Row],[Customer ID]])</f>
        <v>59</v>
      </c>
      <c r="O862">
        <f>SUMIF(calls[Customer ID], calls[[#This Row],[Customer ID]], calls[Purchase Amount])</f>
        <v>5009</v>
      </c>
      <c r="P862">
        <f>calls[[#This Row],[call count]]/calls[[#This Row],[Purchase Amount]]</f>
        <v>0.49166666666666664</v>
      </c>
      <c r="Q862">
        <f>COUNTIF(calls[Customer ID],calls[[#This Row],[Customer ID]])</f>
        <v>59</v>
      </c>
      <c r="R862">
        <f>calls[[#This Row],[call count]]/calls[[#This Row],[Purchase Amount]]</f>
        <v>0.49166666666666664</v>
      </c>
    </row>
    <row r="863" spans="1:18" x14ac:dyDescent="0.4">
      <c r="A863" t="s">
        <v>893</v>
      </c>
      <c r="B863" t="s">
        <v>6</v>
      </c>
      <c r="C863">
        <v>81</v>
      </c>
      <c r="D863" s="4" t="s">
        <v>9</v>
      </c>
      <c r="E863" s="5">
        <v>45221</v>
      </c>
      <c r="F863">
        <v>117</v>
      </c>
      <c r="G863">
        <f>AVERAGEIF(calls[Representative], calls[[#This Row],[Representative]], calls[Satisfaction Rating])</f>
        <v>3.8706422018348627</v>
      </c>
      <c r="H863" t="str">
        <f>IF(AVERAGEIF(calls[Representative],calls[[#This Row],[Representative]],calls[Satisfaction Rating])&lt;3.5,"Needs Training","OK")</f>
        <v>OK</v>
      </c>
      <c r="I863">
        <v>3.6</v>
      </c>
      <c r="J863">
        <f>IF(MONTH(calls[[#This Row],[Date of Call]])&lt;=6, YEAR(calls[[#This Row],[Date of Call]]), YEAR(calls[[#This Row],[Date of Call]])+1)</f>
        <v>2024</v>
      </c>
      <c r="K863" t="str">
        <f>TEXT(calls[[#This Row],[Date of Call]],"DDDD")</f>
        <v>Sunday</v>
      </c>
      <c r="L863" t="str" cm="1">
        <f t="array" ref="L863">_xlfn.IFS(calls[[#This Row],[Duration]]&lt;=10,"under 10 mins",calls[[#This Row],[Duration]]&lt;=30,"10 to 30mins",calls[[#This Row],[Duration]]&lt;=60,"60 to 30mins",calls[[#This Row],[Duration]]&lt;=120,"1 to 2hrs",TRUE,"More than 2 hrs")</f>
        <v>1 to 2hrs</v>
      </c>
      <c r="M863">
        <f>ROUND(calls[[#This Row],[Satisfaction Rating]],0)</f>
        <v>4</v>
      </c>
      <c r="N863">
        <f>COUNTIF(calls[Customer ID], calls[[#This Row],[Customer ID]])</f>
        <v>82</v>
      </c>
      <c r="O863">
        <f>SUMIF(calls[Customer ID], calls[[#This Row],[Customer ID]], calls[Purchase Amount])</f>
        <v>7689</v>
      </c>
      <c r="P863">
        <f>calls[[#This Row],[call count]]/calls[[#This Row],[Purchase Amount]]</f>
        <v>0.70085470085470081</v>
      </c>
      <c r="Q863">
        <f>COUNTIF(calls[Customer ID],calls[[#This Row],[Customer ID]])</f>
        <v>82</v>
      </c>
      <c r="R863">
        <f>calls[[#This Row],[call count]]/calls[[#This Row],[Purchase Amount]]</f>
        <v>0.70085470085470081</v>
      </c>
    </row>
    <row r="864" spans="1:18" x14ac:dyDescent="0.4">
      <c r="A864" t="s">
        <v>894</v>
      </c>
      <c r="B864" t="s">
        <v>84</v>
      </c>
      <c r="C864">
        <v>76</v>
      </c>
      <c r="D864" s="4" t="s">
        <v>27</v>
      </c>
      <c r="E864" s="5">
        <v>45221</v>
      </c>
      <c r="F864">
        <v>80</v>
      </c>
      <c r="G864">
        <f>AVERAGEIF(calls[Representative], calls[[#This Row],[Representative]], calls[Satisfaction Rating])</f>
        <v>3.8589371980676304</v>
      </c>
      <c r="H864" t="str">
        <f>IF(AVERAGEIF(calls[Representative],calls[[#This Row],[Representative]],calls[Satisfaction Rating])&lt;3.5,"Needs Training","OK")</f>
        <v>OK</v>
      </c>
      <c r="I864">
        <v>4.5</v>
      </c>
      <c r="J864">
        <f>IF(MONTH(calls[[#This Row],[Date of Call]])&lt;=6, YEAR(calls[[#This Row],[Date of Call]]), YEAR(calls[[#This Row],[Date of Call]])+1)</f>
        <v>2024</v>
      </c>
      <c r="K864" t="str">
        <f>TEXT(calls[[#This Row],[Date of Call]],"DDDD")</f>
        <v>Sunday</v>
      </c>
      <c r="L864" t="str" cm="1">
        <f t="array" ref="L864">_xlfn.IFS(calls[[#This Row],[Duration]]&lt;=10,"under 10 mins",calls[[#This Row],[Duration]]&lt;=30,"10 to 30mins",calls[[#This Row],[Duration]]&lt;=60,"60 to 30mins",calls[[#This Row],[Duration]]&lt;=120,"1 to 2hrs",TRUE,"More than 2 hrs")</f>
        <v>1 to 2hrs</v>
      </c>
      <c r="M864">
        <f>ROUND(calls[[#This Row],[Satisfaction Rating]],0)</f>
        <v>5</v>
      </c>
      <c r="N864">
        <f>COUNTIF(calls[Customer ID], calls[[#This Row],[Customer ID]])</f>
        <v>59</v>
      </c>
      <c r="O864">
        <f>SUMIF(calls[Customer ID], calls[[#This Row],[Customer ID]], calls[Purchase Amount])</f>
        <v>5009</v>
      </c>
      <c r="P864">
        <f>calls[[#This Row],[call count]]/calls[[#This Row],[Purchase Amount]]</f>
        <v>0.73750000000000004</v>
      </c>
      <c r="Q864">
        <f>COUNTIF(calls[Customer ID],calls[[#This Row],[Customer ID]])</f>
        <v>59</v>
      </c>
      <c r="R864">
        <f>calls[[#This Row],[call count]]/calls[[#This Row],[Purchase Amount]]</f>
        <v>0.73750000000000004</v>
      </c>
    </row>
    <row r="865" spans="1:18" x14ac:dyDescent="0.4">
      <c r="A865" t="s">
        <v>895</v>
      </c>
      <c r="B865" t="s">
        <v>84</v>
      </c>
      <c r="C865">
        <v>37</v>
      </c>
      <c r="D865" s="4" t="s">
        <v>2</v>
      </c>
      <c r="E865" s="5">
        <v>45222</v>
      </c>
      <c r="F865">
        <v>117</v>
      </c>
      <c r="G865">
        <f>AVERAGEIF(calls[Representative], calls[[#This Row],[Representative]], calls[Satisfaction Rating])</f>
        <v>3.8824999999999998</v>
      </c>
      <c r="H865" t="str">
        <f>IF(AVERAGEIF(calls[Representative],calls[[#This Row],[Representative]],calls[Satisfaction Rating])&lt;3.5,"Needs Training","OK")</f>
        <v>OK</v>
      </c>
      <c r="I865">
        <v>4</v>
      </c>
      <c r="J865">
        <f>IF(MONTH(calls[[#This Row],[Date of Call]])&lt;=6, YEAR(calls[[#This Row],[Date of Call]]), YEAR(calls[[#This Row],[Date of Call]])+1)</f>
        <v>2024</v>
      </c>
      <c r="K865" t="str">
        <f>TEXT(calls[[#This Row],[Date of Call]],"DDDD")</f>
        <v>Monday</v>
      </c>
      <c r="L865" t="str" cm="1">
        <f t="array" ref="L865">_xlfn.IFS(calls[[#This Row],[Duration]]&lt;=10,"under 10 mins",calls[[#This Row],[Duration]]&lt;=30,"10 to 30mins",calls[[#This Row],[Duration]]&lt;=60,"60 to 30mins",calls[[#This Row],[Duration]]&lt;=120,"1 to 2hrs",TRUE,"More than 2 hrs")</f>
        <v>60 to 30mins</v>
      </c>
      <c r="M865">
        <f>ROUND(calls[[#This Row],[Satisfaction Rating]],0)</f>
        <v>4</v>
      </c>
      <c r="N865">
        <f>COUNTIF(calls[Customer ID], calls[[#This Row],[Customer ID]])</f>
        <v>59</v>
      </c>
      <c r="O865">
        <f>SUMIF(calls[Customer ID], calls[[#This Row],[Customer ID]], calls[Purchase Amount])</f>
        <v>5009</v>
      </c>
      <c r="P865">
        <f>calls[[#This Row],[call count]]/calls[[#This Row],[Purchase Amount]]</f>
        <v>0.50427350427350426</v>
      </c>
      <c r="Q865">
        <f>COUNTIF(calls[Customer ID],calls[[#This Row],[Customer ID]])</f>
        <v>59</v>
      </c>
      <c r="R865">
        <f>calls[[#This Row],[call count]]/calls[[#This Row],[Purchase Amount]]</f>
        <v>0.50427350427350426</v>
      </c>
    </row>
    <row r="866" spans="1:18" x14ac:dyDescent="0.4">
      <c r="A866" t="s">
        <v>896</v>
      </c>
      <c r="B866" t="s">
        <v>32</v>
      </c>
      <c r="C866">
        <v>96</v>
      </c>
      <c r="D866" s="4" t="s">
        <v>23</v>
      </c>
      <c r="E866" s="5">
        <v>45222</v>
      </c>
      <c r="F866">
        <v>60</v>
      </c>
      <c r="G866">
        <f>AVERAGEIF(calls[Representative], calls[[#This Row],[Representative]], calls[Satisfaction Rating])</f>
        <v>3.8973118279569863</v>
      </c>
      <c r="H866" t="str">
        <f>IF(AVERAGEIF(calls[Representative],calls[[#This Row],[Representative]],calls[Satisfaction Rating])&lt;3.5,"Needs Training","OK")</f>
        <v>OK</v>
      </c>
      <c r="I866">
        <v>4.5</v>
      </c>
      <c r="J866">
        <f>IF(MONTH(calls[[#This Row],[Date of Call]])&lt;=6, YEAR(calls[[#This Row],[Date of Call]]), YEAR(calls[[#This Row],[Date of Call]])+1)</f>
        <v>2024</v>
      </c>
      <c r="K866" t="str">
        <f>TEXT(calls[[#This Row],[Date of Call]],"DDDD")</f>
        <v>Monday</v>
      </c>
      <c r="L866" t="str" cm="1">
        <f t="array" ref="L866">_xlfn.IFS(calls[[#This Row],[Duration]]&lt;=10,"under 10 mins",calls[[#This Row],[Duration]]&lt;=30,"10 to 30mins",calls[[#This Row],[Duration]]&lt;=60,"60 to 30mins",calls[[#This Row],[Duration]]&lt;=120,"1 to 2hrs",TRUE,"More than 2 hrs")</f>
        <v>1 to 2hrs</v>
      </c>
      <c r="M866">
        <f>ROUND(calls[[#This Row],[Satisfaction Rating]],0)</f>
        <v>5</v>
      </c>
      <c r="N866">
        <f>COUNTIF(calls[Customer ID], calls[[#This Row],[Customer ID]])</f>
        <v>63</v>
      </c>
      <c r="O866">
        <f>SUMIF(calls[Customer ID], calls[[#This Row],[Customer ID]], calls[Purchase Amount])</f>
        <v>5634</v>
      </c>
      <c r="P866">
        <f>calls[[#This Row],[call count]]/calls[[#This Row],[Purchase Amount]]</f>
        <v>1.05</v>
      </c>
      <c r="Q866">
        <f>COUNTIF(calls[Customer ID],calls[[#This Row],[Customer ID]])</f>
        <v>63</v>
      </c>
      <c r="R866">
        <f>calls[[#This Row],[call count]]/calls[[#This Row],[Purchase Amount]]</f>
        <v>1.05</v>
      </c>
    </row>
    <row r="867" spans="1:18" x14ac:dyDescent="0.4">
      <c r="A867" t="s">
        <v>897</v>
      </c>
      <c r="B867" t="s">
        <v>13</v>
      </c>
      <c r="C867">
        <v>19</v>
      </c>
      <c r="D867" s="4" t="s">
        <v>27</v>
      </c>
      <c r="E867" s="5">
        <v>45223</v>
      </c>
      <c r="F867">
        <v>58</v>
      </c>
      <c r="G867">
        <f>AVERAGEIF(calls[Representative], calls[[#This Row],[Representative]], calls[Satisfaction Rating])</f>
        <v>3.8589371980676304</v>
      </c>
      <c r="H867" t="str">
        <f>IF(AVERAGEIF(calls[Representative],calls[[#This Row],[Representative]],calls[Satisfaction Rating])&lt;3.5,"Needs Training","OK")</f>
        <v>OK</v>
      </c>
      <c r="I867">
        <v>3.9</v>
      </c>
      <c r="J867">
        <f>IF(MONTH(calls[[#This Row],[Date of Call]])&lt;=6, YEAR(calls[[#This Row],[Date of Call]]), YEAR(calls[[#This Row],[Date of Call]])+1)</f>
        <v>2024</v>
      </c>
      <c r="K867" t="str">
        <f>TEXT(calls[[#This Row],[Date of Call]],"DDDD")</f>
        <v>Tuesday</v>
      </c>
      <c r="L867" t="str" cm="1">
        <f t="array" ref="L867">_xlfn.IFS(calls[[#This Row],[Duration]]&lt;=10,"under 10 mins",calls[[#This Row],[Duration]]&lt;=30,"10 to 30mins",calls[[#This Row],[Duration]]&lt;=60,"60 to 30mins",calls[[#This Row],[Duration]]&lt;=120,"1 to 2hrs",TRUE,"More than 2 hrs")</f>
        <v>10 to 30mins</v>
      </c>
      <c r="M867">
        <f>ROUND(calls[[#This Row],[Satisfaction Rating]],0)</f>
        <v>4</v>
      </c>
      <c r="N867">
        <f>COUNTIF(calls[Customer ID], calls[[#This Row],[Customer ID]])</f>
        <v>74</v>
      </c>
      <c r="O867">
        <f>SUMIF(calls[Customer ID], calls[[#This Row],[Customer ID]], calls[Purchase Amount])</f>
        <v>6749</v>
      </c>
      <c r="P867">
        <f>calls[[#This Row],[call count]]/calls[[#This Row],[Purchase Amount]]</f>
        <v>1.2758620689655173</v>
      </c>
      <c r="Q867">
        <f>COUNTIF(calls[Customer ID],calls[[#This Row],[Customer ID]])</f>
        <v>74</v>
      </c>
      <c r="R867">
        <f>calls[[#This Row],[call count]]/calls[[#This Row],[Purchase Amount]]</f>
        <v>1.2758620689655173</v>
      </c>
    </row>
    <row r="868" spans="1:18" x14ac:dyDescent="0.4">
      <c r="A868" t="s">
        <v>898</v>
      </c>
      <c r="B868" t="s">
        <v>54</v>
      </c>
      <c r="C868">
        <v>72</v>
      </c>
      <c r="D868" s="4" t="s">
        <v>2</v>
      </c>
      <c r="E868" s="5">
        <v>45223</v>
      </c>
      <c r="F868">
        <v>41</v>
      </c>
      <c r="G868">
        <f>AVERAGEIF(calls[Representative], calls[[#This Row],[Representative]], calls[Satisfaction Rating])</f>
        <v>3.8824999999999998</v>
      </c>
      <c r="H868" t="str">
        <f>IF(AVERAGEIF(calls[Representative],calls[[#This Row],[Representative]],calls[Satisfaction Rating])&lt;3.5,"Needs Training","OK")</f>
        <v>OK</v>
      </c>
      <c r="I868">
        <v>4.3</v>
      </c>
      <c r="J868">
        <f>IF(MONTH(calls[[#This Row],[Date of Call]])&lt;=6, YEAR(calls[[#This Row],[Date of Call]]), YEAR(calls[[#This Row],[Date of Call]])+1)</f>
        <v>2024</v>
      </c>
      <c r="K868" t="str">
        <f>TEXT(calls[[#This Row],[Date of Call]],"DDDD")</f>
        <v>Tuesday</v>
      </c>
      <c r="L868" t="str" cm="1">
        <f t="array" ref="L868">_xlfn.IFS(calls[[#This Row],[Duration]]&lt;=10,"under 10 mins",calls[[#This Row],[Duration]]&lt;=30,"10 to 30mins",calls[[#This Row],[Duration]]&lt;=60,"60 to 30mins",calls[[#This Row],[Duration]]&lt;=120,"1 to 2hrs",TRUE,"More than 2 hrs")</f>
        <v>1 to 2hrs</v>
      </c>
      <c r="M868">
        <f>ROUND(calls[[#This Row],[Satisfaction Rating]],0)</f>
        <v>4</v>
      </c>
      <c r="N868">
        <f>COUNTIF(calls[Customer ID], calls[[#This Row],[Customer ID]])</f>
        <v>70</v>
      </c>
      <c r="O868">
        <f>SUMIF(calls[Customer ID], calls[[#This Row],[Customer ID]], calls[Purchase Amount])</f>
        <v>6819</v>
      </c>
      <c r="P868">
        <f>calls[[#This Row],[call count]]/calls[[#This Row],[Purchase Amount]]</f>
        <v>1.7073170731707317</v>
      </c>
      <c r="Q868">
        <f>COUNTIF(calls[Customer ID],calls[[#This Row],[Customer ID]])</f>
        <v>70</v>
      </c>
      <c r="R868">
        <f>calls[[#This Row],[call count]]/calls[[#This Row],[Purchase Amount]]</f>
        <v>1.7073170731707317</v>
      </c>
    </row>
    <row r="869" spans="1:18" x14ac:dyDescent="0.4">
      <c r="A869" t="s">
        <v>899</v>
      </c>
      <c r="B869" t="s">
        <v>11</v>
      </c>
      <c r="C869">
        <v>73</v>
      </c>
      <c r="D869" s="4" t="s">
        <v>9</v>
      </c>
      <c r="E869" s="5">
        <v>45223</v>
      </c>
      <c r="F869">
        <v>180</v>
      </c>
      <c r="G869">
        <f>AVERAGEIF(calls[Representative], calls[[#This Row],[Representative]], calls[Satisfaction Rating])</f>
        <v>3.8706422018348627</v>
      </c>
      <c r="H869" t="str">
        <f>IF(AVERAGEIF(calls[Representative],calls[[#This Row],[Representative]],calls[Satisfaction Rating])&lt;3.5,"Needs Training","OK")</f>
        <v>OK</v>
      </c>
      <c r="I869">
        <v>3.6</v>
      </c>
      <c r="J869">
        <f>IF(MONTH(calls[[#This Row],[Date of Call]])&lt;=6, YEAR(calls[[#This Row],[Date of Call]]), YEAR(calls[[#This Row],[Date of Call]])+1)</f>
        <v>2024</v>
      </c>
      <c r="K869" t="str">
        <f>TEXT(calls[[#This Row],[Date of Call]],"DDDD")</f>
        <v>Tuesday</v>
      </c>
      <c r="L869" t="str" cm="1">
        <f t="array" ref="L869">_xlfn.IFS(calls[[#This Row],[Duration]]&lt;=10,"under 10 mins",calls[[#This Row],[Duration]]&lt;=30,"10 to 30mins",calls[[#This Row],[Duration]]&lt;=60,"60 to 30mins",calls[[#This Row],[Duration]]&lt;=120,"1 to 2hrs",TRUE,"More than 2 hrs")</f>
        <v>1 to 2hrs</v>
      </c>
      <c r="M869">
        <f>ROUND(calls[[#This Row],[Satisfaction Rating]],0)</f>
        <v>4</v>
      </c>
      <c r="N869">
        <f>COUNTIF(calls[Customer ID], calls[[#This Row],[Customer ID]])</f>
        <v>60</v>
      </c>
      <c r="O869">
        <f>SUMIF(calls[Customer ID], calls[[#This Row],[Customer ID]], calls[Purchase Amount])</f>
        <v>5404</v>
      </c>
      <c r="P869">
        <f>calls[[#This Row],[call count]]/calls[[#This Row],[Purchase Amount]]</f>
        <v>0.33333333333333331</v>
      </c>
      <c r="Q869">
        <f>COUNTIF(calls[Customer ID],calls[[#This Row],[Customer ID]])</f>
        <v>60</v>
      </c>
      <c r="R869">
        <f>calls[[#This Row],[call count]]/calls[[#This Row],[Purchase Amount]]</f>
        <v>0.33333333333333331</v>
      </c>
    </row>
    <row r="870" spans="1:18" x14ac:dyDescent="0.4">
      <c r="A870" t="s">
        <v>900</v>
      </c>
      <c r="B870" t="s">
        <v>64</v>
      </c>
      <c r="C870">
        <v>87</v>
      </c>
      <c r="D870" s="4" t="s">
        <v>9</v>
      </c>
      <c r="E870" s="5">
        <v>45223</v>
      </c>
      <c r="F870">
        <v>42</v>
      </c>
      <c r="G870">
        <f>AVERAGEIF(calls[Representative], calls[[#This Row],[Representative]], calls[Satisfaction Rating])</f>
        <v>3.8706422018348627</v>
      </c>
      <c r="H870" t="str">
        <f>IF(AVERAGEIF(calls[Representative],calls[[#This Row],[Representative]],calls[Satisfaction Rating])&lt;3.5,"Needs Training","OK")</f>
        <v>OK</v>
      </c>
      <c r="I870">
        <v>3.6</v>
      </c>
      <c r="J870">
        <f>IF(MONTH(calls[[#This Row],[Date of Call]])&lt;=6, YEAR(calls[[#This Row],[Date of Call]]), YEAR(calls[[#This Row],[Date of Call]])+1)</f>
        <v>2024</v>
      </c>
      <c r="K870" t="str">
        <f>TEXT(calls[[#This Row],[Date of Call]],"DDDD")</f>
        <v>Tuesday</v>
      </c>
      <c r="L870" t="str" cm="1">
        <f t="array" ref="L870">_xlfn.IFS(calls[[#This Row],[Duration]]&lt;=10,"under 10 mins",calls[[#This Row],[Duration]]&lt;=30,"10 to 30mins",calls[[#This Row],[Duration]]&lt;=60,"60 to 30mins",calls[[#This Row],[Duration]]&lt;=120,"1 to 2hrs",TRUE,"More than 2 hrs")</f>
        <v>1 to 2hrs</v>
      </c>
      <c r="M870">
        <f>ROUND(calls[[#This Row],[Satisfaction Rating]],0)</f>
        <v>4</v>
      </c>
      <c r="N870">
        <f>COUNTIF(calls[Customer ID], calls[[#This Row],[Customer ID]])</f>
        <v>65</v>
      </c>
      <c r="O870">
        <f>SUMIF(calls[Customer ID], calls[[#This Row],[Customer ID]], calls[Purchase Amount])</f>
        <v>6785</v>
      </c>
      <c r="P870">
        <f>calls[[#This Row],[call count]]/calls[[#This Row],[Purchase Amount]]</f>
        <v>1.5476190476190477</v>
      </c>
      <c r="Q870">
        <f>COUNTIF(calls[Customer ID],calls[[#This Row],[Customer ID]])</f>
        <v>65</v>
      </c>
      <c r="R870">
        <f>calls[[#This Row],[call count]]/calls[[#This Row],[Purchase Amount]]</f>
        <v>1.5476190476190477</v>
      </c>
    </row>
    <row r="871" spans="1:18" x14ac:dyDescent="0.4">
      <c r="A871" t="s">
        <v>901</v>
      </c>
      <c r="B871" t="s">
        <v>64</v>
      </c>
      <c r="C871">
        <v>68</v>
      </c>
      <c r="D871" s="4" t="s">
        <v>9</v>
      </c>
      <c r="E871" s="5">
        <v>45224</v>
      </c>
      <c r="F871">
        <v>24</v>
      </c>
      <c r="G871">
        <f>AVERAGEIF(calls[Representative], calls[[#This Row],[Representative]], calls[Satisfaction Rating])</f>
        <v>3.8706422018348627</v>
      </c>
      <c r="H871" t="str">
        <f>IF(AVERAGEIF(calls[Representative],calls[[#This Row],[Representative]],calls[Satisfaction Rating])&lt;3.5,"Needs Training","OK")</f>
        <v>OK</v>
      </c>
      <c r="I871">
        <v>4</v>
      </c>
      <c r="J871">
        <f>IF(MONTH(calls[[#This Row],[Date of Call]])&lt;=6, YEAR(calls[[#This Row],[Date of Call]]), YEAR(calls[[#This Row],[Date of Call]])+1)</f>
        <v>2024</v>
      </c>
      <c r="K871" t="str">
        <f>TEXT(calls[[#This Row],[Date of Call]],"DDDD")</f>
        <v>Wednesday</v>
      </c>
      <c r="L871" t="str" cm="1">
        <f t="array" ref="L871">_xlfn.IFS(calls[[#This Row],[Duration]]&lt;=10,"under 10 mins",calls[[#This Row],[Duration]]&lt;=30,"10 to 30mins",calls[[#This Row],[Duration]]&lt;=60,"60 to 30mins",calls[[#This Row],[Duration]]&lt;=120,"1 to 2hrs",TRUE,"More than 2 hrs")</f>
        <v>1 to 2hrs</v>
      </c>
      <c r="M871">
        <f>ROUND(calls[[#This Row],[Satisfaction Rating]],0)</f>
        <v>4</v>
      </c>
      <c r="N871">
        <f>COUNTIF(calls[Customer ID], calls[[#This Row],[Customer ID]])</f>
        <v>65</v>
      </c>
      <c r="O871">
        <f>SUMIF(calls[Customer ID], calls[[#This Row],[Customer ID]], calls[Purchase Amount])</f>
        <v>6785</v>
      </c>
      <c r="P871">
        <f>calls[[#This Row],[call count]]/calls[[#This Row],[Purchase Amount]]</f>
        <v>2.7083333333333335</v>
      </c>
      <c r="Q871">
        <f>COUNTIF(calls[Customer ID],calls[[#This Row],[Customer ID]])</f>
        <v>65</v>
      </c>
      <c r="R871">
        <f>calls[[#This Row],[call count]]/calls[[#This Row],[Purchase Amount]]</f>
        <v>2.7083333333333335</v>
      </c>
    </row>
    <row r="872" spans="1:18" x14ac:dyDescent="0.4">
      <c r="A872" t="s">
        <v>902</v>
      </c>
      <c r="B872" t="s">
        <v>54</v>
      </c>
      <c r="C872">
        <v>101</v>
      </c>
      <c r="D872" s="4" t="s">
        <v>9</v>
      </c>
      <c r="E872" s="5">
        <v>45224</v>
      </c>
      <c r="F872">
        <v>125</v>
      </c>
      <c r="G872">
        <f>AVERAGEIF(calls[Representative], calls[[#This Row],[Representative]], calls[Satisfaction Rating])</f>
        <v>3.8706422018348627</v>
      </c>
      <c r="H872" t="str">
        <f>IF(AVERAGEIF(calls[Representative],calls[[#This Row],[Representative]],calls[Satisfaction Rating])&lt;3.5,"Needs Training","OK")</f>
        <v>OK</v>
      </c>
      <c r="I872">
        <v>4.2</v>
      </c>
      <c r="J872">
        <f>IF(MONTH(calls[[#This Row],[Date of Call]])&lt;=6, YEAR(calls[[#This Row],[Date of Call]]), YEAR(calls[[#This Row],[Date of Call]])+1)</f>
        <v>2024</v>
      </c>
      <c r="K872" t="str">
        <f>TEXT(calls[[#This Row],[Date of Call]],"DDDD")</f>
        <v>Wednesday</v>
      </c>
      <c r="L872" t="str" cm="1">
        <f t="array" ref="L872">_xlfn.IFS(calls[[#This Row],[Duration]]&lt;=10,"under 10 mins",calls[[#This Row],[Duration]]&lt;=30,"10 to 30mins",calls[[#This Row],[Duration]]&lt;=60,"60 to 30mins",calls[[#This Row],[Duration]]&lt;=120,"1 to 2hrs",TRUE,"More than 2 hrs")</f>
        <v>1 to 2hrs</v>
      </c>
      <c r="M872">
        <f>ROUND(calls[[#This Row],[Satisfaction Rating]],0)</f>
        <v>4</v>
      </c>
      <c r="N872">
        <f>COUNTIF(calls[Customer ID], calls[[#This Row],[Customer ID]])</f>
        <v>70</v>
      </c>
      <c r="O872">
        <f>SUMIF(calls[Customer ID], calls[[#This Row],[Customer ID]], calls[Purchase Amount])</f>
        <v>6819</v>
      </c>
      <c r="P872">
        <f>calls[[#This Row],[call count]]/calls[[#This Row],[Purchase Amount]]</f>
        <v>0.56000000000000005</v>
      </c>
      <c r="Q872">
        <f>COUNTIF(calls[Customer ID],calls[[#This Row],[Customer ID]])</f>
        <v>70</v>
      </c>
      <c r="R872">
        <f>calls[[#This Row],[call count]]/calls[[#This Row],[Purchase Amount]]</f>
        <v>0.56000000000000005</v>
      </c>
    </row>
    <row r="873" spans="1:18" x14ac:dyDescent="0.4">
      <c r="A873" t="s">
        <v>903</v>
      </c>
      <c r="B873" t="s">
        <v>54</v>
      </c>
      <c r="C873">
        <v>107</v>
      </c>
      <c r="D873" s="4" t="s">
        <v>2</v>
      </c>
      <c r="E873" s="5">
        <v>45225</v>
      </c>
      <c r="F873">
        <v>78</v>
      </c>
      <c r="G873">
        <f>AVERAGEIF(calls[Representative], calls[[#This Row],[Representative]], calls[Satisfaction Rating])</f>
        <v>3.8824999999999998</v>
      </c>
      <c r="H873" t="str">
        <f>IF(AVERAGEIF(calls[Representative],calls[[#This Row],[Representative]],calls[Satisfaction Rating])&lt;3.5,"Needs Training","OK")</f>
        <v>OK</v>
      </c>
      <c r="I873">
        <v>4.3</v>
      </c>
      <c r="J873">
        <f>IF(MONTH(calls[[#This Row],[Date of Call]])&lt;=6, YEAR(calls[[#This Row],[Date of Call]]), YEAR(calls[[#This Row],[Date of Call]])+1)</f>
        <v>2024</v>
      </c>
      <c r="K873" t="str">
        <f>TEXT(calls[[#This Row],[Date of Call]],"DDDD")</f>
        <v>Thursday</v>
      </c>
      <c r="L873" t="str" cm="1">
        <f t="array" ref="L873">_xlfn.IFS(calls[[#This Row],[Duration]]&lt;=10,"under 10 mins",calls[[#This Row],[Duration]]&lt;=30,"10 to 30mins",calls[[#This Row],[Duration]]&lt;=60,"60 to 30mins",calls[[#This Row],[Duration]]&lt;=120,"1 to 2hrs",TRUE,"More than 2 hrs")</f>
        <v>1 to 2hrs</v>
      </c>
      <c r="M873">
        <f>ROUND(calls[[#This Row],[Satisfaction Rating]],0)</f>
        <v>4</v>
      </c>
      <c r="N873">
        <f>COUNTIF(calls[Customer ID], calls[[#This Row],[Customer ID]])</f>
        <v>70</v>
      </c>
      <c r="O873">
        <f>SUMIF(calls[Customer ID], calls[[#This Row],[Customer ID]], calls[Purchase Amount])</f>
        <v>6819</v>
      </c>
      <c r="P873">
        <f>calls[[#This Row],[call count]]/calls[[#This Row],[Purchase Amount]]</f>
        <v>0.89743589743589747</v>
      </c>
      <c r="Q873">
        <f>COUNTIF(calls[Customer ID],calls[[#This Row],[Customer ID]])</f>
        <v>70</v>
      </c>
      <c r="R873">
        <f>calls[[#This Row],[call count]]/calls[[#This Row],[Purchase Amount]]</f>
        <v>0.89743589743589747</v>
      </c>
    </row>
    <row r="874" spans="1:18" x14ac:dyDescent="0.4">
      <c r="A874" t="s">
        <v>904</v>
      </c>
      <c r="B874" t="s">
        <v>40</v>
      </c>
      <c r="C874">
        <v>109</v>
      </c>
      <c r="D874" s="4" t="s">
        <v>14</v>
      </c>
      <c r="E874" s="5">
        <v>45225</v>
      </c>
      <c r="F874">
        <v>180</v>
      </c>
      <c r="G874">
        <f>AVERAGEIF(calls[Representative], calls[[#This Row],[Representative]], calls[Satisfaction Rating])</f>
        <v>3.9227513227513247</v>
      </c>
      <c r="H874" t="str">
        <f>IF(AVERAGEIF(calls[Representative],calls[[#This Row],[Representative]],calls[Satisfaction Rating])&lt;3.5,"Needs Training","OK")</f>
        <v>OK</v>
      </c>
      <c r="I874">
        <v>3.8</v>
      </c>
      <c r="J874">
        <f>IF(MONTH(calls[[#This Row],[Date of Call]])&lt;=6, YEAR(calls[[#This Row],[Date of Call]]), YEAR(calls[[#This Row],[Date of Call]])+1)</f>
        <v>2024</v>
      </c>
      <c r="K874" t="str">
        <f>TEXT(calls[[#This Row],[Date of Call]],"DDDD")</f>
        <v>Thursday</v>
      </c>
      <c r="L874" t="str" cm="1">
        <f t="array" ref="L874">_xlfn.IFS(calls[[#This Row],[Duration]]&lt;=10,"under 10 mins",calls[[#This Row],[Duration]]&lt;=30,"10 to 30mins",calls[[#This Row],[Duration]]&lt;=60,"60 to 30mins",calls[[#This Row],[Duration]]&lt;=120,"1 to 2hrs",TRUE,"More than 2 hrs")</f>
        <v>1 to 2hrs</v>
      </c>
      <c r="M874">
        <f>ROUND(calls[[#This Row],[Satisfaction Rating]],0)</f>
        <v>4</v>
      </c>
      <c r="N874">
        <f>COUNTIF(calls[Customer ID], calls[[#This Row],[Customer ID]])</f>
        <v>69</v>
      </c>
      <c r="O874">
        <f>SUMIF(calls[Customer ID], calls[[#This Row],[Customer ID]], calls[Purchase Amount])</f>
        <v>6601</v>
      </c>
      <c r="P874">
        <f>calls[[#This Row],[call count]]/calls[[#This Row],[Purchase Amount]]</f>
        <v>0.38333333333333336</v>
      </c>
      <c r="Q874">
        <f>COUNTIF(calls[Customer ID],calls[[#This Row],[Customer ID]])</f>
        <v>69</v>
      </c>
      <c r="R874">
        <f>calls[[#This Row],[call count]]/calls[[#This Row],[Purchase Amount]]</f>
        <v>0.38333333333333336</v>
      </c>
    </row>
    <row r="875" spans="1:18" x14ac:dyDescent="0.4">
      <c r="A875" t="s">
        <v>905</v>
      </c>
      <c r="B875" t="s">
        <v>30</v>
      </c>
      <c r="C875">
        <v>171</v>
      </c>
      <c r="D875" s="4" t="s">
        <v>2</v>
      </c>
      <c r="E875" s="5">
        <v>45225</v>
      </c>
      <c r="F875">
        <v>84</v>
      </c>
      <c r="G875">
        <f>AVERAGEIF(calls[Representative], calls[[#This Row],[Representative]], calls[Satisfaction Rating])</f>
        <v>3.8824999999999998</v>
      </c>
      <c r="H875" t="str">
        <f>IF(AVERAGEIF(calls[Representative],calls[[#This Row],[Representative]],calls[Satisfaction Rating])&lt;3.5,"Needs Training","OK")</f>
        <v>OK</v>
      </c>
      <c r="I875">
        <v>4.4000000000000004</v>
      </c>
      <c r="J875">
        <f>IF(MONTH(calls[[#This Row],[Date of Call]])&lt;=6, YEAR(calls[[#This Row],[Date of Call]]), YEAR(calls[[#This Row],[Date of Call]])+1)</f>
        <v>2024</v>
      </c>
      <c r="K875" t="str">
        <f>TEXT(calls[[#This Row],[Date of Call]],"DDDD")</f>
        <v>Thursday</v>
      </c>
      <c r="L875" t="str" cm="1">
        <f t="array" ref="L875">_xlfn.IFS(calls[[#This Row],[Duration]]&lt;=10,"under 10 mins",calls[[#This Row],[Duration]]&lt;=30,"10 to 30mins",calls[[#This Row],[Duration]]&lt;=60,"60 to 30mins",calls[[#This Row],[Duration]]&lt;=120,"1 to 2hrs",TRUE,"More than 2 hrs")</f>
        <v>More than 2 hrs</v>
      </c>
      <c r="M875">
        <f>ROUND(calls[[#This Row],[Satisfaction Rating]],0)</f>
        <v>4</v>
      </c>
      <c r="N875">
        <f>COUNTIF(calls[Customer ID], calls[[#This Row],[Customer ID]])</f>
        <v>69</v>
      </c>
      <c r="O875">
        <f>SUMIF(calls[Customer ID], calls[[#This Row],[Customer ID]], calls[Purchase Amount])</f>
        <v>7230</v>
      </c>
      <c r="P875">
        <f>calls[[#This Row],[call count]]/calls[[#This Row],[Purchase Amount]]</f>
        <v>0.8214285714285714</v>
      </c>
      <c r="Q875">
        <f>COUNTIF(calls[Customer ID],calls[[#This Row],[Customer ID]])</f>
        <v>69</v>
      </c>
      <c r="R875">
        <f>calls[[#This Row],[call count]]/calls[[#This Row],[Purchase Amount]]</f>
        <v>0.8214285714285714</v>
      </c>
    </row>
    <row r="876" spans="1:18" x14ac:dyDescent="0.4">
      <c r="A876" t="s">
        <v>906</v>
      </c>
      <c r="B876" t="s">
        <v>13</v>
      </c>
      <c r="C876">
        <v>21</v>
      </c>
      <c r="D876" s="4" t="s">
        <v>2</v>
      </c>
      <c r="E876" s="5">
        <v>45225</v>
      </c>
      <c r="F876">
        <v>26</v>
      </c>
      <c r="G876">
        <f>AVERAGEIF(calls[Representative], calls[[#This Row],[Representative]], calls[Satisfaction Rating])</f>
        <v>3.8824999999999998</v>
      </c>
      <c r="H876" t="str">
        <f>IF(AVERAGEIF(calls[Representative],calls[[#This Row],[Representative]],calls[Satisfaction Rating])&lt;3.5,"Needs Training","OK")</f>
        <v>OK</v>
      </c>
      <c r="I876">
        <v>4.7</v>
      </c>
      <c r="J876">
        <f>IF(MONTH(calls[[#This Row],[Date of Call]])&lt;=6, YEAR(calls[[#This Row],[Date of Call]]), YEAR(calls[[#This Row],[Date of Call]])+1)</f>
        <v>2024</v>
      </c>
      <c r="K876" t="str">
        <f>TEXT(calls[[#This Row],[Date of Call]],"DDDD")</f>
        <v>Thursday</v>
      </c>
      <c r="L876" t="str" cm="1">
        <f t="array" ref="L876">_xlfn.IFS(calls[[#This Row],[Duration]]&lt;=10,"under 10 mins",calls[[#This Row],[Duration]]&lt;=30,"10 to 30mins",calls[[#This Row],[Duration]]&lt;=60,"60 to 30mins",calls[[#This Row],[Duration]]&lt;=120,"1 to 2hrs",TRUE,"More than 2 hrs")</f>
        <v>10 to 30mins</v>
      </c>
      <c r="M876">
        <f>ROUND(calls[[#This Row],[Satisfaction Rating]],0)</f>
        <v>5</v>
      </c>
      <c r="N876">
        <f>COUNTIF(calls[Customer ID], calls[[#This Row],[Customer ID]])</f>
        <v>74</v>
      </c>
      <c r="O876">
        <f>SUMIF(calls[Customer ID], calls[[#This Row],[Customer ID]], calls[Purchase Amount])</f>
        <v>6749</v>
      </c>
      <c r="P876">
        <f>calls[[#This Row],[call count]]/calls[[#This Row],[Purchase Amount]]</f>
        <v>2.8461538461538463</v>
      </c>
      <c r="Q876">
        <f>COUNTIF(calls[Customer ID],calls[[#This Row],[Customer ID]])</f>
        <v>74</v>
      </c>
      <c r="R876">
        <f>calls[[#This Row],[call count]]/calls[[#This Row],[Purchase Amount]]</f>
        <v>2.8461538461538463</v>
      </c>
    </row>
    <row r="877" spans="1:18" x14ac:dyDescent="0.4">
      <c r="A877" t="s">
        <v>907</v>
      </c>
      <c r="B877" t="s">
        <v>6</v>
      </c>
      <c r="C877">
        <v>94</v>
      </c>
      <c r="D877" s="4" t="s">
        <v>2</v>
      </c>
      <c r="E877" s="5">
        <v>45226</v>
      </c>
      <c r="F877">
        <v>140</v>
      </c>
      <c r="G877">
        <f>AVERAGEIF(calls[Representative], calls[[#This Row],[Representative]], calls[Satisfaction Rating])</f>
        <v>3.8824999999999998</v>
      </c>
      <c r="H877" t="str">
        <f>IF(AVERAGEIF(calls[Representative],calls[[#This Row],[Representative]],calls[Satisfaction Rating])&lt;3.5,"Needs Training","OK")</f>
        <v>OK</v>
      </c>
      <c r="I877">
        <v>3.6</v>
      </c>
      <c r="J877">
        <f>IF(MONTH(calls[[#This Row],[Date of Call]])&lt;=6, YEAR(calls[[#This Row],[Date of Call]]), YEAR(calls[[#This Row],[Date of Call]])+1)</f>
        <v>2024</v>
      </c>
      <c r="K877" t="str">
        <f>TEXT(calls[[#This Row],[Date of Call]],"DDDD")</f>
        <v>Friday</v>
      </c>
      <c r="L877" t="str" cm="1">
        <f t="array" ref="L877">_xlfn.IFS(calls[[#This Row],[Duration]]&lt;=10,"under 10 mins",calls[[#This Row],[Duration]]&lt;=30,"10 to 30mins",calls[[#This Row],[Duration]]&lt;=60,"60 to 30mins",calls[[#This Row],[Duration]]&lt;=120,"1 to 2hrs",TRUE,"More than 2 hrs")</f>
        <v>1 to 2hrs</v>
      </c>
      <c r="M877">
        <f>ROUND(calls[[#This Row],[Satisfaction Rating]],0)</f>
        <v>4</v>
      </c>
      <c r="N877">
        <f>COUNTIF(calls[Customer ID], calls[[#This Row],[Customer ID]])</f>
        <v>82</v>
      </c>
      <c r="O877">
        <f>SUMIF(calls[Customer ID], calls[[#This Row],[Customer ID]], calls[Purchase Amount])</f>
        <v>7689</v>
      </c>
      <c r="P877">
        <f>calls[[#This Row],[call count]]/calls[[#This Row],[Purchase Amount]]</f>
        <v>0.58571428571428574</v>
      </c>
      <c r="Q877">
        <f>COUNTIF(calls[Customer ID],calls[[#This Row],[Customer ID]])</f>
        <v>82</v>
      </c>
      <c r="R877">
        <f>calls[[#This Row],[call count]]/calls[[#This Row],[Purchase Amount]]</f>
        <v>0.58571428571428574</v>
      </c>
    </row>
    <row r="878" spans="1:18" x14ac:dyDescent="0.4">
      <c r="A878" t="s">
        <v>908</v>
      </c>
      <c r="B878" t="s">
        <v>11</v>
      </c>
      <c r="C878">
        <v>97</v>
      </c>
      <c r="D878" s="4" t="s">
        <v>14</v>
      </c>
      <c r="E878" s="5">
        <v>45226</v>
      </c>
      <c r="F878">
        <v>31</v>
      </c>
      <c r="G878">
        <f>AVERAGEIF(calls[Representative], calls[[#This Row],[Representative]], calls[Satisfaction Rating])</f>
        <v>3.9227513227513247</v>
      </c>
      <c r="H878" t="str">
        <f>IF(AVERAGEIF(calls[Representative],calls[[#This Row],[Representative]],calls[Satisfaction Rating])&lt;3.5,"Needs Training","OK")</f>
        <v>OK</v>
      </c>
      <c r="I878">
        <v>2.2000000000000002</v>
      </c>
      <c r="J878">
        <f>IF(MONTH(calls[[#This Row],[Date of Call]])&lt;=6, YEAR(calls[[#This Row],[Date of Call]]), YEAR(calls[[#This Row],[Date of Call]])+1)</f>
        <v>2024</v>
      </c>
      <c r="K878" t="str">
        <f>TEXT(calls[[#This Row],[Date of Call]],"DDDD")</f>
        <v>Friday</v>
      </c>
      <c r="L878" t="str" cm="1">
        <f t="array" ref="L878">_xlfn.IFS(calls[[#This Row],[Duration]]&lt;=10,"under 10 mins",calls[[#This Row],[Duration]]&lt;=30,"10 to 30mins",calls[[#This Row],[Duration]]&lt;=60,"60 to 30mins",calls[[#This Row],[Duration]]&lt;=120,"1 to 2hrs",TRUE,"More than 2 hrs")</f>
        <v>1 to 2hrs</v>
      </c>
      <c r="M878">
        <f>ROUND(calls[[#This Row],[Satisfaction Rating]],0)</f>
        <v>2</v>
      </c>
      <c r="N878">
        <f>COUNTIF(calls[Customer ID], calls[[#This Row],[Customer ID]])</f>
        <v>60</v>
      </c>
      <c r="O878">
        <f>SUMIF(calls[Customer ID], calls[[#This Row],[Customer ID]], calls[Purchase Amount])</f>
        <v>5404</v>
      </c>
      <c r="P878">
        <f>calls[[#This Row],[call count]]/calls[[#This Row],[Purchase Amount]]</f>
        <v>1.935483870967742</v>
      </c>
      <c r="Q878">
        <f>COUNTIF(calls[Customer ID],calls[[#This Row],[Customer ID]])</f>
        <v>60</v>
      </c>
      <c r="R878">
        <f>calls[[#This Row],[call count]]/calls[[#This Row],[Purchase Amount]]</f>
        <v>1.935483870967742</v>
      </c>
    </row>
    <row r="879" spans="1:18" x14ac:dyDescent="0.4">
      <c r="A879" t="s">
        <v>909</v>
      </c>
      <c r="B879" t="s">
        <v>32</v>
      </c>
      <c r="C879">
        <v>72</v>
      </c>
      <c r="D879" s="4" t="s">
        <v>14</v>
      </c>
      <c r="E879" s="5">
        <v>45226</v>
      </c>
      <c r="F879">
        <v>108</v>
      </c>
      <c r="G879">
        <f>AVERAGEIF(calls[Representative], calls[[#This Row],[Representative]], calls[Satisfaction Rating])</f>
        <v>3.9227513227513247</v>
      </c>
      <c r="H879" t="str">
        <f>IF(AVERAGEIF(calls[Representative],calls[[#This Row],[Representative]],calls[Satisfaction Rating])&lt;3.5,"Needs Training","OK")</f>
        <v>OK</v>
      </c>
      <c r="I879">
        <v>4.8</v>
      </c>
      <c r="J879">
        <f>IF(MONTH(calls[[#This Row],[Date of Call]])&lt;=6, YEAR(calls[[#This Row],[Date of Call]]), YEAR(calls[[#This Row],[Date of Call]])+1)</f>
        <v>2024</v>
      </c>
      <c r="K879" t="str">
        <f>TEXT(calls[[#This Row],[Date of Call]],"DDDD")</f>
        <v>Friday</v>
      </c>
      <c r="L879" t="str" cm="1">
        <f t="array" ref="L879">_xlfn.IFS(calls[[#This Row],[Duration]]&lt;=10,"under 10 mins",calls[[#This Row],[Duration]]&lt;=30,"10 to 30mins",calls[[#This Row],[Duration]]&lt;=60,"60 to 30mins",calls[[#This Row],[Duration]]&lt;=120,"1 to 2hrs",TRUE,"More than 2 hrs")</f>
        <v>1 to 2hrs</v>
      </c>
      <c r="M879">
        <f>ROUND(calls[[#This Row],[Satisfaction Rating]],0)</f>
        <v>5</v>
      </c>
      <c r="N879">
        <f>COUNTIF(calls[Customer ID], calls[[#This Row],[Customer ID]])</f>
        <v>63</v>
      </c>
      <c r="O879">
        <f>SUMIF(calls[Customer ID], calls[[#This Row],[Customer ID]], calls[Purchase Amount])</f>
        <v>5634</v>
      </c>
      <c r="P879">
        <f>calls[[#This Row],[call count]]/calls[[#This Row],[Purchase Amount]]</f>
        <v>0.58333333333333337</v>
      </c>
      <c r="Q879">
        <f>COUNTIF(calls[Customer ID],calls[[#This Row],[Customer ID]])</f>
        <v>63</v>
      </c>
      <c r="R879">
        <f>calls[[#This Row],[call count]]/calls[[#This Row],[Purchase Amount]]</f>
        <v>0.58333333333333337</v>
      </c>
    </row>
    <row r="880" spans="1:18" x14ac:dyDescent="0.4">
      <c r="A880" t="s">
        <v>910</v>
      </c>
      <c r="B880" t="s">
        <v>30</v>
      </c>
      <c r="C880">
        <v>143</v>
      </c>
      <c r="D880" s="4" t="s">
        <v>23</v>
      </c>
      <c r="E880" s="5">
        <v>45227</v>
      </c>
      <c r="F880">
        <v>58</v>
      </c>
      <c r="G880">
        <f>AVERAGEIF(calls[Representative], calls[[#This Row],[Representative]], calls[Satisfaction Rating])</f>
        <v>3.8973118279569863</v>
      </c>
      <c r="H880" t="str">
        <f>IF(AVERAGEIF(calls[Representative],calls[[#This Row],[Representative]],calls[Satisfaction Rating])&lt;3.5,"Needs Training","OK")</f>
        <v>OK</v>
      </c>
      <c r="I880">
        <v>4.3</v>
      </c>
      <c r="J880">
        <f>IF(MONTH(calls[[#This Row],[Date of Call]])&lt;=6, YEAR(calls[[#This Row],[Date of Call]]), YEAR(calls[[#This Row],[Date of Call]])+1)</f>
        <v>2024</v>
      </c>
      <c r="K880" t="str">
        <f>TEXT(calls[[#This Row],[Date of Call]],"DDDD")</f>
        <v>Saturday</v>
      </c>
      <c r="L880" t="str" cm="1">
        <f t="array" ref="L880">_xlfn.IFS(calls[[#This Row],[Duration]]&lt;=10,"under 10 mins",calls[[#This Row],[Duration]]&lt;=30,"10 to 30mins",calls[[#This Row],[Duration]]&lt;=60,"60 to 30mins",calls[[#This Row],[Duration]]&lt;=120,"1 to 2hrs",TRUE,"More than 2 hrs")</f>
        <v>More than 2 hrs</v>
      </c>
      <c r="M880">
        <f>ROUND(calls[[#This Row],[Satisfaction Rating]],0)</f>
        <v>4</v>
      </c>
      <c r="N880">
        <f>COUNTIF(calls[Customer ID], calls[[#This Row],[Customer ID]])</f>
        <v>69</v>
      </c>
      <c r="O880">
        <f>SUMIF(calls[Customer ID], calls[[#This Row],[Customer ID]], calls[Purchase Amount])</f>
        <v>7230</v>
      </c>
      <c r="P880">
        <f>calls[[#This Row],[call count]]/calls[[#This Row],[Purchase Amount]]</f>
        <v>1.1896551724137931</v>
      </c>
      <c r="Q880">
        <f>COUNTIF(calls[Customer ID],calls[[#This Row],[Customer ID]])</f>
        <v>69</v>
      </c>
      <c r="R880">
        <f>calls[[#This Row],[call count]]/calls[[#This Row],[Purchase Amount]]</f>
        <v>1.1896551724137931</v>
      </c>
    </row>
    <row r="881" spans="1:18" x14ac:dyDescent="0.4">
      <c r="A881" t="s">
        <v>911</v>
      </c>
      <c r="B881" t="s">
        <v>30</v>
      </c>
      <c r="C881">
        <v>64</v>
      </c>
      <c r="D881" s="4" t="s">
        <v>14</v>
      </c>
      <c r="E881" s="5">
        <v>45227</v>
      </c>
      <c r="F881">
        <v>185</v>
      </c>
      <c r="G881">
        <f>AVERAGEIF(calls[Representative], calls[[#This Row],[Representative]], calls[Satisfaction Rating])</f>
        <v>3.9227513227513247</v>
      </c>
      <c r="H881" t="str">
        <f>IF(AVERAGEIF(calls[Representative],calls[[#This Row],[Representative]],calls[Satisfaction Rating])&lt;3.5,"Needs Training","OK")</f>
        <v>OK</v>
      </c>
      <c r="I881">
        <v>2.2000000000000002</v>
      </c>
      <c r="J881">
        <f>IF(MONTH(calls[[#This Row],[Date of Call]])&lt;=6, YEAR(calls[[#This Row],[Date of Call]]), YEAR(calls[[#This Row],[Date of Call]])+1)</f>
        <v>2024</v>
      </c>
      <c r="K881" t="str">
        <f>TEXT(calls[[#This Row],[Date of Call]],"DDDD")</f>
        <v>Saturday</v>
      </c>
      <c r="L881" t="str" cm="1">
        <f t="array" ref="L881">_xlfn.IFS(calls[[#This Row],[Duration]]&lt;=10,"under 10 mins",calls[[#This Row],[Duration]]&lt;=30,"10 to 30mins",calls[[#This Row],[Duration]]&lt;=60,"60 to 30mins",calls[[#This Row],[Duration]]&lt;=120,"1 to 2hrs",TRUE,"More than 2 hrs")</f>
        <v>1 to 2hrs</v>
      </c>
      <c r="M881">
        <f>ROUND(calls[[#This Row],[Satisfaction Rating]],0)</f>
        <v>2</v>
      </c>
      <c r="N881">
        <f>COUNTIF(calls[Customer ID], calls[[#This Row],[Customer ID]])</f>
        <v>69</v>
      </c>
      <c r="O881">
        <f>SUMIF(calls[Customer ID], calls[[#This Row],[Customer ID]], calls[Purchase Amount])</f>
        <v>7230</v>
      </c>
      <c r="P881">
        <f>calls[[#This Row],[call count]]/calls[[#This Row],[Purchase Amount]]</f>
        <v>0.37297297297297299</v>
      </c>
      <c r="Q881">
        <f>COUNTIF(calls[Customer ID],calls[[#This Row],[Customer ID]])</f>
        <v>69</v>
      </c>
      <c r="R881">
        <f>calls[[#This Row],[call count]]/calls[[#This Row],[Purchase Amount]]</f>
        <v>0.37297297297297299</v>
      </c>
    </row>
    <row r="882" spans="1:18" x14ac:dyDescent="0.4">
      <c r="A882" t="s">
        <v>912</v>
      </c>
      <c r="B882" t="s">
        <v>30</v>
      </c>
      <c r="C882">
        <v>69</v>
      </c>
      <c r="D882" s="4" t="s">
        <v>14</v>
      </c>
      <c r="E882" s="5">
        <v>45227</v>
      </c>
      <c r="F882">
        <v>40</v>
      </c>
      <c r="G882">
        <f>AVERAGEIF(calls[Representative], calls[[#This Row],[Representative]], calls[Satisfaction Rating])</f>
        <v>3.9227513227513247</v>
      </c>
      <c r="H882" t="str">
        <f>IF(AVERAGEIF(calls[Representative],calls[[#This Row],[Representative]],calls[Satisfaction Rating])&lt;3.5,"Needs Training","OK")</f>
        <v>OK</v>
      </c>
      <c r="I882">
        <v>4.8</v>
      </c>
      <c r="J882">
        <f>IF(MONTH(calls[[#This Row],[Date of Call]])&lt;=6, YEAR(calls[[#This Row],[Date of Call]]), YEAR(calls[[#This Row],[Date of Call]])+1)</f>
        <v>2024</v>
      </c>
      <c r="K882" t="str">
        <f>TEXT(calls[[#This Row],[Date of Call]],"DDDD")</f>
        <v>Saturday</v>
      </c>
      <c r="L882" t="str" cm="1">
        <f t="array" ref="L882">_xlfn.IFS(calls[[#This Row],[Duration]]&lt;=10,"under 10 mins",calls[[#This Row],[Duration]]&lt;=30,"10 to 30mins",calls[[#This Row],[Duration]]&lt;=60,"60 to 30mins",calls[[#This Row],[Duration]]&lt;=120,"1 to 2hrs",TRUE,"More than 2 hrs")</f>
        <v>1 to 2hrs</v>
      </c>
      <c r="M882">
        <f>ROUND(calls[[#This Row],[Satisfaction Rating]],0)</f>
        <v>5</v>
      </c>
      <c r="N882">
        <f>COUNTIF(calls[Customer ID], calls[[#This Row],[Customer ID]])</f>
        <v>69</v>
      </c>
      <c r="O882">
        <f>SUMIF(calls[Customer ID], calls[[#This Row],[Customer ID]], calls[Purchase Amount])</f>
        <v>7230</v>
      </c>
      <c r="P882">
        <f>calls[[#This Row],[call count]]/calls[[#This Row],[Purchase Amount]]</f>
        <v>1.7250000000000001</v>
      </c>
      <c r="Q882">
        <f>COUNTIF(calls[Customer ID],calls[[#This Row],[Customer ID]])</f>
        <v>69</v>
      </c>
      <c r="R882">
        <f>calls[[#This Row],[call count]]/calls[[#This Row],[Purchase Amount]]</f>
        <v>1.7250000000000001</v>
      </c>
    </row>
    <row r="883" spans="1:18" x14ac:dyDescent="0.4">
      <c r="A883" t="s">
        <v>913</v>
      </c>
      <c r="B883" t="s">
        <v>30</v>
      </c>
      <c r="C883">
        <v>18</v>
      </c>
      <c r="D883" s="4" t="s">
        <v>27</v>
      </c>
      <c r="E883" s="5">
        <v>45227</v>
      </c>
      <c r="F883">
        <v>225</v>
      </c>
      <c r="G883">
        <f>AVERAGEIF(calls[Representative], calls[[#This Row],[Representative]], calls[Satisfaction Rating])</f>
        <v>3.8589371980676304</v>
      </c>
      <c r="H883" t="str">
        <f>IF(AVERAGEIF(calls[Representative],calls[[#This Row],[Representative]],calls[Satisfaction Rating])&lt;3.5,"Needs Training","OK")</f>
        <v>OK</v>
      </c>
      <c r="I883">
        <v>2.6</v>
      </c>
      <c r="J883">
        <f>IF(MONTH(calls[[#This Row],[Date of Call]])&lt;=6, YEAR(calls[[#This Row],[Date of Call]]), YEAR(calls[[#This Row],[Date of Call]])+1)</f>
        <v>2024</v>
      </c>
      <c r="K883" t="str">
        <f>TEXT(calls[[#This Row],[Date of Call]],"DDDD")</f>
        <v>Saturday</v>
      </c>
      <c r="L883" t="str" cm="1">
        <f t="array" ref="L883">_xlfn.IFS(calls[[#This Row],[Duration]]&lt;=10,"under 10 mins",calls[[#This Row],[Duration]]&lt;=30,"10 to 30mins",calls[[#This Row],[Duration]]&lt;=60,"60 to 30mins",calls[[#This Row],[Duration]]&lt;=120,"1 to 2hrs",TRUE,"More than 2 hrs")</f>
        <v>10 to 30mins</v>
      </c>
      <c r="M883">
        <f>ROUND(calls[[#This Row],[Satisfaction Rating]],0)</f>
        <v>3</v>
      </c>
      <c r="N883">
        <f>COUNTIF(calls[Customer ID], calls[[#This Row],[Customer ID]])</f>
        <v>69</v>
      </c>
      <c r="O883">
        <f>SUMIF(calls[Customer ID], calls[[#This Row],[Customer ID]], calls[Purchase Amount])</f>
        <v>7230</v>
      </c>
      <c r="P883">
        <f>calls[[#This Row],[call count]]/calls[[#This Row],[Purchase Amount]]</f>
        <v>0.30666666666666664</v>
      </c>
      <c r="Q883">
        <f>COUNTIF(calls[Customer ID],calls[[#This Row],[Customer ID]])</f>
        <v>69</v>
      </c>
      <c r="R883">
        <f>calls[[#This Row],[call count]]/calls[[#This Row],[Purchase Amount]]</f>
        <v>0.30666666666666664</v>
      </c>
    </row>
    <row r="884" spans="1:18" x14ac:dyDescent="0.4">
      <c r="A884" t="s">
        <v>914</v>
      </c>
      <c r="B884" t="s">
        <v>11</v>
      </c>
      <c r="C884">
        <v>100</v>
      </c>
      <c r="D884" s="4" t="s">
        <v>23</v>
      </c>
      <c r="E884" s="5">
        <v>45227</v>
      </c>
      <c r="F884">
        <v>150</v>
      </c>
      <c r="G884">
        <f>AVERAGEIF(calls[Representative], calls[[#This Row],[Representative]], calls[Satisfaction Rating])</f>
        <v>3.8973118279569863</v>
      </c>
      <c r="H884" t="str">
        <f>IF(AVERAGEIF(calls[Representative],calls[[#This Row],[Representative]],calls[Satisfaction Rating])&lt;3.5,"Needs Training","OK")</f>
        <v>OK</v>
      </c>
      <c r="I884">
        <v>2.6</v>
      </c>
      <c r="J884">
        <f>IF(MONTH(calls[[#This Row],[Date of Call]])&lt;=6, YEAR(calls[[#This Row],[Date of Call]]), YEAR(calls[[#This Row],[Date of Call]])+1)</f>
        <v>2024</v>
      </c>
      <c r="K884" t="str">
        <f>TEXT(calls[[#This Row],[Date of Call]],"DDDD")</f>
        <v>Saturday</v>
      </c>
      <c r="L884" t="str" cm="1">
        <f t="array" ref="L884">_xlfn.IFS(calls[[#This Row],[Duration]]&lt;=10,"under 10 mins",calls[[#This Row],[Duration]]&lt;=30,"10 to 30mins",calls[[#This Row],[Duration]]&lt;=60,"60 to 30mins",calls[[#This Row],[Duration]]&lt;=120,"1 to 2hrs",TRUE,"More than 2 hrs")</f>
        <v>1 to 2hrs</v>
      </c>
      <c r="M884">
        <f>ROUND(calls[[#This Row],[Satisfaction Rating]],0)</f>
        <v>3</v>
      </c>
      <c r="N884">
        <f>COUNTIF(calls[Customer ID], calls[[#This Row],[Customer ID]])</f>
        <v>60</v>
      </c>
      <c r="O884">
        <f>SUMIF(calls[Customer ID], calls[[#This Row],[Customer ID]], calls[Purchase Amount])</f>
        <v>5404</v>
      </c>
      <c r="P884">
        <f>calls[[#This Row],[call count]]/calls[[#This Row],[Purchase Amount]]</f>
        <v>0.4</v>
      </c>
      <c r="Q884">
        <f>COUNTIF(calls[Customer ID],calls[[#This Row],[Customer ID]])</f>
        <v>60</v>
      </c>
      <c r="R884">
        <f>calls[[#This Row],[call count]]/calls[[#This Row],[Purchase Amount]]</f>
        <v>0.4</v>
      </c>
    </row>
    <row r="885" spans="1:18" x14ac:dyDescent="0.4">
      <c r="A885" t="s">
        <v>915</v>
      </c>
      <c r="B885" t="s">
        <v>26</v>
      </c>
      <c r="C885">
        <v>110</v>
      </c>
      <c r="D885" s="4" t="s">
        <v>9</v>
      </c>
      <c r="E885" s="5">
        <v>45228</v>
      </c>
      <c r="F885">
        <v>88</v>
      </c>
      <c r="G885">
        <f>AVERAGEIF(calls[Representative], calls[[#This Row],[Representative]], calls[Satisfaction Rating])</f>
        <v>3.8706422018348627</v>
      </c>
      <c r="H885" t="str">
        <f>IF(AVERAGEIF(calls[Representative],calls[[#This Row],[Representative]],calls[Satisfaction Rating])&lt;3.5,"Needs Training","OK")</f>
        <v>OK</v>
      </c>
      <c r="I885">
        <v>3.4</v>
      </c>
      <c r="J885">
        <f>IF(MONTH(calls[[#This Row],[Date of Call]])&lt;=6, YEAR(calls[[#This Row],[Date of Call]]), YEAR(calls[[#This Row],[Date of Call]])+1)</f>
        <v>2024</v>
      </c>
      <c r="K885" t="str">
        <f>TEXT(calls[[#This Row],[Date of Call]],"DDDD")</f>
        <v>Sunday</v>
      </c>
      <c r="L885" t="str" cm="1">
        <f t="array" ref="L885">_xlfn.IFS(calls[[#This Row],[Duration]]&lt;=10,"under 10 mins",calls[[#This Row],[Duration]]&lt;=30,"10 to 30mins",calls[[#This Row],[Duration]]&lt;=60,"60 to 30mins",calls[[#This Row],[Duration]]&lt;=120,"1 to 2hrs",TRUE,"More than 2 hrs")</f>
        <v>1 to 2hrs</v>
      </c>
      <c r="M885">
        <f>ROUND(calls[[#This Row],[Satisfaction Rating]],0)</f>
        <v>3</v>
      </c>
      <c r="N885">
        <f>COUNTIF(calls[Customer ID], calls[[#This Row],[Customer ID]])</f>
        <v>72</v>
      </c>
      <c r="O885">
        <f>SUMIF(calls[Customer ID], calls[[#This Row],[Customer ID]], calls[Purchase Amount])</f>
        <v>6242</v>
      </c>
      <c r="P885">
        <f>calls[[#This Row],[call count]]/calls[[#This Row],[Purchase Amount]]</f>
        <v>0.81818181818181823</v>
      </c>
      <c r="Q885">
        <f>COUNTIF(calls[Customer ID],calls[[#This Row],[Customer ID]])</f>
        <v>72</v>
      </c>
      <c r="R885">
        <f>calls[[#This Row],[call count]]/calls[[#This Row],[Purchase Amount]]</f>
        <v>0.81818181818181823</v>
      </c>
    </row>
    <row r="886" spans="1:18" x14ac:dyDescent="0.4">
      <c r="A886" t="s">
        <v>916</v>
      </c>
      <c r="B886" t="s">
        <v>44</v>
      </c>
      <c r="C886">
        <v>41</v>
      </c>
      <c r="D886" s="4" t="s">
        <v>2</v>
      </c>
      <c r="E886" s="5">
        <v>45228</v>
      </c>
      <c r="F886">
        <v>140</v>
      </c>
      <c r="G886">
        <f>AVERAGEIF(calls[Representative], calls[[#This Row],[Representative]], calls[Satisfaction Rating])</f>
        <v>3.8824999999999998</v>
      </c>
      <c r="H886" t="str">
        <f>IF(AVERAGEIF(calls[Representative],calls[[#This Row],[Representative]],calls[Satisfaction Rating])&lt;3.5,"Needs Training","OK")</f>
        <v>OK</v>
      </c>
      <c r="I886">
        <v>3.7</v>
      </c>
      <c r="J886">
        <f>IF(MONTH(calls[[#This Row],[Date of Call]])&lt;=6, YEAR(calls[[#This Row],[Date of Call]]), YEAR(calls[[#This Row],[Date of Call]])+1)</f>
        <v>2024</v>
      </c>
      <c r="K886" t="str">
        <f>TEXT(calls[[#This Row],[Date of Call]],"DDDD")</f>
        <v>Sunday</v>
      </c>
      <c r="L886" t="str" cm="1">
        <f t="array" ref="L886">_xlfn.IFS(calls[[#This Row],[Duration]]&lt;=10,"under 10 mins",calls[[#This Row],[Duration]]&lt;=30,"10 to 30mins",calls[[#This Row],[Duration]]&lt;=60,"60 to 30mins",calls[[#This Row],[Duration]]&lt;=120,"1 to 2hrs",TRUE,"More than 2 hrs")</f>
        <v>60 to 30mins</v>
      </c>
      <c r="M886">
        <f>ROUND(calls[[#This Row],[Satisfaction Rating]],0)</f>
        <v>4</v>
      </c>
      <c r="N886">
        <f>COUNTIF(calls[Customer ID], calls[[#This Row],[Customer ID]])</f>
        <v>62</v>
      </c>
      <c r="O886">
        <f>SUMIF(calls[Customer ID], calls[[#This Row],[Customer ID]], calls[Purchase Amount])</f>
        <v>6176</v>
      </c>
      <c r="P886">
        <f>calls[[#This Row],[call count]]/calls[[#This Row],[Purchase Amount]]</f>
        <v>0.44285714285714284</v>
      </c>
      <c r="Q886">
        <f>COUNTIF(calls[Customer ID],calls[[#This Row],[Customer ID]])</f>
        <v>62</v>
      </c>
      <c r="R886">
        <f>calls[[#This Row],[call count]]/calls[[#This Row],[Purchase Amount]]</f>
        <v>0.44285714285714284</v>
      </c>
    </row>
    <row r="887" spans="1:18" x14ac:dyDescent="0.4">
      <c r="A887" t="s">
        <v>917</v>
      </c>
      <c r="B887" t="s">
        <v>26</v>
      </c>
      <c r="C887">
        <v>147</v>
      </c>
      <c r="D887" s="4" t="s">
        <v>9</v>
      </c>
      <c r="E887" s="5">
        <v>45228</v>
      </c>
      <c r="F887">
        <v>68</v>
      </c>
      <c r="G887">
        <f>AVERAGEIF(calls[Representative], calls[[#This Row],[Representative]], calls[Satisfaction Rating])</f>
        <v>3.8706422018348627</v>
      </c>
      <c r="H887" t="str">
        <f>IF(AVERAGEIF(calls[Representative],calls[[#This Row],[Representative]],calls[Satisfaction Rating])&lt;3.5,"Needs Training","OK")</f>
        <v>OK</v>
      </c>
      <c r="I887">
        <v>2.1</v>
      </c>
      <c r="J887">
        <f>IF(MONTH(calls[[#This Row],[Date of Call]])&lt;=6, YEAR(calls[[#This Row],[Date of Call]]), YEAR(calls[[#This Row],[Date of Call]])+1)</f>
        <v>2024</v>
      </c>
      <c r="K887" t="str">
        <f>TEXT(calls[[#This Row],[Date of Call]],"DDDD")</f>
        <v>Sunday</v>
      </c>
      <c r="L887" t="str" cm="1">
        <f t="array" ref="L887">_xlfn.IFS(calls[[#This Row],[Duration]]&lt;=10,"under 10 mins",calls[[#This Row],[Duration]]&lt;=30,"10 to 30mins",calls[[#This Row],[Duration]]&lt;=60,"60 to 30mins",calls[[#This Row],[Duration]]&lt;=120,"1 to 2hrs",TRUE,"More than 2 hrs")</f>
        <v>More than 2 hrs</v>
      </c>
      <c r="M887">
        <f>ROUND(calls[[#This Row],[Satisfaction Rating]],0)</f>
        <v>2</v>
      </c>
      <c r="N887">
        <f>COUNTIF(calls[Customer ID], calls[[#This Row],[Customer ID]])</f>
        <v>72</v>
      </c>
      <c r="O887">
        <f>SUMIF(calls[Customer ID], calls[[#This Row],[Customer ID]], calls[Purchase Amount])</f>
        <v>6242</v>
      </c>
      <c r="P887">
        <f>calls[[#This Row],[call count]]/calls[[#This Row],[Purchase Amount]]</f>
        <v>1.0588235294117647</v>
      </c>
      <c r="Q887">
        <f>COUNTIF(calls[Customer ID],calls[[#This Row],[Customer ID]])</f>
        <v>72</v>
      </c>
      <c r="R887">
        <f>calls[[#This Row],[call count]]/calls[[#This Row],[Purchase Amount]]</f>
        <v>1.0588235294117647</v>
      </c>
    </row>
    <row r="888" spans="1:18" x14ac:dyDescent="0.4">
      <c r="A888" t="s">
        <v>918</v>
      </c>
      <c r="B888" t="s">
        <v>6</v>
      </c>
      <c r="C888">
        <v>31</v>
      </c>
      <c r="D888" s="4" t="s">
        <v>27</v>
      </c>
      <c r="E888" s="5">
        <v>45229</v>
      </c>
      <c r="F888">
        <v>105</v>
      </c>
      <c r="G888">
        <f>AVERAGEIF(calls[Representative], calls[[#This Row],[Representative]], calls[Satisfaction Rating])</f>
        <v>3.8589371980676304</v>
      </c>
      <c r="H888" t="str">
        <f>IF(AVERAGEIF(calls[Representative],calls[[#This Row],[Representative]],calls[Satisfaction Rating])&lt;3.5,"Needs Training","OK")</f>
        <v>OK</v>
      </c>
      <c r="I888">
        <v>3.6</v>
      </c>
      <c r="J888">
        <f>IF(MONTH(calls[[#This Row],[Date of Call]])&lt;=6, YEAR(calls[[#This Row],[Date of Call]]), YEAR(calls[[#This Row],[Date of Call]])+1)</f>
        <v>2024</v>
      </c>
      <c r="K888" t="str">
        <f>TEXT(calls[[#This Row],[Date of Call]],"DDDD")</f>
        <v>Monday</v>
      </c>
      <c r="L888" t="str" cm="1">
        <f t="array" ref="L888">_xlfn.IFS(calls[[#This Row],[Duration]]&lt;=10,"under 10 mins",calls[[#This Row],[Duration]]&lt;=30,"10 to 30mins",calls[[#This Row],[Duration]]&lt;=60,"60 to 30mins",calls[[#This Row],[Duration]]&lt;=120,"1 to 2hrs",TRUE,"More than 2 hrs")</f>
        <v>60 to 30mins</v>
      </c>
      <c r="M888">
        <f>ROUND(calls[[#This Row],[Satisfaction Rating]],0)</f>
        <v>4</v>
      </c>
      <c r="N888">
        <f>COUNTIF(calls[Customer ID], calls[[#This Row],[Customer ID]])</f>
        <v>82</v>
      </c>
      <c r="O888">
        <f>SUMIF(calls[Customer ID], calls[[#This Row],[Customer ID]], calls[Purchase Amount])</f>
        <v>7689</v>
      </c>
      <c r="P888">
        <f>calls[[#This Row],[call count]]/calls[[#This Row],[Purchase Amount]]</f>
        <v>0.78095238095238095</v>
      </c>
      <c r="Q888">
        <f>COUNTIF(calls[Customer ID],calls[[#This Row],[Customer ID]])</f>
        <v>82</v>
      </c>
      <c r="R888">
        <f>calls[[#This Row],[call count]]/calls[[#This Row],[Purchase Amount]]</f>
        <v>0.78095238095238095</v>
      </c>
    </row>
    <row r="889" spans="1:18" x14ac:dyDescent="0.4">
      <c r="A889" t="s">
        <v>919</v>
      </c>
      <c r="B889" t="s">
        <v>64</v>
      </c>
      <c r="C889">
        <v>142</v>
      </c>
      <c r="D889" s="4" t="s">
        <v>2</v>
      </c>
      <c r="E889" s="5">
        <v>45229</v>
      </c>
      <c r="F889">
        <v>40</v>
      </c>
      <c r="G889">
        <f>AVERAGEIF(calls[Representative], calls[[#This Row],[Representative]], calls[Satisfaction Rating])</f>
        <v>3.8824999999999998</v>
      </c>
      <c r="H889" t="str">
        <f>IF(AVERAGEIF(calls[Representative],calls[[#This Row],[Representative]],calls[Satisfaction Rating])&lt;3.5,"Needs Training","OK")</f>
        <v>OK</v>
      </c>
      <c r="I889">
        <v>3.8</v>
      </c>
      <c r="J889">
        <f>IF(MONTH(calls[[#This Row],[Date of Call]])&lt;=6, YEAR(calls[[#This Row],[Date of Call]]), YEAR(calls[[#This Row],[Date of Call]])+1)</f>
        <v>2024</v>
      </c>
      <c r="K889" t="str">
        <f>TEXT(calls[[#This Row],[Date of Call]],"DDDD")</f>
        <v>Monday</v>
      </c>
      <c r="L889" t="str" cm="1">
        <f t="array" ref="L889">_xlfn.IFS(calls[[#This Row],[Duration]]&lt;=10,"under 10 mins",calls[[#This Row],[Duration]]&lt;=30,"10 to 30mins",calls[[#This Row],[Duration]]&lt;=60,"60 to 30mins",calls[[#This Row],[Duration]]&lt;=120,"1 to 2hrs",TRUE,"More than 2 hrs")</f>
        <v>More than 2 hrs</v>
      </c>
      <c r="M889">
        <f>ROUND(calls[[#This Row],[Satisfaction Rating]],0)</f>
        <v>4</v>
      </c>
      <c r="N889">
        <f>COUNTIF(calls[Customer ID], calls[[#This Row],[Customer ID]])</f>
        <v>65</v>
      </c>
      <c r="O889">
        <f>SUMIF(calls[Customer ID], calls[[#This Row],[Customer ID]], calls[Purchase Amount])</f>
        <v>6785</v>
      </c>
      <c r="P889">
        <f>calls[[#This Row],[call count]]/calls[[#This Row],[Purchase Amount]]</f>
        <v>1.625</v>
      </c>
      <c r="Q889">
        <f>COUNTIF(calls[Customer ID],calls[[#This Row],[Customer ID]])</f>
        <v>65</v>
      </c>
      <c r="R889">
        <f>calls[[#This Row],[call count]]/calls[[#This Row],[Purchase Amount]]</f>
        <v>1.625</v>
      </c>
    </row>
    <row r="890" spans="1:18" x14ac:dyDescent="0.4">
      <c r="A890" t="s">
        <v>920</v>
      </c>
      <c r="B890" t="s">
        <v>40</v>
      </c>
      <c r="C890">
        <v>61</v>
      </c>
      <c r="D890" s="4" t="s">
        <v>2</v>
      </c>
      <c r="E890" s="5">
        <v>45229</v>
      </c>
      <c r="F890">
        <v>82</v>
      </c>
      <c r="G890">
        <f>AVERAGEIF(calls[Representative], calls[[#This Row],[Representative]], calls[Satisfaction Rating])</f>
        <v>3.8824999999999998</v>
      </c>
      <c r="H890" t="str">
        <f>IF(AVERAGEIF(calls[Representative],calls[[#This Row],[Representative]],calls[Satisfaction Rating])&lt;3.5,"Needs Training","OK")</f>
        <v>OK</v>
      </c>
      <c r="I890">
        <v>3.1</v>
      </c>
      <c r="J890">
        <f>IF(MONTH(calls[[#This Row],[Date of Call]])&lt;=6, YEAR(calls[[#This Row],[Date of Call]]), YEAR(calls[[#This Row],[Date of Call]])+1)</f>
        <v>2024</v>
      </c>
      <c r="K890" t="str">
        <f>TEXT(calls[[#This Row],[Date of Call]],"DDDD")</f>
        <v>Monday</v>
      </c>
      <c r="L890" t="str" cm="1">
        <f t="array" ref="L890">_xlfn.IFS(calls[[#This Row],[Duration]]&lt;=10,"under 10 mins",calls[[#This Row],[Duration]]&lt;=30,"10 to 30mins",calls[[#This Row],[Duration]]&lt;=60,"60 to 30mins",calls[[#This Row],[Duration]]&lt;=120,"1 to 2hrs",TRUE,"More than 2 hrs")</f>
        <v>1 to 2hrs</v>
      </c>
      <c r="M890">
        <f>ROUND(calls[[#This Row],[Satisfaction Rating]],0)</f>
        <v>3</v>
      </c>
      <c r="N890">
        <f>COUNTIF(calls[Customer ID], calls[[#This Row],[Customer ID]])</f>
        <v>69</v>
      </c>
      <c r="O890">
        <f>SUMIF(calls[Customer ID], calls[[#This Row],[Customer ID]], calls[Purchase Amount])</f>
        <v>6601</v>
      </c>
      <c r="P890">
        <f>calls[[#This Row],[call count]]/calls[[#This Row],[Purchase Amount]]</f>
        <v>0.84146341463414631</v>
      </c>
      <c r="Q890">
        <f>COUNTIF(calls[Customer ID],calls[[#This Row],[Customer ID]])</f>
        <v>69</v>
      </c>
      <c r="R890">
        <f>calls[[#This Row],[call count]]/calls[[#This Row],[Purchase Amount]]</f>
        <v>0.84146341463414631</v>
      </c>
    </row>
    <row r="891" spans="1:18" x14ac:dyDescent="0.4">
      <c r="A891" t="s">
        <v>921</v>
      </c>
      <c r="B891" t="s">
        <v>1</v>
      </c>
      <c r="C891">
        <v>86</v>
      </c>
      <c r="D891" s="4" t="s">
        <v>27</v>
      </c>
      <c r="E891" s="5">
        <v>45230</v>
      </c>
      <c r="F891">
        <v>90</v>
      </c>
      <c r="G891">
        <f>AVERAGEIF(calls[Representative], calls[[#This Row],[Representative]], calls[Satisfaction Rating])</f>
        <v>3.8589371980676304</v>
      </c>
      <c r="H891" t="str">
        <f>IF(AVERAGEIF(calls[Representative],calls[[#This Row],[Representative]],calls[Satisfaction Rating])&lt;3.5,"Needs Training","OK")</f>
        <v>OK</v>
      </c>
      <c r="I891">
        <v>4.4000000000000004</v>
      </c>
      <c r="J891">
        <f>IF(MONTH(calls[[#This Row],[Date of Call]])&lt;=6, YEAR(calls[[#This Row],[Date of Call]]), YEAR(calls[[#This Row],[Date of Call]])+1)</f>
        <v>2024</v>
      </c>
      <c r="K891" t="str">
        <f>TEXT(calls[[#This Row],[Date of Call]],"DDDD")</f>
        <v>Tuesday</v>
      </c>
      <c r="L891" t="str" cm="1">
        <f t="array" ref="L891">_xlfn.IFS(calls[[#This Row],[Duration]]&lt;=10,"under 10 mins",calls[[#This Row],[Duration]]&lt;=30,"10 to 30mins",calls[[#This Row],[Duration]]&lt;=60,"60 to 30mins",calls[[#This Row],[Duration]]&lt;=120,"1 to 2hrs",TRUE,"More than 2 hrs")</f>
        <v>1 to 2hrs</v>
      </c>
      <c r="M891">
        <f>ROUND(calls[[#This Row],[Satisfaction Rating]],0)</f>
        <v>4</v>
      </c>
      <c r="N891">
        <f>COUNTIF(calls[Customer ID], calls[[#This Row],[Customer ID]])</f>
        <v>50</v>
      </c>
      <c r="O891">
        <f>SUMIF(calls[Customer ID], calls[[#This Row],[Customer ID]], calls[Purchase Amount])</f>
        <v>4804</v>
      </c>
      <c r="P891">
        <f>calls[[#This Row],[call count]]/calls[[#This Row],[Purchase Amount]]</f>
        <v>0.55555555555555558</v>
      </c>
      <c r="Q891">
        <f>COUNTIF(calls[Customer ID],calls[[#This Row],[Customer ID]])</f>
        <v>50</v>
      </c>
      <c r="R891">
        <f>calls[[#This Row],[call count]]/calls[[#This Row],[Purchase Amount]]</f>
        <v>0.55555555555555558</v>
      </c>
    </row>
    <row r="892" spans="1:18" x14ac:dyDescent="0.4">
      <c r="A892" t="s">
        <v>922</v>
      </c>
      <c r="B892" t="s">
        <v>8</v>
      </c>
      <c r="C892">
        <v>165</v>
      </c>
      <c r="D892" s="4" t="s">
        <v>23</v>
      </c>
      <c r="E892" s="5">
        <v>45231</v>
      </c>
      <c r="F892">
        <v>66</v>
      </c>
      <c r="G892">
        <f>AVERAGEIF(calls[Representative], calls[[#This Row],[Representative]], calls[Satisfaction Rating])</f>
        <v>3.8973118279569863</v>
      </c>
      <c r="H892" t="str">
        <f>IF(AVERAGEIF(calls[Representative],calls[[#This Row],[Representative]],calls[Satisfaction Rating])&lt;3.5,"Needs Training","OK")</f>
        <v>OK</v>
      </c>
      <c r="I892">
        <v>4.8</v>
      </c>
      <c r="J892">
        <f>IF(MONTH(calls[[#This Row],[Date of Call]])&lt;=6, YEAR(calls[[#This Row],[Date of Call]]), YEAR(calls[[#This Row],[Date of Call]])+1)</f>
        <v>2024</v>
      </c>
      <c r="K892" t="str">
        <f>TEXT(calls[[#This Row],[Date of Call]],"DDDD")</f>
        <v>Wednesday</v>
      </c>
      <c r="L892" t="str" cm="1">
        <f t="array" ref="L892">_xlfn.IFS(calls[[#This Row],[Duration]]&lt;=10,"under 10 mins",calls[[#This Row],[Duration]]&lt;=30,"10 to 30mins",calls[[#This Row],[Duration]]&lt;=60,"60 to 30mins",calls[[#This Row],[Duration]]&lt;=120,"1 to 2hrs",TRUE,"More than 2 hrs")</f>
        <v>More than 2 hrs</v>
      </c>
      <c r="M892">
        <f>ROUND(calls[[#This Row],[Satisfaction Rating]],0)</f>
        <v>5</v>
      </c>
      <c r="N892">
        <f>COUNTIF(calls[Customer ID], calls[[#This Row],[Customer ID]])</f>
        <v>79</v>
      </c>
      <c r="O892">
        <f>SUMIF(calls[Customer ID], calls[[#This Row],[Customer ID]], calls[Purchase Amount])</f>
        <v>7747</v>
      </c>
      <c r="P892">
        <f>calls[[#This Row],[call count]]/calls[[#This Row],[Purchase Amount]]</f>
        <v>1.196969696969697</v>
      </c>
      <c r="Q892">
        <f>COUNTIF(calls[Customer ID],calls[[#This Row],[Customer ID]])</f>
        <v>79</v>
      </c>
      <c r="R892">
        <f>calls[[#This Row],[call count]]/calls[[#This Row],[Purchase Amount]]</f>
        <v>1.196969696969697</v>
      </c>
    </row>
    <row r="893" spans="1:18" x14ac:dyDescent="0.4">
      <c r="A893" t="s">
        <v>923</v>
      </c>
      <c r="B893" t="s">
        <v>84</v>
      </c>
      <c r="C893">
        <v>62</v>
      </c>
      <c r="D893" s="4" t="s">
        <v>9</v>
      </c>
      <c r="E893" s="5">
        <v>45231</v>
      </c>
      <c r="F893">
        <v>78</v>
      </c>
      <c r="G893">
        <f>AVERAGEIF(calls[Representative], calls[[#This Row],[Representative]], calls[Satisfaction Rating])</f>
        <v>3.8706422018348627</v>
      </c>
      <c r="H893" t="str">
        <f>IF(AVERAGEIF(calls[Representative],calls[[#This Row],[Representative]],calls[Satisfaction Rating])&lt;3.5,"Needs Training","OK")</f>
        <v>OK</v>
      </c>
      <c r="I893">
        <v>3.5</v>
      </c>
      <c r="J893">
        <f>IF(MONTH(calls[[#This Row],[Date of Call]])&lt;=6, YEAR(calls[[#This Row],[Date of Call]]), YEAR(calls[[#This Row],[Date of Call]])+1)</f>
        <v>2024</v>
      </c>
      <c r="K893" t="str">
        <f>TEXT(calls[[#This Row],[Date of Call]],"DDDD")</f>
        <v>Wednesday</v>
      </c>
      <c r="L893" t="str" cm="1">
        <f t="array" ref="L893">_xlfn.IFS(calls[[#This Row],[Duration]]&lt;=10,"under 10 mins",calls[[#This Row],[Duration]]&lt;=30,"10 to 30mins",calls[[#This Row],[Duration]]&lt;=60,"60 to 30mins",calls[[#This Row],[Duration]]&lt;=120,"1 to 2hrs",TRUE,"More than 2 hrs")</f>
        <v>1 to 2hrs</v>
      </c>
      <c r="M893">
        <f>ROUND(calls[[#This Row],[Satisfaction Rating]],0)</f>
        <v>4</v>
      </c>
      <c r="N893">
        <f>COUNTIF(calls[Customer ID], calls[[#This Row],[Customer ID]])</f>
        <v>59</v>
      </c>
      <c r="O893">
        <f>SUMIF(calls[Customer ID], calls[[#This Row],[Customer ID]], calls[Purchase Amount])</f>
        <v>5009</v>
      </c>
      <c r="P893">
        <f>calls[[#This Row],[call count]]/calls[[#This Row],[Purchase Amount]]</f>
        <v>0.75641025641025639</v>
      </c>
      <c r="Q893">
        <f>COUNTIF(calls[Customer ID],calls[[#This Row],[Customer ID]])</f>
        <v>59</v>
      </c>
      <c r="R893">
        <f>calls[[#This Row],[call count]]/calls[[#This Row],[Purchase Amount]]</f>
        <v>0.75641025641025639</v>
      </c>
    </row>
    <row r="894" spans="1:18" x14ac:dyDescent="0.4">
      <c r="A894" t="s">
        <v>924</v>
      </c>
      <c r="B894" t="s">
        <v>11</v>
      </c>
      <c r="C894">
        <v>103</v>
      </c>
      <c r="D894" s="4" t="s">
        <v>23</v>
      </c>
      <c r="E894" s="5">
        <v>45232</v>
      </c>
      <c r="F894">
        <v>66</v>
      </c>
      <c r="G894">
        <f>AVERAGEIF(calls[Representative], calls[[#This Row],[Representative]], calls[Satisfaction Rating])</f>
        <v>3.8973118279569863</v>
      </c>
      <c r="H894" t="str">
        <f>IF(AVERAGEIF(calls[Representative],calls[[#This Row],[Representative]],calls[Satisfaction Rating])&lt;3.5,"Needs Training","OK")</f>
        <v>OK</v>
      </c>
      <c r="I894">
        <v>4.4000000000000004</v>
      </c>
      <c r="J894">
        <f>IF(MONTH(calls[[#This Row],[Date of Call]])&lt;=6, YEAR(calls[[#This Row],[Date of Call]]), YEAR(calls[[#This Row],[Date of Call]])+1)</f>
        <v>2024</v>
      </c>
      <c r="K894" t="str">
        <f>TEXT(calls[[#This Row],[Date of Call]],"DDDD")</f>
        <v>Thursday</v>
      </c>
      <c r="L894" t="str" cm="1">
        <f t="array" ref="L894">_xlfn.IFS(calls[[#This Row],[Duration]]&lt;=10,"under 10 mins",calls[[#This Row],[Duration]]&lt;=30,"10 to 30mins",calls[[#This Row],[Duration]]&lt;=60,"60 to 30mins",calls[[#This Row],[Duration]]&lt;=120,"1 to 2hrs",TRUE,"More than 2 hrs")</f>
        <v>1 to 2hrs</v>
      </c>
      <c r="M894">
        <f>ROUND(calls[[#This Row],[Satisfaction Rating]],0)</f>
        <v>4</v>
      </c>
      <c r="N894">
        <f>COUNTIF(calls[Customer ID], calls[[#This Row],[Customer ID]])</f>
        <v>60</v>
      </c>
      <c r="O894">
        <f>SUMIF(calls[Customer ID], calls[[#This Row],[Customer ID]], calls[Purchase Amount])</f>
        <v>5404</v>
      </c>
      <c r="P894">
        <f>calls[[#This Row],[call count]]/calls[[#This Row],[Purchase Amount]]</f>
        <v>0.90909090909090906</v>
      </c>
      <c r="Q894">
        <f>COUNTIF(calls[Customer ID],calls[[#This Row],[Customer ID]])</f>
        <v>60</v>
      </c>
      <c r="R894">
        <f>calls[[#This Row],[call count]]/calls[[#This Row],[Purchase Amount]]</f>
        <v>0.90909090909090906</v>
      </c>
    </row>
    <row r="895" spans="1:18" x14ac:dyDescent="0.4">
      <c r="A895" t="s">
        <v>925</v>
      </c>
      <c r="B895" t="s">
        <v>64</v>
      </c>
      <c r="C895">
        <v>56</v>
      </c>
      <c r="D895" s="4" t="s">
        <v>27</v>
      </c>
      <c r="E895" s="5">
        <v>45233</v>
      </c>
      <c r="F895">
        <v>160</v>
      </c>
      <c r="G895">
        <f>AVERAGEIF(calls[Representative], calls[[#This Row],[Representative]], calls[Satisfaction Rating])</f>
        <v>3.8589371980676304</v>
      </c>
      <c r="H895" t="str">
        <f>IF(AVERAGEIF(calls[Representative],calls[[#This Row],[Representative]],calls[Satisfaction Rating])&lt;3.5,"Needs Training","OK")</f>
        <v>OK</v>
      </c>
      <c r="I895">
        <v>3.8</v>
      </c>
      <c r="J895">
        <f>IF(MONTH(calls[[#This Row],[Date of Call]])&lt;=6, YEAR(calls[[#This Row],[Date of Call]]), YEAR(calls[[#This Row],[Date of Call]])+1)</f>
        <v>2024</v>
      </c>
      <c r="K895" t="str">
        <f>TEXT(calls[[#This Row],[Date of Call]],"DDDD")</f>
        <v>Friday</v>
      </c>
      <c r="L895" t="str" cm="1">
        <f t="array" ref="L895">_xlfn.IFS(calls[[#This Row],[Duration]]&lt;=10,"under 10 mins",calls[[#This Row],[Duration]]&lt;=30,"10 to 30mins",calls[[#This Row],[Duration]]&lt;=60,"60 to 30mins",calls[[#This Row],[Duration]]&lt;=120,"1 to 2hrs",TRUE,"More than 2 hrs")</f>
        <v>60 to 30mins</v>
      </c>
      <c r="M895">
        <f>ROUND(calls[[#This Row],[Satisfaction Rating]],0)</f>
        <v>4</v>
      </c>
      <c r="N895">
        <f>COUNTIF(calls[Customer ID], calls[[#This Row],[Customer ID]])</f>
        <v>65</v>
      </c>
      <c r="O895">
        <f>SUMIF(calls[Customer ID], calls[[#This Row],[Customer ID]], calls[Purchase Amount])</f>
        <v>6785</v>
      </c>
      <c r="P895">
        <f>calls[[#This Row],[call count]]/calls[[#This Row],[Purchase Amount]]</f>
        <v>0.40625</v>
      </c>
      <c r="Q895">
        <f>COUNTIF(calls[Customer ID],calls[[#This Row],[Customer ID]])</f>
        <v>65</v>
      </c>
      <c r="R895">
        <f>calls[[#This Row],[call count]]/calls[[#This Row],[Purchase Amount]]</f>
        <v>0.40625</v>
      </c>
    </row>
    <row r="896" spans="1:18" x14ac:dyDescent="0.4">
      <c r="A896" t="s">
        <v>926</v>
      </c>
      <c r="B896" t="s">
        <v>54</v>
      </c>
      <c r="C896">
        <v>114</v>
      </c>
      <c r="D896" s="4" t="s">
        <v>2</v>
      </c>
      <c r="E896" s="5">
        <v>45234</v>
      </c>
      <c r="F896">
        <v>144</v>
      </c>
      <c r="G896">
        <f>AVERAGEIF(calls[Representative], calls[[#This Row],[Representative]], calls[Satisfaction Rating])</f>
        <v>3.8824999999999998</v>
      </c>
      <c r="H896" t="str">
        <f>IF(AVERAGEIF(calls[Representative],calls[[#This Row],[Representative]],calls[Satisfaction Rating])&lt;3.5,"Needs Training","OK")</f>
        <v>OK</v>
      </c>
      <c r="I896">
        <v>3.8</v>
      </c>
      <c r="J896">
        <f>IF(MONTH(calls[[#This Row],[Date of Call]])&lt;=6, YEAR(calls[[#This Row],[Date of Call]]), YEAR(calls[[#This Row],[Date of Call]])+1)</f>
        <v>2024</v>
      </c>
      <c r="K896" t="str">
        <f>TEXT(calls[[#This Row],[Date of Call]],"DDDD")</f>
        <v>Saturday</v>
      </c>
      <c r="L896" t="str" cm="1">
        <f t="array" ref="L896">_xlfn.IFS(calls[[#This Row],[Duration]]&lt;=10,"under 10 mins",calls[[#This Row],[Duration]]&lt;=30,"10 to 30mins",calls[[#This Row],[Duration]]&lt;=60,"60 to 30mins",calls[[#This Row],[Duration]]&lt;=120,"1 to 2hrs",TRUE,"More than 2 hrs")</f>
        <v>1 to 2hrs</v>
      </c>
      <c r="M896">
        <f>ROUND(calls[[#This Row],[Satisfaction Rating]],0)</f>
        <v>4</v>
      </c>
      <c r="N896">
        <f>COUNTIF(calls[Customer ID], calls[[#This Row],[Customer ID]])</f>
        <v>70</v>
      </c>
      <c r="O896">
        <f>SUMIF(calls[Customer ID], calls[[#This Row],[Customer ID]], calls[Purchase Amount])</f>
        <v>6819</v>
      </c>
      <c r="P896">
        <f>calls[[#This Row],[call count]]/calls[[#This Row],[Purchase Amount]]</f>
        <v>0.4861111111111111</v>
      </c>
      <c r="Q896">
        <f>COUNTIF(calls[Customer ID],calls[[#This Row],[Customer ID]])</f>
        <v>70</v>
      </c>
      <c r="R896">
        <f>calls[[#This Row],[call count]]/calls[[#This Row],[Purchase Amount]]</f>
        <v>0.4861111111111111</v>
      </c>
    </row>
    <row r="897" spans="1:18" x14ac:dyDescent="0.4">
      <c r="A897" t="s">
        <v>927</v>
      </c>
      <c r="B897" t="s">
        <v>64</v>
      </c>
      <c r="C897">
        <v>112</v>
      </c>
      <c r="D897" s="4" t="s">
        <v>14</v>
      </c>
      <c r="E897" s="5">
        <v>45234</v>
      </c>
      <c r="F897">
        <v>200</v>
      </c>
      <c r="G897">
        <f>AVERAGEIF(calls[Representative], calls[[#This Row],[Representative]], calls[Satisfaction Rating])</f>
        <v>3.9227513227513247</v>
      </c>
      <c r="H897" t="str">
        <f>IF(AVERAGEIF(calls[Representative],calls[[#This Row],[Representative]],calls[Satisfaction Rating])&lt;3.5,"Needs Training","OK")</f>
        <v>OK</v>
      </c>
      <c r="I897">
        <v>4.5999999999999996</v>
      </c>
      <c r="J897">
        <f>IF(MONTH(calls[[#This Row],[Date of Call]])&lt;=6, YEAR(calls[[#This Row],[Date of Call]]), YEAR(calls[[#This Row],[Date of Call]])+1)</f>
        <v>2024</v>
      </c>
      <c r="K897" t="str">
        <f>TEXT(calls[[#This Row],[Date of Call]],"DDDD")</f>
        <v>Saturday</v>
      </c>
      <c r="L897" t="str" cm="1">
        <f t="array" ref="L897">_xlfn.IFS(calls[[#This Row],[Duration]]&lt;=10,"under 10 mins",calls[[#This Row],[Duration]]&lt;=30,"10 to 30mins",calls[[#This Row],[Duration]]&lt;=60,"60 to 30mins",calls[[#This Row],[Duration]]&lt;=120,"1 to 2hrs",TRUE,"More than 2 hrs")</f>
        <v>1 to 2hrs</v>
      </c>
      <c r="M897">
        <f>ROUND(calls[[#This Row],[Satisfaction Rating]],0)</f>
        <v>5</v>
      </c>
      <c r="N897">
        <f>COUNTIF(calls[Customer ID], calls[[#This Row],[Customer ID]])</f>
        <v>65</v>
      </c>
      <c r="O897">
        <f>SUMIF(calls[Customer ID], calls[[#This Row],[Customer ID]], calls[Purchase Amount])</f>
        <v>6785</v>
      </c>
      <c r="P897">
        <f>calls[[#This Row],[call count]]/calls[[#This Row],[Purchase Amount]]</f>
        <v>0.32500000000000001</v>
      </c>
      <c r="Q897">
        <f>COUNTIF(calls[Customer ID],calls[[#This Row],[Customer ID]])</f>
        <v>65</v>
      </c>
      <c r="R897">
        <f>calls[[#This Row],[call count]]/calls[[#This Row],[Purchase Amount]]</f>
        <v>0.32500000000000001</v>
      </c>
    </row>
    <row r="898" spans="1:18" x14ac:dyDescent="0.4">
      <c r="A898" t="s">
        <v>928</v>
      </c>
      <c r="B898" t="s">
        <v>21</v>
      </c>
      <c r="C898">
        <v>52</v>
      </c>
      <c r="D898" s="4" t="s">
        <v>9</v>
      </c>
      <c r="E898" s="5">
        <v>45236</v>
      </c>
      <c r="F898">
        <v>220</v>
      </c>
      <c r="G898">
        <f>AVERAGEIF(calls[Representative], calls[[#This Row],[Representative]], calls[Satisfaction Rating])</f>
        <v>3.8706422018348627</v>
      </c>
      <c r="H898" t="str">
        <f>IF(AVERAGEIF(calls[Representative],calls[[#This Row],[Representative]],calls[Satisfaction Rating])&lt;3.5,"Needs Training","OK")</f>
        <v>OK</v>
      </c>
      <c r="I898">
        <v>5</v>
      </c>
      <c r="J898">
        <f>IF(MONTH(calls[[#This Row],[Date of Call]])&lt;=6, YEAR(calls[[#This Row],[Date of Call]]), YEAR(calls[[#This Row],[Date of Call]])+1)</f>
        <v>2024</v>
      </c>
      <c r="K898" t="str">
        <f>TEXT(calls[[#This Row],[Date of Call]],"DDDD")</f>
        <v>Monday</v>
      </c>
      <c r="L898" t="str" cm="1">
        <f t="array" ref="L898">_xlfn.IFS(calls[[#This Row],[Duration]]&lt;=10,"under 10 mins",calls[[#This Row],[Duration]]&lt;=30,"10 to 30mins",calls[[#This Row],[Duration]]&lt;=60,"60 to 30mins",calls[[#This Row],[Duration]]&lt;=120,"1 to 2hrs",TRUE,"More than 2 hrs")</f>
        <v>60 to 30mins</v>
      </c>
      <c r="M898">
        <f>ROUND(calls[[#This Row],[Satisfaction Rating]],0)</f>
        <v>5</v>
      </c>
      <c r="N898">
        <f>COUNTIF(calls[Customer ID], calls[[#This Row],[Customer ID]])</f>
        <v>67</v>
      </c>
      <c r="O898">
        <f>SUMIF(calls[Customer ID], calls[[#This Row],[Customer ID]], calls[Purchase Amount])</f>
        <v>7216</v>
      </c>
      <c r="P898">
        <f>calls[[#This Row],[call count]]/calls[[#This Row],[Purchase Amount]]</f>
        <v>0.30454545454545456</v>
      </c>
      <c r="Q898">
        <f>COUNTIF(calls[Customer ID],calls[[#This Row],[Customer ID]])</f>
        <v>67</v>
      </c>
      <c r="R898">
        <f>calls[[#This Row],[call count]]/calls[[#This Row],[Purchase Amount]]</f>
        <v>0.30454545454545456</v>
      </c>
    </row>
    <row r="899" spans="1:18" x14ac:dyDescent="0.4">
      <c r="A899" t="s">
        <v>929</v>
      </c>
      <c r="B899" t="s">
        <v>11</v>
      </c>
      <c r="C899">
        <v>105</v>
      </c>
      <c r="D899" s="4" t="s">
        <v>23</v>
      </c>
      <c r="E899" s="5">
        <v>45237</v>
      </c>
      <c r="F899">
        <v>112</v>
      </c>
      <c r="G899">
        <f>AVERAGEIF(calls[Representative], calls[[#This Row],[Representative]], calls[Satisfaction Rating])</f>
        <v>3.8973118279569863</v>
      </c>
      <c r="H899" t="str">
        <f>IF(AVERAGEIF(calls[Representative],calls[[#This Row],[Representative]],calls[Satisfaction Rating])&lt;3.5,"Needs Training","OK")</f>
        <v>OK</v>
      </c>
      <c r="I899">
        <v>3.2</v>
      </c>
      <c r="J899">
        <f>IF(MONTH(calls[[#This Row],[Date of Call]])&lt;=6, YEAR(calls[[#This Row],[Date of Call]]), YEAR(calls[[#This Row],[Date of Call]])+1)</f>
        <v>2024</v>
      </c>
      <c r="K899" t="str">
        <f>TEXT(calls[[#This Row],[Date of Call]],"DDDD")</f>
        <v>Tuesday</v>
      </c>
      <c r="L899" t="str" cm="1">
        <f t="array" ref="L899">_xlfn.IFS(calls[[#This Row],[Duration]]&lt;=10,"under 10 mins",calls[[#This Row],[Duration]]&lt;=30,"10 to 30mins",calls[[#This Row],[Duration]]&lt;=60,"60 to 30mins",calls[[#This Row],[Duration]]&lt;=120,"1 to 2hrs",TRUE,"More than 2 hrs")</f>
        <v>1 to 2hrs</v>
      </c>
      <c r="M899">
        <f>ROUND(calls[[#This Row],[Satisfaction Rating]],0)</f>
        <v>3</v>
      </c>
      <c r="N899">
        <f>COUNTIF(calls[Customer ID], calls[[#This Row],[Customer ID]])</f>
        <v>60</v>
      </c>
      <c r="O899">
        <f>SUMIF(calls[Customer ID], calls[[#This Row],[Customer ID]], calls[Purchase Amount])</f>
        <v>5404</v>
      </c>
      <c r="P899">
        <f>calls[[#This Row],[call count]]/calls[[#This Row],[Purchase Amount]]</f>
        <v>0.5357142857142857</v>
      </c>
      <c r="Q899">
        <f>COUNTIF(calls[Customer ID],calls[[#This Row],[Customer ID]])</f>
        <v>60</v>
      </c>
      <c r="R899">
        <f>calls[[#This Row],[call count]]/calls[[#This Row],[Purchase Amount]]</f>
        <v>0.5357142857142857</v>
      </c>
    </row>
    <row r="900" spans="1:18" x14ac:dyDescent="0.4">
      <c r="A900" t="s">
        <v>930</v>
      </c>
      <c r="B900" t="s">
        <v>8</v>
      </c>
      <c r="C900">
        <v>91</v>
      </c>
      <c r="D900" s="4" t="s">
        <v>27</v>
      </c>
      <c r="E900" s="5">
        <v>45237</v>
      </c>
      <c r="F900">
        <v>110</v>
      </c>
      <c r="G900">
        <f>AVERAGEIF(calls[Representative], calls[[#This Row],[Representative]], calls[Satisfaction Rating])</f>
        <v>3.8589371980676304</v>
      </c>
      <c r="H900" t="str">
        <f>IF(AVERAGEIF(calls[Representative],calls[[#This Row],[Representative]],calls[Satisfaction Rating])&lt;3.5,"Needs Training","OK")</f>
        <v>OK</v>
      </c>
      <c r="I900">
        <v>3.7</v>
      </c>
      <c r="J900">
        <f>IF(MONTH(calls[[#This Row],[Date of Call]])&lt;=6, YEAR(calls[[#This Row],[Date of Call]]), YEAR(calls[[#This Row],[Date of Call]])+1)</f>
        <v>2024</v>
      </c>
      <c r="K900" t="str">
        <f>TEXT(calls[[#This Row],[Date of Call]],"DDDD")</f>
        <v>Tuesday</v>
      </c>
      <c r="L900" t="str" cm="1">
        <f t="array" ref="L900">_xlfn.IFS(calls[[#This Row],[Duration]]&lt;=10,"under 10 mins",calls[[#This Row],[Duration]]&lt;=30,"10 to 30mins",calls[[#This Row],[Duration]]&lt;=60,"60 to 30mins",calls[[#This Row],[Duration]]&lt;=120,"1 to 2hrs",TRUE,"More than 2 hrs")</f>
        <v>1 to 2hrs</v>
      </c>
      <c r="M900">
        <f>ROUND(calls[[#This Row],[Satisfaction Rating]],0)</f>
        <v>4</v>
      </c>
      <c r="N900">
        <f>COUNTIF(calls[Customer ID], calls[[#This Row],[Customer ID]])</f>
        <v>79</v>
      </c>
      <c r="O900">
        <f>SUMIF(calls[Customer ID], calls[[#This Row],[Customer ID]], calls[Purchase Amount])</f>
        <v>7747</v>
      </c>
      <c r="P900">
        <f>calls[[#This Row],[call count]]/calls[[#This Row],[Purchase Amount]]</f>
        <v>0.71818181818181814</v>
      </c>
      <c r="Q900">
        <f>COUNTIF(calls[Customer ID],calls[[#This Row],[Customer ID]])</f>
        <v>79</v>
      </c>
      <c r="R900">
        <f>calls[[#This Row],[call count]]/calls[[#This Row],[Purchase Amount]]</f>
        <v>0.71818181818181814</v>
      </c>
    </row>
    <row r="901" spans="1:18" x14ac:dyDescent="0.4">
      <c r="A901" t="s">
        <v>931</v>
      </c>
      <c r="B901" t="s">
        <v>51</v>
      </c>
      <c r="C901">
        <v>74</v>
      </c>
      <c r="D901" s="4" t="s">
        <v>2</v>
      </c>
      <c r="E901" s="5">
        <v>45238</v>
      </c>
      <c r="F901">
        <v>160</v>
      </c>
      <c r="G901">
        <f>AVERAGEIF(calls[Representative], calls[[#This Row],[Representative]], calls[Satisfaction Rating])</f>
        <v>3.8824999999999998</v>
      </c>
      <c r="H901" t="str">
        <f>IF(AVERAGEIF(calls[Representative],calls[[#This Row],[Representative]],calls[Satisfaction Rating])&lt;3.5,"Needs Training","OK")</f>
        <v>OK</v>
      </c>
      <c r="I901">
        <v>2.7</v>
      </c>
      <c r="J901">
        <f>IF(MONTH(calls[[#This Row],[Date of Call]])&lt;=6, YEAR(calls[[#This Row],[Date of Call]]), YEAR(calls[[#This Row],[Date of Call]])+1)</f>
        <v>2024</v>
      </c>
      <c r="K901" t="str">
        <f>TEXT(calls[[#This Row],[Date of Call]],"DDDD")</f>
        <v>Wednesday</v>
      </c>
      <c r="L901" t="str" cm="1">
        <f t="array" ref="L901">_xlfn.IFS(calls[[#This Row],[Duration]]&lt;=10,"under 10 mins",calls[[#This Row],[Duration]]&lt;=30,"10 to 30mins",calls[[#This Row],[Duration]]&lt;=60,"60 to 30mins",calls[[#This Row],[Duration]]&lt;=120,"1 to 2hrs",TRUE,"More than 2 hrs")</f>
        <v>1 to 2hrs</v>
      </c>
      <c r="M901">
        <f>ROUND(calls[[#This Row],[Satisfaction Rating]],0)</f>
        <v>3</v>
      </c>
      <c r="N901">
        <f>COUNTIF(calls[Customer ID], calls[[#This Row],[Customer ID]])</f>
        <v>59</v>
      </c>
      <c r="O901">
        <f>SUMIF(calls[Customer ID], calls[[#This Row],[Customer ID]], calls[Purchase Amount])</f>
        <v>6518</v>
      </c>
      <c r="P901">
        <f>calls[[#This Row],[call count]]/calls[[#This Row],[Purchase Amount]]</f>
        <v>0.36875000000000002</v>
      </c>
      <c r="Q901">
        <f>COUNTIF(calls[Customer ID],calls[[#This Row],[Customer ID]])</f>
        <v>59</v>
      </c>
      <c r="R901">
        <f>calls[[#This Row],[call count]]/calls[[#This Row],[Purchase Amount]]</f>
        <v>0.36875000000000002</v>
      </c>
    </row>
    <row r="902" spans="1:18" x14ac:dyDescent="0.4">
      <c r="A902" t="s">
        <v>932</v>
      </c>
      <c r="B902" t="s">
        <v>51</v>
      </c>
      <c r="C902">
        <v>30</v>
      </c>
      <c r="D902" s="4" t="s">
        <v>27</v>
      </c>
      <c r="E902" s="5">
        <v>45238</v>
      </c>
      <c r="F902">
        <v>84</v>
      </c>
      <c r="G902">
        <f>AVERAGEIF(calls[Representative], calls[[#This Row],[Representative]], calls[Satisfaction Rating])</f>
        <v>3.8589371980676304</v>
      </c>
      <c r="H902" t="str">
        <f>IF(AVERAGEIF(calls[Representative],calls[[#This Row],[Representative]],calls[Satisfaction Rating])&lt;3.5,"Needs Training","OK")</f>
        <v>OK</v>
      </c>
      <c r="I902">
        <v>4</v>
      </c>
      <c r="J902">
        <f>IF(MONTH(calls[[#This Row],[Date of Call]])&lt;=6, YEAR(calls[[#This Row],[Date of Call]]), YEAR(calls[[#This Row],[Date of Call]])+1)</f>
        <v>2024</v>
      </c>
      <c r="K902" t="str">
        <f>TEXT(calls[[#This Row],[Date of Call]],"DDDD")</f>
        <v>Wednesday</v>
      </c>
      <c r="L902" t="str" cm="1">
        <f t="array" ref="L902">_xlfn.IFS(calls[[#This Row],[Duration]]&lt;=10,"under 10 mins",calls[[#This Row],[Duration]]&lt;=30,"10 to 30mins",calls[[#This Row],[Duration]]&lt;=60,"60 to 30mins",calls[[#This Row],[Duration]]&lt;=120,"1 to 2hrs",TRUE,"More than 2 hrs")</f>
        <v>10 to 30mins</v>
      </c>
      <c r="M902">
        <f>ROUND(calls[[#This Row],[Satisfaction Rating]],0)</f>
        <v>4</v>
      </c>
      <c r="N902">
        <f>COUNTIF(calls[Customer ID], calls[[#This Row],[Customer ID]])</f>
        <v>59</v>
      </c>
      <c r="O902">
        <f>SUMIF(calls[Customer ID], calls[[#This Row],[Customer ID]], calls[Purchase Amount])</f>
        <v>6518</v>
      </c>
      <c r="P902">
        <f>calls[[#This Row],[call count]]/calls[[#This Row],[Purchase Amount]]</f>
        <v>0.70238095238095233</v>
      </c>
      <c r="Q902">
        <f>COUNTIF(calls[Customer ID],calls[[#This Row],[Customer ID]])</f>
        <v>59</v>
      </c>
      <c r="R902">
        <f>calls[[#This Row],[call count]]/calls[[#This Row],[Purchase Amount]]</f>
        <v>0.70238095238095233</v>
      </c>
    </row>
    <row r="903" spans="1:18" x14ac:dyDescent="0.4">
      <c r="A903" t="s">
        <v>933</v>
      </c>
      <c r="B903" t="s">
        <v>8</v>
      </c>
      <c r="C903">
        <v>56</v>
      </c>
      <c r="D903" s="4" t="s">
        <v>9</v>
      </c>
      <c r="E903" s="5">
        <v>45238</v>
      </c>
      <c r="F903">
        <v>124</v>
      </c>
      <c r="G903">
        <f>AVERAGEIF(calls[Representative], calls[[#This Row],[Representative]], calls[Satisfaction Rating])</f>
        <v>3.8706422018348627</v>
      </c>
      <c r="H903" t="str">
        <f>IF(AVERAGEIF(calls[Representative],calls[[#This Row],[Representative]],calls[Satisfaction Rating])&lt;3.5,"Needs Training","OK")</f>
        <v>OK</v>
      </c>
      <c r="I903">
        <v>2.6</v>
      </c>
      <c r="J903">
        <f>IF(MONTH(calls[[#This Row],[Date of Call]])&lt;=6, YEAR(calls[[#This Row],[Date of Call]]), YEAR(calls[[#This Row],[Date of Call]])+1)</f>
        <v>2024</v>
      </c>
      <c r="K903" t="str">
        <f>TEXT(calls[[#This Row],[Date of Call]],"DDDD")</f>
        <v>Wednesday</v>
      </c>
      <c r="L903" t="str" cm="1">
        <f t="array" ref="L903">_xlfn.IFS(calls[[#This Row],[Duration]]&lt;=10,"under 10 mins",calls[[#This Row],[Duration]]&lt;=30,"10 to 30mins",calls[[#This Row],[Duration]]&lt;=60,"60 to 30mins",calls[[#This Row],[Duration]]&lt;=120,"1 to 2hrs",TRUE,"More than 2 hrs")</f>
        <v>60 to 30mins</v>
      </c>
      <c r="M903">
        <f>ROUND(calls[[#This Row],[Satisfaction Rating]],0)</f>
        <v>3</v>
      </c>
      <c r="N903">
        <f>COUNTIF(calls[Customer ID], calls[[#This Row],[Customer ID]])</f>
        <v>79</v>
      </c>
      <c r="O903">
        <f>SUMIF(calls[Customer ID], calls[[#This Row],[Customer ID]], calls[Purchase Amount])</f>
        <v>7747</v>
      </c>
      <c r="P903">
        <f>calls[[#This Row],[call count]]/calls[[#This Row],[Purchase Amount]]</f>
        <v>0.63709677419354838</v>
      </c>
      <c r="Q903">
        <f>COUNTIF(calls[Customer ID],calls[[#This Row],[Customer ID]])</f>
        <v>79</v>
      </c>
      <c r="R903">
        <f>calls[[#This Row],[call count]]/calls[[#This Row],[Purchase Amount]]</f>
        <v>0.63709677419354838</v>
      </c>
    </row>
    <row r="904" spans="1:18" x14ac:dyDescent="0.4">
      <c r="A904" t="s">
        <v>934</v>
      </c>
      <c r="B904" t="s">
        <v>51</v>
      </c>
      <c r="C904">
        <v>151</v>
      </c>
      <c r="D904" s="4" t="s">
        <v>14</v>
      </c>
      <c r="E904" s="5">
        <v>45238</v>
      </c>
      <c r="F904">
        <v>84</v>
      </c>
      <c r="G904">
        <f>AVERAGEIF(calls[Representative], calls[[#This Row],[Representative]], calls[Satisfaction Rating])</f>
        <v>3.9227513227513247</v>
      </c>
      <c r="H904" t="str">
        <f>IF(AVERAGEIF(calls[Representative],calls[[#This Row],[Representative]],calls[Satisfaction Rating])&lt;3.5,"Needs Training","OK")</f>
        <v>OK</v>
      </c>
      <c r="I904">
        <v>4.5999999999999996</v>
      </c>
      <c r="J904">
        <f>IF(MONTH(calls[[#This Row],[Date of Call]])&lt;=6, YEAR(calls[[#This Row],[Date of Call]]), YEAR(calls[[#This Row],[Date of Call]])+1)</f>
        <v>2024</v>
      </c>
      <c r="K904" t="str">
        <f>TEXT(calls[[#This Row],[Date of Call]],"DDDD")</f>
        <v>Wednesday</v>
      </c>
      <c r="L904" t="str" cm="1">
        <f t="array" ref="L904">_xlfn.IFS(calls[[#This Row],[Duration]]&lt;=10,"under 10 mins",calls[[#This Row],[Duration]]&lt;=30,"10 to 30mins",calls[[#This Row],[Duration]]&lt;=60,"60 to 30mins",calls[[#This Row],[Duration]]&lt;=120,"1 to 2hrs",TRUE,"More than 2 hrs")</f>
        <v>More than 2 hrs</v>
      </c>
      <c r="M904">
        <f>ROUND(calls[[#This Row],[Satisfaction Rating]],0)</f>
        <v>5</v>
      </c>
      <c r="N904">
        <f>COUNTIF(calls[Customer ID], calls[[#This Row],[Customer ID]])</f>
        <v>59</v>
      </c>
      <c r="O904">
        <f>SUMIF(calls[Customer ID], calls[[#This Row],[Customer ID]], calls[Purchase Amount])</f>
        <v>6518</v>
      </c>
      <c r="P904">
        <f>calls[[#This Row],[call count]]/calls[[#This Row],[Purchase Amount]]</f>
        <v>0.70238095238095233</v>
      </c>
      <c r="Q904">
        <f>COUNTIF(calls[Customer ID],calls[[#This Row],[Customer ID]])</f>
        <v>59</v>
      </c>
      <c r="R904">
        <f>calls[[#This Row],[call count]]/calls[[#This Row],[Purchase Amount]]</f>
        <v>0.70238095238095233</v>
      </c>
    </row>
    <row r="905" spans="1:18" x14ac:dyDescent="0.4">
      <c r="A905" t="s">
        <v>935</v>
      </c>
      <c r="B905" t="s">
        <v>6</v>
      </c>
      <c r="C905">
        <v>108</v>
      </c>
      <c r="D905" s="4" t="s">
        <v>23</v>
      </c>
      <c r="E905" s="5">
        <v>45239</v>
      </c>
      <c r="F905">
        <v>130</v>
      </c>
      <c r="G905">
        <f>AVERAGEIF(calls[Representative], calls[[#This Row],[Representative]], calls[Satisfaction Rating])</f>
        <v>3.8973118279569863</v>
      </c>
      <c r="H905" t="str">
        <f>IF(AVERAGEIF(calls[Representative],calls[[#This Row],[Representative]],calls[Satisfaction Rating])&lt;3.5,"Needs Training","OK")</f>
        <v>OK</v>
      </c>
      <c r="I905">
        <v>2.7</v>
      </c>
      <c r="J905">
        <f>IF(MONTH(calls[[#This Row],[Date of Call]])&lt;=6, YEAR(calls[[#This Row],[Date of Call]]), YEAR(calls[[#This Row],[Date of Call]])+1)</f>
        <v>2024</v>
      </c>
      <c r="K905" t="str">
        <f>TEXT(calls[[#This Row],[Date of Call]],"DDDD")</f>
        <v>Thursday</v>
      </c>
      <c r="L905" t="str" cm="1">
        <f t="array" ref="L905">_xlfn.IFS(calls[[#This Row],[Duration]]&lt;=10,"under 10 mins",calls[[#This Row],[Duration]]&lt;=30,"10 to 30mins",calls[[#This Row],[Duration]]&lt;=60,"60 to 30mins",calls[[#This Row],[Duration]]&lt;=120,"1 to 2hrs",TRUE,"More than 2 hrs")</f>
        <v>1 to 2hrs</v>
      </c>
      <c r="M905">
        <f>ROUND(calls[[#This Row],[Satisfaction Rating]],0)</f>
        <v>3</v>
      </c>
      <c r="N905">
        <f>COUNTIF(calls[Customer ID], calls[[#This Row],[Customer ID]])</f>
        <v>82</v>
      </c>
      <c r="O905">
        <f>SUMIF(calls[Customer ID], calls[[#This Row],[Customer ID]], calls[Purchase Amount])</f>
        <v>7689</v>
      </c>
      <c r="P905">
        <f>calls[[#This Row],[call count]]/calls[[#This Row],[Purchase Amount]]</f>
        <v>0.63076923076923075</v>
      </c>
      <c r="Q905">
        <f>COUNTIF(calls[Customer ID],calls[[#This Row],[Customer ID]])</f>
        <v>82</v>
      </c>
      <c r="R905">
        <f>calls[[#This Row],[call count]]/calls[[#This Row],[Purchase Amount]]</f>
        <v>0.63076923076923075</v>
      </c>
    </row>
    <row r="906" spans="1:18" x14ac:dyDescent="0.4">
      <c r="A906" t="s">
        <v>936</v>
      </c>
      <c r="B906" t="s">
        <v>54</v>
      </c>
      <c r="C906">
        <v>124</v>
      </c>
      <c r="D906" s="4" t="s">
        <v>2</v>
      </c>
      <c r="E906" s="5">
        <v>45239</v>
      </c>
      <c r="F906">
        <v>215</v>
      </c>
      <c r="G906">
        <f>AVERAGEIF(calls[Representative], calls[[#This Row],[Representative]], calls[Satisfaction Rating])</f>
        <v>3.8824999999999998</v>
      </c>
      <c r="H906" t="str">
        <f>IF(AVERAGEIF(calls[Representative],calls[[#This Row],[Representative]],calls[Satisfaction Rating])&lt;3.5,"Needs Training","OK")</f>
        <v>OK</v>
      </c>
      <c r="I906">
        <v>3.5</v>
      </c>
      <c r="J906">
        <f>IF(MONTH(calls[[#This Row],[Date of Call]])&lt;=6, YEAR(calls[[#This Row],[Date of Call]]), YEAR(calls[[#This Row],[Date of Call]])+1)</f>
        <v>2024</v>
      </c>
      <c r="K906" t="str">
        <f>TEXT(calls[[#This Row],[Date of Call]],"DDDD")</f>
        <v>Thursday</v>
      </c>
      <c r="L906" t="str" cm="1">
        <f t="array" ref="L906">_xlfn.IFS(calls[[#This Row],[Duration]]&lt;=10,"under 10 mins",calls[[#This Row],[Duration]]&lt;=30,"10 to 30mins",calls[[#This Row],[Duration]]&lt;=60,"60 to 30mins",calls[[#This Row],[Duration]]&lt;=120,"1 to 2hrs",TRUE,"More than 2 hrs")</f>
        <v>More than 2 hrs</v>
      </c>
      <c r="M906">
        <f>ROUND(calls[[#This Row],[Satisfaction Rating]],0)</f>
        <v>4</v>
      </c>
      <c r="N906">
        <f>COUNTIF(calls[Customer ID], calls[[#This Row],[Customer ID]])</f>
        <v>70</v>
      </c>
      <c r="O906">
        <f>SUMIF(calls[Customer ID], calls[[#This Row],[Customer ID]], calls[Purchase Amount])</f>
        <v>6819</v>
      </c>
      <c r="P906">
        <f>calls[[#This Row],[call count]]/calls[[#This Row],[Purchase Amount]]</f>
        <v>0.32558139534883723</v>
      </c>
      <c r="Q906">
        <f>COUNTIF(calls[Customer ID],calls[[#This Row],[Customer ID]])</f>
        <v>70</v>
      </c>
      <c r="R906">
        <f>calls[[#This Row],[call count]]/calls[[#This Row],[Purchase Amount]]</f>
        <v>0.32558139534883723</v>
      </c>
    </row>
    <row r="907" spans="1:18" x14ac:dyDescent="0.4">
      <c r="A907" t="s">
        <v>937</v>
      </c>
      <c r="B907" t="s">
        <v>11</v>
      </c>
      <c r="C907">
        <v>110</v>
      </c>
      <c r="D907" s="4" t="s">
        <v>9</v>
      </c>
      <c r="E907" s="5">
        <v>45240</v>
      </c>
      <c r="F907">
        <v>132</v>
      </c>
      <c r="G907">
        <f>AVERAGEIF(calls[Representative], calls[[#This Row],[Representative]], calls[Satisfaction Rating])</f>
        <v>3.8706422018348627</v>
      </c>
      <c r="H907" t="str">
        <f>IF(AVERAGEIF(calls[Representative],calls[[#This Row],[Representative]],calls[Satisfaction Rating])&lt;3.5,"Needs Training","OK")</f>
        <v>OK</v>
      </c>
      <c r="I907">
        <v>3.6</v>
      </c>
      <c r="J907">
        <f>IF(MONTH(calls[[#This Row],[Date of Call]])&lt;=6, YEAR(calls[[#This Row],[Date of Call]]), YEAR(calls[[#This Row],[Date of Call]])+1)</f>
        <v>2024</v>
      </c>
      <c r="K907" t="str">
        <f>TEXT(calls[[#This Row],[Date of Call]],"DDDD")</f>
        <v>Friday</v>
      </c>
      <c r="L907" t="str" cm="1">
        <f t="array" ref="L907">_xlfn.IFS(calls[[#This Row],[Duration]]&lt;=10,"under 10 mins",calls[[#This Row],[Duration]]&lt;=30,"10 to 30mins",calls[[#This Row],[Duration]]&lt;=60,"60 to 30mins",calls[[#This Row],[Duration]]&lt;=120,"1 to 2hrs",TRUE,"More than 2 hrs")</f>
        <v>1 to 2hrs</v>
      </c>
      <c r="M907">
        <f>ROUND(calls[[#This Row],[Satisfaction Rating]],0)</f>
        <v>4</v>
      </c>
      <c r="N907">
        <f>COUNTIF(calls[Customer ID], calls[[#This Row],[Customer ID]])</f>
        <v>60</v>
      </c>
      <c r="O907">
        <f>SUMIF(calls[Customer ID], calls[[#This Row],[Customer ID]], calls[Purchase Amount])</f>
        <v>5404</v>
      </c>
      <c r="P907">
        <f>calls[[#This Row],[call count]]/calls[[#This Row],[Purchase Amount]]</f>
        <v>0.45454545454545453</v>
      </c>
      <c r="Q907">
        <f>COUNTIF(calls[Customer ID],calls[[#This Row],[Customer ID]])</f>
        <v>60</v>
      </c>
      <c r="R907">
        <f>calls[[#This Row],[call count]]/calls[[#This Row],[Purchase Amount]]</f>
        <v>0.45454545454545453</v>
      </c>
    </row>
    <row r="908" spans="1:18" x14ac:dyDescent="0.4">
      <c r="A908" t="s">
        <v>938</v>
      </c>
      <c r="B908" t="s">
        <v>26</v>
      </c>
      <c r="C908">
        <v>89</v>
      </c>
      <c r="D908" s="4" t="s">
        <v>23</v>
      </c>
      <c r="E908" s="5">
        <v>45240</v>
      </c>
      <c r="F908">
        <v>88</v>
      </c>
      <c r="G908">
        <f>AVERAGEIF(calls[Representative], calls[[#This Row],[Representative]], calls[Satisfaction Rating])</f>
        <v>3.8973118279569863</v>
      </c>
      <c r="H908" t="str">
        <f>IF(AVERAGEIF(calls[Representative],calls[[#This Row],[Representative]],calls[Satisfaction Rating])&lt;3.5,"Needs Training","OK")</f>
        <v>OK</v>
      </c>
      <c r="I908">
        <v>4.9000000000000004</v>
      </c>
      <c r="J908">
        <f>IF(MONTH(calls[[#This Row],[Date of Call]])&lt;=6, YEAR(calls[[#This Row],[Date of Call]]), YEAR(calls[[#This Row],[Date of Call]])+1)</f>
        <v>2024</v>
      </c>
      <c r="K908" t="str">
        <f>TEXT(calls[[#This Row],[Date of Call]],"DDDD")</f>
        <v>Friday</v>
      </c>
      <c r="L908" t="str" cm="1">
        <f t="array" ref="L908">_xlfn.IFS(calls[[#This Row],[Duration]]&lt;=10,"under 10 mins",calls[[#This Row],[Duration]]&lt;=30,"10 to 30mins",calls[[#This Row],[Duration]]&lt;=60,"60 to 30mins",calls[[#This Row],[Duration]]&lt;=120,"1 to 2hrs",TRUE,"More than 2 hrs")</f>
        <v>1 to 2hrs</v>
      </c>
      <c r="M908">
        <f>ROUND(calls[[#This Row],[Satisfaction Rating]],0)</f>
        <v>5</v>
      </c>
      <c r="N908">
        <f>COUNTIF(calls[Customer ID], calls[[#This Row],[Customer ID]])</f>
        <v>72</v>
      </c>
      <c r="O908">
        <f>SUMIF(calls[Customer ID], calls[[#This Row],[Customer ID]], calls[Purchase Amount])</f>
        <v>6242</v>
      </c>
      <c r="P908">
        <f>calls[[#This Row],[call count]]/calls[[#This Row],[Purchase Amount]]</f>
        <v>0.81818181818181823</v>
      </c>
      <c r="Q908">
        <f>COUNTIF(calls[Customer ID],calls[[#This Row],[Customer ID]])</f>
        <v>72</v>
      </c>
      <c r="R908">
        <f>calls[[#This Row],[call count]]/calls[[#This Row],[Purchase Amount]]</f>
        <v>0.81818181818181823</v>
      </c>
    </row>
    <row r="909" spans="1:18" x14ac:dyDescent="0.4">
      <c r="A909" t="s">
        <v>939</v>
      </c>
      <c r="B909" t="s">
        <v>1</v>
      </c>
      <c r="C909">
        <v>95</v>
      </c>
      <c r="D909" s="4" t="s">
        <v>9</v>
      </c>
      <c r="E909" s="5">
        <v>45240</v>
      </c>
      <c r="F909">
        <v>140</v>
      </c>
      <c r="G909">
        <f>AVERAGEIF(calls[Representative], calls[[#This Row],[Representative]], calls[Satisfaction Rating])</f>
        <v>3.8706422018348627</v>
      </c>
      <c r="H909" t="str">
        <f>IF(AVERAGEIF(calls[Representative],calls[[#This Row],[Representative]],calls[Satisfaction Rating])&lt;3.5,"Needs Training","OK")</f>
        <v>OK</v>
      </c>
      <c r="I909">
        <v>3.9</v>
      </c>
      <c r="J909">
        <f>IF(MONTH(calls[[#This Row],[Date of Call]])&lt;=6, YEAR(calls[[#This Row],[Date of Call]]), YEAR(calls[[#This Row],[Date of Call]])+1)</f>
        <v>2024</v>
      </c>
      <c r="K909" t="str">
        <f>TEXT(calls[[#This Row],[Date of Call]],"DDDD")</f>
        <v>Friday</v>
      </c>
      <c r="L909" t="str" cm="1">
        <f t="array" ref="L909">_xlfn.IFS(calls[[#This Row],[Duration]]&lt;=10,"under 10 mins",calls[[#This Row],[Duration]]&lt;=30,"10 to 30mins",calls[[#This Row],[Duration]]&lt;=60,"60 to 30mins",calls[[#This Row],[Duration]]&lt;=120,"1 to 2hrs",TRUE,"More than 2 hrs")</f>
        <v>1 to 2hrs</v>
      </c>
      <c r="M909">
        <f>ROUND(calls[[#This Row],[Satisfaction Rating]],0)</f>
        <v>4</v>
      </c>
      <c r="N909">
        <f>COUNTIF(calls[Customer ID], calls[[#This Row],[Customer ID]])</f>
        <v>50</v>
      </c>
      <c r="O909">
        <f>SUMIF(calls[Customer ID], calls[[#This Row],[Customer ID]], calls[Purchase Amount])</f>
        <v>4804</v>
      </c>
      <c r="P909">
        <f>calls[[#This Row],[call count]]/calls[[#This Row],[Purchase Amount]]</f>
        <v>0.35714285714285715</v>
      </c>
      <c r="Q909">
        <f>COUNTIF(calls[Customer ID],calls[[#This Row],[Customer ID]])</f>
        <v>50</v>
      </c>
      <c r="R909">
        <f>calls[[#This Row],[call count]]/calls[[#This Row],[Purchase Amount]]</f>
        <v>0.35714285714285715</v>
      </c>
    </row>
    <row r="910" spans="1:18" x14ac:dyDescent="0.4">
      <c r="A910" t="s">
        <v>940</v>
      </c>
      <c r="B910" t="s">
        <v>51</v>
      </c>
      <c r="C910">
        <v>84</v>
      </c>
      <c r="D910" s="4" t="s">
        <v>23</v>
      </c>
      <c r="E910" s="5">
        <v>45241</v>
      </c>
      <c r="F910">
        <v>66</v>
      </c>
      <c r="G910">
        <f>AVERAGEIF(calls[Representative], calls[[#This Row],[Representative]], calls[Satisfaction Rating])</f>
        <v>3.8973118279569863</v>
      </c>
      <c r="H910" t="str">
        <f>IF(AVERAGEIF(calls[Representative],calls[[#This Row],[Representative]],calls[Satisfaction Rating])&lt;3.5,"Needs Training","OK")</f>
        <v>OK</v>
      </c>
      <c r="I910">
        <v>4.7</v>
      </c>
      <c r="J910">
        <f>IF(MONTH(calls[[#This Row],[Date of Call]])&lt;=6, YEAR(calls[[#This Row],[Date of Call]]), YEAR(calls[[#This Row],[Date of Call]])+1)</f>
        <v>2024</v>
      </c>
      <c r="K910" t="str">
        <f>TEXT(calls[[#This Row],[Date of Call]],"DDDD")</f>
        <v>Saturday</v>
      </c>
      <c r="L910" t="str" cm="1">
        <f t="array" ref="L910">_xlfn.IFS(calls[[#This Row],[Duration]]&lt;=10,"under 10 mins",calls[[#This Row],[Duration]]&lt;=30,"10 to 30mins",calls[[#This Row],[Duration]]&lt;=60,"60 to 30mins",calls[[#This Row],[Duration]]&lt;=120,"1 to 2hrs",TRUE,"More than 2 hrs")</f>
        <v>1 to 2hrs</v>
      </c>
      <c r="M910">
        <f>ROUND(calls[[#This Row],[Satisfaction Rating]],0)</f>
        <v>5</v>
      </c>
      <c r="N910">
        <f>COUNTIF(calls[Customer ID], calls[[#This Row],[Customer ID]])</f>
        <v>59</v>
      </c>
      <c r="O910">
        <f>SUMIF(calls[Customer ID], calls[[#This Row],[Customer ID]], calls[Purchase Amount])</f>
        <v>6518</v>
      </c>
      <c r="P910">
        <f>calls[[#This Row],[call count]]/calls[[#This Row],[Purchase Amount]]</f>
        <v>0.89393939393939392</v>
      </c>
      <c r="Q910">
        <f>COUNTIF(calls[Customer ID],calls[[#This Row],[Customer ID]])</f>
        <v>59</v>
      </c>
      <c r="R910">
        <f>calls[[#This Row],[call count]]/calls[[#This Row],[Purchase Amount]]</f>
        <v>0.89393939393939392</v>
      </c>
    </row>
    <row r="911" spans="1:18" x14ac:dyDescent="0.4">
      <c r="A911" t="s">
        <v>941</v>
      </c>
      <c r="B911" t="s">
        <v>32</v>
      </c>
      <c r="C911">
        <v>89</v>
      </c>
      <c r="D911" s="4" t="s">
        <v>2</v>
      </c>
      <c r="E911" s="5">
        <v>45241</v>
      </c>
      <c r="F911">
        <v>23</v>
      </c>
      <c r="G911">
        <f>AVERAGEIF(calls[Representative], calls[[#This Row],[Representative]], calls[Satisfaction Rating])</f>
        <v>3.8824999999999998</v>
      </c>
      <c r="H911" t="str">
        <f>IF(AVERAGEIF(calls[Representative],calls[[#This Row],[Representative]],calls[Satisfaction Rating])&lt;3.5,"Needs Training","OK")</f>
        <v>OK</v>
      </c>
      <c r="I911">
        <v>4.5</v>
      </c>
      <c r="J911">
        <f>IF(MONTH(calls[[#This Row],[Date of Call]])&lt;=6, YEAR(calls[[#This Row],[Date of Call]]), YEAR(calls[[#This Row],[Date of Call]])+1)</f>
        <v>2024</v>
      </c>
      <c r="K911" t="str">
        <f>TEXT(calls[[#This Row],[Date of Call]],"DDDD")</f>
        <v>Saturday</v>
      </c>
      <c r="L911" t="str" cm="1">
        <f t="array" ref="L911">_xlfn.IFS(calls[[#This Row],[Duration]]&lt;=10,"under 10 mins",calls[[#This Row],[Duration]]&lt;=30,"10 to 30mins",calls[[#This Row],[Duration]]&lt;=60,"60 to 30mins",calls[[#This Row],[Duration]]&lt;=120,"1 to 2hrs",TRUE,"More than 2 hrs")</f>
        <v>1 to 2hrs</v>
      </c>
      <c r="M911">
        <f>ROUND(calls[[#This Row],[Satisfaction Rating]],0)</f>
        <v>5</v>
      </c>
      <c r="N911">
        <f>COUNTIF(calls[Customer ID], calls[[#This Row],[Customer ID]])</f>
        <v>63</v>
      </c>
      <c r="O911">
        <f>SUMIF(calls[Customer ID], calls[[#This Row],[Customer ID]], calls[Purchase Amount])</f>
        <v>5634</v>
      </c>
      <c r="P911">
        <f>calls[[#This Row],[call count]]/calls[[#This Row],[Purchase Amount]]</f>
        <v>2.7391304347826089</v>
      </c>
      <c r="Q911">
        <f>COUNTIF(calls[Customer ID],calls[[#This Row],[Customer ID]])</f>
        <v>63</v>
      </c>
      <c r="R911">
        <f>calls[[#This Row],[call count]]/calls[[#This Row],[Purchase Amount]]</f>
        <v>2.7391304347826089</v>
      </c>
    </row>
    <row r="912" spans="1:18" x14ac:dyDescent="0.4">
      <c r="A912" t="s">
        <v>942</v>
      </c>
      <c r="B912" t="s">
        <v>26</v>
      </c>
      <c r="C912">
        <v>146</v>
      </c>
      <c r="D912" s="4" t="s">
        <v>2</v>
      </c>
      <c r="E912" s="5">
        <v>45242</v>
      </c>
      <c r="F912">
        <v>220</v>
      </c>
      <c r="G912">
        <f>AVERAGEIF(calls[Representative], calls[[#This Row],[Representative]], calls[Satisfaction Rating])</f>
        <v>3.8824999999999998</v>
      </c>
      <c r="H912" t="str">
        <f>IF(AVERAGEIF(calls[Representative],calls[[#This Row],[Representative]],calls[Satisfaction Rating])&lt;3.5,"Needs Training","OK")</f>
        <v>OK</v>
      </c>
      <c r="I912">
        <v>4.5</v>
      </c>
      <c r="J912">
        <f>IF(MONTH(calls[[#This Row],[Date of Call]])&lt;=6, YEAR(calls[[#This Row],[Date of Call]]), YEAR(calls[[#This Row],[Date of Call]])+1)</f>
        <v>2024</v>
      </c>
      <c r="K912" t="str">
        <f>TEXT(calls[[#This Row],[Date of Call]],"DDDD")</f>
        <v>Sunday</v>
      </c>
      <c r="L912" t="str" cm="1">
        <f t="array" ref="L912">_xlfn.IFS(calls[[#This Row],[Duration]]&lt;=10,"under 10 mins",calls[[#This Row],[Duration]]&lt;=30,"10 to 30mins",calls[[#This Row],[Duration]]&lt;=60,"60 to 30mins",calls[[#This Row],[Duration]]&lt;=120,"1 to 2hrs",TRUE,"More than 2 hrs")</f>
        <v>More than 2 hrs</v>
      </c>
      <c r="M912">
        <f>ROUND(calls[[#This Row],[Satisfaction Rating]],0)</f>
        <v>5</v>
      </c>
      <c r="N912">
        <f>COUNTIF(calls[Customer ID], calls[[#This Row],[Customer ID]])</f>
        <v>72</v>
      </c>
      <c r="O912">
        <f>SUMIF(calls[Customer ID], calls[[#This Row],[Customer ID]], calls[Purchase Amount])</f>
        <v>6242</v>
      </c>
      <c r="P912">
        <f>calls[[#This Row],[call count]]/calls[[#This Row],[Purchase Amount]]</f>
        <v>0.32727272727272727</v>
      </c>
      <c r="Q912">
        <f>COUNTIF(calls[Customer ID],calls[[#This Row],[Customer ID]])</f>
        <v>72</v>
      </c>
      <c r="R912">
        <f>calls[[#This Row],[call count]]/calls[[#This Row],[Purchase Amount]]</f>
        <v>0.32727272727272727</v>
      </c>
    </row>
    <row r="913" spans="1:18" x14ac:dyDescent="0.4">
      <c r="A913" t="s">
        <v>943</v>
      </c>
      <c r="B913" t="s">
        <v>30</v>
      </c>
      <c r="C913">
        <v>62</v>
      </c>
      <c r="D913" s="4" t="s">
        <v>27</v>
      </c>
      <c r="E913" s="5">
        <v>45243</v>
      </c>
      <c r="F913">
        <v>175</v>
      </c>
      <c r="G913">
        <f>AVERAGEIF(calls[Representative], calls[[#This Row],[Representative]], calls[Satisfaction Rating])</f>
        <v>3.8589371980676304</v>
      </c>
      <c r="H913" t="str">
        <f>IF(AVERAGEIF(calls[Representative],calls[[#This Row],[Representative]],calls[Satisfaction Rating])&lt;3.5,"Needs Training","OK")</f>
        <v>OK</v>
      </c>
      <c r="I913">
        <v>4.4000000000000004</v>
      </c>
      <c r="J913">
        <f>IF(MONTH(calls[[#This Row],[Date of Call]])&lt;=6, YEAR(calls[[#This Row],[Date of Call]]), YEAR(calls[[#This Row],[Date of Call]])+1)</f>
        <v>2024</v>
      </c>
      <c r="K913" t="str">
        <f>TEXT(calls[[#This Row],[Date of Call]],"DDDD")</f>
        <v>Monday</v>
      </c>
      <c r="L913" t="str" cm="1">
        <f t="array" ref="L913">_xlfn.IFS(calls[[#This Row],[Duration]]&lt;=10,"under 10 mins",calls[[#This Row],[Duration]]&lt;=30,"10 to 30mins",calls[[#This Row],[Duration]]&lt;=60,"60 to 30mins",calls[[#This Row],[Duration]]&lt;=120,"1 to 2hrs",TRUE,"More than 2 hrs")</f>
        <v>1 to 2hrs</v>
      </c>
      <c r="M913">
        <f>ROUND(calls[[#This Row],[Satisfaction Rating]],0)</f>
        <v>4</v>
      </c>
      <c r="N913">
        <f>COUNTIF(calls[Customer ID], calls[[#This Row],[Customer ID]])</f>
        <v>69</v>
      </c>
      <c r="O913">
        <f>SUMIF(calls[Customer ID], calls[[#This Row],[Customer ID]], calls[Purchase Amount])</f>
        <v>7230</v>
      </c>
      <c r="P913">
        <f>calls[[#This Row],[call count]]/calls[[#This Row],[Purchase Amount]]</f>
        <v>0.39428571428571429</v>
      </c>
      <c r="Q913">
        <f>COUNTIF(calls[Customer ID],calls[[#This Row],[Customer ID]])</f>
        <v>69</v>
      </c>
      <c r="R913">
        <f>calls[[#This Row],[call count]]/calls[[#This Row],[Purchase Amount]]</f>
        <v>0.39428571428571429</v>
      </c>
    </row>
    <row r="914" spans="1:18" x14ac:dyDescent="0.4">
      <c r="A914" t="s">
        <v>944</v>
      </c>
      <c r="B914" t="s">
        <v>64</v>
      </c>
      <c r="C914">
        <v>82</v>
      </c>
      <c r="D914" s="4" t="s">
        <v>2</v>
      </c>
      <c r="E914" s="5">
        <v>45243</v>
      </c>
      <c r="F914">
        <v>172</v>
      </c>
      <c r="G914">
        <f>AVERAGEIF(calls[Representative], calls[[#This Row],[Representative]], calls[Satisfaction Rating])</f>
        <v>3.8824999999999998</v>
      </c>
      <c r="H914" t="str">
        <f>IF(AVERAGEIF(calls[Representative],calls[[#This Row],[Representative]],calls[Satisfaction Rating])&lt;3.5,"Needs Training","OK")</f>
        <v>OK</v>
      </c>
      <c r="I914">
        <v>4.0999999999999996</v>
      </c>
      <c r="J914">
        <f>IF(MONTH(calls[[#This Row],[Date of Call]])&lt;=6, YEAR(calls[[#This Row],[Date of Call]]), YEAR(calls[[#This Row],[Date of Call]])+1)</f>
        <v>2024</v>
      </c>
      <c r="K914" t="str">
        <f>TEXT(calls[[#This Row],[Date of Call]],"DDDD")</f>
        <v>Monday</v>
      </c>
      <c r="L914" t="str" cm="1">
        <f t="array" ref="L914">_xlfn.IFS(calls[[#This Row],[Duration]]&lt;=10,"under 10 mins",calls[[#This Row],[Duration]]&lt;=30,"10 to 30mins",calls[[#This Row],[Duration]]&lt;=60,"60 to 30mins",calls[[#This Row],[Duration]]&lt;=120,"1 to 2hrs",TRUE,"More than 2 hrs")</f>
        <v>1 to 2hrs</v>
      </c>
      <c r="M914">
        <f>ROUND(calls[[#This Row],[Satisfaction Rating]],0)</f>
        <v>4</v>
      </c>
      <c r="N914">
        <f>COUNTIF(calls[Customer ID], calls[[#This Row],[Customer ID]])</f>
        <v>65</v>
      </c>
      <c r="O914">
        <f>SUMIF(calls[Customer ID], calls[[#This Row],[Customer ID]], calls[Purchase Amount])</f>
        <v>6785</v>
      </c>
      <c r="P914">
        <f>calls[[#This Row],[call count]]/calls[[#This Row],[Purchase Amount]]</f>
        <v>0.37790697674418605</v>
      </c>
      <c r="Q914">
        <f>COUNTIF(calls[Customer ID],calls[[#This Row],[Customer ID]])</f>
        <v>65</v>
      </c>
      <c r="R914">
        <f>calls[[#This Row],[call count]]/calls[[#This Row],[Purchase Amount]]</f>
        <v>0.37790697674418605</v>
      </c>
    </row>
    <row r="915" spans="1:18" x14ac:dyDescent="0.4">
      <c r="A915" t="s">
        <v>945</v>
      </c>
      <c r="B915" t="s">
        <v>40</v>
      </c>
      <c r="C915">
        <v>91</v>
      </c>
      <c r="D915" s="4" t="s">
        <v>14</v>
      </c>
      <c r="E915" s="5">
        <v>45243</v>
      </c>
      <c r="F915">
        <v>108</v>
      </c>
      <c r="G915">
        <f>AVERAGEIF(calls[Representative], calls[[#This Row],[Representative]], calls[Satisfaction Rating])</f>
        <v>3.9227513227513247</v>
      </c>
      <c r="H915" t="str">
        <f>IF(AVERAGEIF(calls[Representative],calls[[#This Row],[Representative]],calls[Satisfaction Rating])&lt;3.5,"Needs Training","OK")</f>
        <v>OK</v>
      </c>
      <c r="I915">
        <v>3.8</v>
      </c>
      <c r="J915">
        <f>IF(MONTH(calls[[#This Row],[Date of Call]])&lt;=6, YEAR(calls[[#This Row],[Date of Call]]), YEAR(calls[[#This Row],[Date of Call]])+1)</f>
        <v>2024</v>
      </c>
      <c r="K915" t="str">
        <f>TEXT(calls[[#This Row],[Date of Call]],"DDDD")</f>
        <v>Monday</v>
      </c>
      <c r="L915" t="str" cm="1">
        <f t="array" ref="L915">_xlfn.IFS(calls[[#This Row],[Duration]]&lt;=10,"under 10 mins",calls[[#This Row],[Duration]]&lt;=30,"10 to 30mins",calls[[#This Row],[Duration]]&lt;=60,"60 to 30mins",calls[[#This Row],[Duration]]&lt;=120,"1 to 2hrs",TRUE,"More than 2 hrs")</f>
        <v>1 to 2hrs</v>
      </c>
      <c r="M915">
        <f>ROUND(calls[[#This Row],[Satisfaction Rating]],0)</f>
        <v>4</v>
      </c>
      <c r="N915">
        <f>COUNTIF(calls[Customer ID], calls[[#This Row],[Customer ID]])</f>
        <v>69</v>
      </c>
      <c r="O915">
        <f>SUMIF(calls[Customer ID], calls[[#This Row],[Customer ID]], calls[Purchase Amount])</f>
        <v>6601</v>
      </c>
      <c r="P915">
        <f>calls[[#This Row],[call count]]/calls[[#This Row],[Purchase Amount]]</f>
        <v>0.63888888888888884</v>
      </c>
      <c r="Q915">
        <f>COUNTIF(calls[Customer ID],calls[[#This Row],[Customer ID]])</f>
        <v>69</v>
      </c>
      <c r="R915">
        <f>calls[[#This Row],[call count]]/calls[[#This Row],[Purchase Amount]]</f>
        <v>0.63888888888888884</v>
      </c>
    </row>
    <row r="916" spans="1:18" x14ac:dyDescent="0.4">
      <c r="A916" t="s">
        <v>946</v>
      </c>
      <c r="B916" t="s">
        <v>32</v>
      </c>
      <c r="C916">
        <v>39</v>
      </c>
      <c r="D916" s="4" t="s">
        <v>2</v>
      </c>
      <c r="E916" s="5">
        <v>45244</v>
      </c>
      <c r="F916">
        <v>43</v>
      </c>
      <c r="G916">
        <f>AVERAGEIF(calls[Representative], calls[[#This Row],[Representative]], calls[Satisfaction Rating])</f>
        <v>3.8824999999999998</v>
      </c>
      <c r="H916" t="str">
        <f>IF(AVERAGEIF(calls[Representative],calls[[#This Row],[Representative]],calls[Satisfaction Rating])&lt;3.5,"Needs Training","OK")</f>
        <v>OK</v>
      </c>
      <c r="I916">
        <v>4.2</v>
      </c>
      <c r="J916">
        <f>IF(MONTH(calls[[#This Row],[Date of Call]])&lt;=6, YEAR(calls[[#This Row],[Date of Call]]), YEAR(calls[[#This Row],[Date of Call]])+1)</f>
        <v>2024</v>
      </c>
      <c r="K916" t="str">
        <f>TEXT(calls[[#This Row],[Date of Call]],"DDDD")</f>
        <v>Tuesday</v>
      </c>
      <c r="L916" t="str" cm="1">
        <f t="array" ref="L916">_xlfn.IFS(calls[[#This Row],[Duration]]&lt;=10,"under 10 mins",calls[[#This Row],[Duration]]&lt;=30,"10 to 30mins",calls[[#This Row],[Duration]]&lt;=60,"60 to 30mins",calls[[#This Row],[Duration]]&lt;=120,"1 to 2hrs",TRUE,"More than 2 hrs")</f>
        <v>60 to 30mins</v>
      </c>
      <c r="M916">
        <f>ROUND(calls[[#This Row],[Satisfaction Rating]],0)</f>
        <v>4</v>
      </c>
      <c r="N916">
        <f>COUNTIF(calls[Customer ID], calls[[#This Row],[Customer ID]])</f>
        <v>63</v>
      </c>
      <c r="O916">
        <f>SUMIF(calls[Customer ID], calls[[#This Row],[Customer ID]], calls[Purchase Amount])</f>
        <v>5634</v>
      </c>
      <c r="P916">
        <f>calls[[#This Row],[call count]]/calls[[#This Row],[Purchase Amount]]</f>
        <v>1.4651162790697674</v>
      </c>
      <c r="Q916">
        <f>COUNTIF(calls[Customer ID],calls[[#This Row],[Customer ID]])</f>
        <v>63</v>
      </c>
      <c r="R916">
        <f>calls[[#This Row],[call count]]/calls[[#This Row],[Purchase Amount]]</f>
        <v>1.4651162790697674</v>
      </c>
    </row>
    <row r="917" spans="1:18" x14ac:dyDescent="0.4">
      <c r="A917" t="s">
        <v>947</v>
      </c>
      <c r="B917" t="s">
        <v>26</v>
      </c>
      <c r="C917">
        <v>149</v>
      </c>
      <c r="D917" s="4" t="s">
        <v>9</v>
      </c>
      <c r="E917" s="5">
        <v>45244</v>
      </c>
      <c r="F917">
        <v>44</v>
      </c>
      <c r="G917">
        <f>AVERAGEIF(calls[Representative], calls[[#This Row],[Representative]], calls[Satisfaction Rating])</f>
        <v>3.8706422018348627</v>
      </c>
      <c r="H917" t="str">
        <f>IF(AVERAGEIF(calls[Representative],calls[[#This Row],[Representative]],calls[Satisfaction Rating])&lt;3.5,"Needs Training","OK")</f>
        <v>OK</v>
      </c>
      <c r="I917">
        <v>2.2000000000000002</v>
      </c>
      <c r="J917">
        <f>IF(MONTH(calls[[#This Row],[Date of Call]])&lt;=6, YEAR(calls[[#This Row],[Date of Call]]), YEAR(calls[[#This Row],[Date of Call]])+1)</f>
        <v>2024</v>
      </c>
      <c r="K917" t="str">
        <f>TEXT(calls[[#This Row],[Date of Call]],"DDDD")</f>
        <v>Tuesday</v>
      </c>
      <c r="L917" t="str" cm="1">
        <f t="array" ref="L917">_xlfn.IFS(calls[[#This Row],[Duration]]&lt;=10,"under 10 mins",calls[[#This Row],[Duration]]&lt;=30,"10 to 30mins",calls[[#This Row],[Duration]]&lt;=60,"60 to 30mins",calls[[#This Row],[Duration]]&lt;=120,"1 to 2hrs",TRUE,"More than 2 hrs")</f>
        <v>More than 2 hrs</v>
      </c>
      <c r="M917">
        <f>ROUND(calls[[#This Row],[Satisfaction Rating]],0)</f>
        <v>2</v>
      </c>
      <c r="N917">
        <f>COUNTIF(calls[Customer ID], calls[[#This Row],[Customer ID]])</f>
        <v>72</v>
      </c>
      <c r="O917">
        <f>SUMIF(calls[Customer ID], calls[[#This Row],[Customer ID]], calls[Purchase Amount])</f>
        <v>6242</v>
      </c>
      <c r="P917">
        <f>calls[[#This Row],[call count]]/calls[[#This Row],[Purchase Amount]]</f>
        <v>1.6363636363636365</v>
      </c>
      <c r="Q917">
        <f>COUNTIF(calls[Customer ID],calls[[#This Row],[Customer ID]])</f>
        <v>72</v>
      </c>
      <c r="R917">
        <f>calls[[#This Row],[call count]]/calls[[#This Row],[Purchase Amount]]</f>
        <v>1.6363636363636365</v>
      </c>
    </row>
    <row r="918" spans="1:18" x14ac:dyDescent="0.4">
      <c r="A918" t="s">
        <v>948</v>
      </c>
      <c r="B918" t="s">
        <v>64</v>
      </c>
      <c r="C918">
        <v>138</v>
      </c>
      <c r="D918" s="4" t="s">
        <v>27</v>
      </c>
      <c r="E918" s="5">
        <v>45244</v>
      </c>
      <c r="F918">
        <v>105</v>
      </c>
      <c r="G918">
        <f>AVERAGEIF(calls[Representative], calls[[#This Row],[Representative]], calls[Satisfaction Rating])</f>
        <v>3.8589371980676304</v>
      </c>
      <c r="H918" t="str">
        <f>IF(AVERAGEIF(calls[Representative],calls[[#This Row],[Representative]],calls[Satisfaction Rating])&lt;3.5,"Needs Training","OK")</f>
        <v>OK</v>
      </c>
      <c r="I918">
        <v>3.9</v>
      </c>
      <c r="J918">
        <f>IF(MONTH(calls[[#This Row],[Date of Call]])&lt;=6, YEAR(calls[[#This Row],[Date of Call]]), YEAR(calls[[#This Row],[Date of Call]])+1)</f>
        <v>2024</v>
      </c>
      <c r="K918" t="str">
        <f>TEXT(calls[[#This Row],[Date of Call]],"DDDD")</f>
        <v>Tuesday</v>
      </c>
      <c r="L918" t="str" cm="1">
        <f t="array" ref="L918">_xlfn.IFS(calls[[#This Row],[Duration]]&lt;=10,"under 10 mins",calls[[#This Row],[Duration]]&lt;=30,"10 to 30mins",calls[[#This Row],[Duration]]&lt;=60,"60 to 30mins",calls[[#This Row],[Duration]]&lt;=120,"1 to 2hrs",TRUE,"More than 2 hrs")</f>
        <v>More than 2 hrs</v>
      </c>
      <c r="M918">
        <f>ROUND(calls[[#This Row],[Satisfaction Rating]],0)</f>
        <v>4</v>
      </c>
      <c r="N918">
        <f>COUNTIF(calls[Customer ID], calls[[#This Row],[Customer ID]])</f>
        <v>65</v>
      </c>
      <c r="O918">
        <f>SUMIF(calls[Customer ID], calls[[#This Row],[Customer ID]], calls[Purchase Amount])</f>
        <v>6785</v>
      </c>
      <c r="P918">
        <f>calls[[#This Row],[call count]]/calls[[#This Row],[Purchase Amount]]</f>
        <v>0.61904761904761907</v>
      </c>
      <c r="Q918">
        <f>COUNTIF(calls[Customer ID],calls[[#This Row],[Customer ID]])</f>
        <v>65</v>
      </c>
      <c r="R918">
        <f>calls[[#This Row],[call count]]/calls[[#This Row],[Purchase Amount]]</f>
        <v>0.61904761904761907</v>
      </c>
    </row>
    <row r="919" spans="1:18" x14ac:dyDescent="0.4">
      <c r="A919" t="s">
        <v>949</v>
      </c>
      <c r="B919" t="s">
        <v>30</v>
      </c>
      <c r="C919">
        <v>113</v>
      </c>
      <c r="D919" s="4" t="s">
        <v>9</v>
      </c>
      <c r="E919" s="5">
        <v>45245</v>
      </c>
      <c r="F919">
        <v>34</v>
      </c>
      <c r="G919">
        <f>AVERAGEIF(calls[Representative], calls[[#This Row],[Representative]], calls[Satisfaction Rating])</f>
        <v>3.8706422018348627</v>
      </c>
      <c r="H919" t="str">
        <f>IF(AVERAGEIF(calls[Representative],calls[[#This Row],[Representative]],calls[Satisfaction Rating])&lt;3.5,"Needs Training","OK")</f>
        <v>OK</v>
      </c>
      <c r="I919">
        <v>3.9</v>
      </c>
      <c r="J919">
        <f>IF(MONTH(calls[[#This Row],[Date of Call]])&lt;=6, YEAR(calls[[#This Row],[Date of Call]]), YEAR(calls[[#This Row],[Date of Call]])+1)</f>
        <v>2024</v>
      </c>
      <c r="K919" t="str">
        <f>TEXT(calls[[#This Row],[Date of Call]],"DDDD")</f>
        <v>Wednesday</v>
      </c>
      <c r="L919" t="str" cm="1">
        <f t="array" ref="L919">_xlfn.IFS(calls[[#This Row],[Duration]]&lt;=10,"under 10 mins",calls[[#This Row],[Duration]]&lt;=30,"10 to 30mins",calls[[#This Row],[Duration]]&lt;=60,"60 to 30mins",calls[[#This Row],[Duration]]&lt;=120,"1 to 2hrs",TRUE,"More than 2 hrs")</f>
        <v>1 to 2hrs</v>
      </c>
      <c r="M919">
        <f>ROUND(calls[[#This Row],[Satisfaction Rating]],0)</f>
        <v>4</v>
      </c>
      <c r="N919">
        <f>COUNTIF(calls[Customer ID], calls[[#This Row],[Customer ID]])</f>
        <v>69</v>
      </c>
      <c r="O919">
        <f>SUMIF(calls[Customer ID], calls[[#This Row],[Customer ID]], calls[Purchase Amount])</f>
        <v>7230</v>
      </c>
      <c r="P919">
        <f>calls[[#This Row],[call count]]/calls[[#This Row],[Purchase Amount]]</f>
        <v>2.0294117647058822</v>
      </c>
      <c r="Q919">
        <f>COUNTIF(calls[Customer ID],calls[[#This Row],[Customer ID]])</f>
        <v>69</v>
      </c>
      <c r="R919">
        <f>calls[[#This Row],[call count]]/calls[[#This Row],[Purchase Amount]]</f>
        <v>2.0294117647058822</v>
      </c>
    </row>
    <row r="920" spans="1:18" x14ac:dyDescent="0.4">
      <c r="A920" t="s">
        <v>950</v>
      </c>
      <c r="B920" t="s">
        <v>13</v>
      </c>
      <c r="C920">
        <v>88</v>
      </c>
      <c r="D920" s="4" t="s">
        <v>2</v>
      </c>
      <c r="E920" s="5">
        <v>45245</v>
      </c>
      <c r="F920">
        <v>220</v>
      </c>
      <c r="G920">
        <f>AVERAGEIF(calls[Representative], calls[[#This Row],[Representative]], calls[Satisfaction Rating])</f>
        <v>3.8824999999999998</v>
      </c>
      <c r="H920" t="str">
        <f>IF(AVERAGEIF(calls[Representative],calls[[#This Row],[Representative]],calls[Satisfaction Rating])&lt;3.5,"Needs Training","OK")</f>
        <v>OK</v>
      </c>
      <c r="I920">
        <v>4.0999999999999996</v>
      </c>
      <c r="J920">
        <f>IF(MONTH(calls[[#This Row],[Date of Call]])&lt;=6, YEAR(calls[[#This Row],[Date of Call]]), YEAR(calls[[#This Row],[Date of Call]])+1)</f>
        <v>2024</v>
      </c>
      <c r="K920" t="str">
        <f>TEXT(calls[[#This Row],[Date of Call]],"DDDD")</f>
        <v>Wednesday</v>
      </c>
      <c r="L920" t="str" cm="1">
        <f t="array" ref="L920">_xlfn.IFS(calls[[#This Row],[Duration]]&lt;=10,"under 10 mins",calls[[#This Row],[Duration]]&lt;=30,"10 to 30mins",calls[[#This Row],[Duration]]&lt;=60,"60 to 30mins",calls[[#This Row],[Duration]]&lt;=120,"1 to 2hrs",TRUE,"More than 2 hrs")</f>
        <v>1 to 2hrs</v>
      </c>
      <c r="M920">
        <f>ROUND(calls[[#This Row],[Satisfaction Rating]],0)</f>
        <v>4</v>
      </c>
      <c r="N920">
        <f>COUNTIF(calls[Customer ID], calls[[#This Row],[Customer ID]])</f>
        <v>74</v>
      </c>
      <c r="O920">
        <f>SUMIF(calls[Customer ID], calls[[#This Row],[Customer ID]], calls[Purchase Amount])</f>
        <v>6749</v>
      </c>
      <c r="P920">
        <f>calls[[#This Row],[call count]]/calls[[#This Row],[Purchase Amount]]</f>
        <v>0.33636363636363636</v>
      </c>
      <c r="Q920">
        <f>COUNTIF(calls[Customer ID],calls[[#This Row],[Customer ID]])</f>
        <v>74</v>
      </c>
      <c r="R920">
        <f>calls[[#This Row],[call count]]/calls[[#This Row],[Purchase Amount]]</f>
        <v>0.33636363636363636</v>
      </c>
    </row>
    <row r="921" spans="1:18" x14ac:dyDescent="0.4">
      <c r="A921" t="s">
        <v>951</v>
      </c>
      <c r="B921" t="s">
        <v>1</v>
      </c>
      <c r="C921">
        <v>64</v>
      </c>
      <c r="D921" s="4" t="s">
        <v>27</v>
      </c>
      <c r="E921" s="5">
        <v>45245</v>
      </c>
      <c r="F921">
        <v>225</v>
      </c>
      <c r="G921">
        <f>AVERAGEIF(calls[Representative], calls[[#This Row],[Representative]], calls[Satisfaction Rating])</f>
        <v>3.8589371980676304</v>
      </c>
      <c r="H921" t="str">
        <f>IF(AVERAGEIF(calls[Representative],calls[[#This Row],[Representative]],calls[Satisfaction Rating])&lt;3.5,"Needs Training","OK")</f>
        <v>OK</v>
      </c>
      <c r="I921">
        <v>4.5999999999999996</v>
      </c>
      <c r="J921">
        <f>IF(MONTH(calls[[#This Row],[Date of Call]])&lt;=6, YEAR(calls[[#This Row],[Date of Call]]), YEAR(calls[[#This Row],[Date of Call]])+1)</f>
        <v>2024</v>
      </c>
      <c r="K921" t="str">
        <f>TEXT(calls[[#This Row],[Date of Call]],"DDDD")</f>
        <v>Wednesday</v>
      </c>
      <c r="L921" t="str" cm="1">
        <f t="array" ref="L921">_xlfn.IFS(calls[[#This Row],[Duration]]&lt;=10,"under 10 mins",calls[[#This Row],[Duration]]&lt;=30,"10 to 30mins",calls[[#This Row],[Duration]]&lt;=60,"60 to 30mins",calls[[#This Row],[Duration]]&lt;=120,"1 to 2hrs",TRUE,"More than 2 hrs")</f>
        <v>1 to 2hrs</v>
      </c>
      <c r="M921">
        <f>ROUND(calls[[#This Row],[Satisfaction Rating]],0)</f>
        <v>5</v>
      </c>
      <c r="N921">
        <f>COUNTIF(calls[Customer ID], calls[[#This Row],[Customer ID]])</f>
        <v>50</v>
      </c>
      <c r="O921">
        <f>SUMIF(calls[Customer ID], calls[[#This Row],[Customer ID]], calls[Purchase Amount])</f>
        <v>4804</v>
      </c>
      <c r="P921">
        <f>calls[[#This Row],[call count]]/calls[[#This Row],[Purchase Amount]]</f>
        <v>0.22222222222222221</v>
      </c>
      <c r="Q921">
        <f>COUNTIF(calls[Customer ID],calls[[#This Row],[Customer ID]])</f>
        <v>50</v>
      </c>
      <c r="R921">
        <f>calls[[#This Row],[call count]]/calls[[#This Row],[Purchase Amount]]</f>
        <v>0.22222222222222221</v>
      </c>
    </row>
    <row r="922" spans="1:18" x14ac:dyDescent="0.4">
      <c r="A922" t="s">
        <v>952</v>
      </c>
      <c r="B922" t="s">
        <v>8</v>
      </c>
      <c r="C922">
        <v>53</v>
      </c>
      <c r="D922" s="4" t="s">
        <v>27</v>
      </c>
      <c r="E922" s="5">
        <v>45246</v>
      </c>
      <c r="F922">
        <v>37</v>
      </c>
      <c r="G922">
        <f>AVERAGEIF(calls[Representative], calls[[#This Row],[Representative]], calls[Satisfaction Rating])</f>
        <v>3.8589371980676304</v>
      </c>
      <c r="H922" t="str">
        <f>IF(AVERAGEIF(calls[Representative],calls[[#This Row],[Representative]],calls[Satisfaction Rating])&lt;3.5,"Needs Training","OK")</f>
        <v>OK</v>
      </c>
      <c r="I922">
        <v>4.0999999999999996</v>
      </c>
      <c r="J922">
        <f>IF(MONTH(calls[[#This Row],[Date of Call]])&lt;=6, YEAR(calls[[#This Row],[Date of Call]]), YEAR(calls[[#This Row],[Date of Call]])+1)</f>
        <v>2024</v>
      </c>
      <c r="K922" t="str">
        <f>TEXT(calls[[#This Row],[Date of Call]],"DDDD")</f>
        <v>Thursday</v>
      </c>
      <c r="L922" t="str" cm="1">
        <f t="array" ref="L922">_xlfn.IFS(calls[[#This Row],[Duration]]&lt;=10,"under 10 mins",calls[[#This Row],[Duration]]&lt;=30,"10 to 30mins",calls[[#This Row],[Duration]]&lt;=60,"60 to 30mins",calls[[#This Row],[Duration]]&lt;=120,"1 to 2hrs",TRUE,"More than 2 hrs")</f>
        <v>60 to 30mins</v>
      </c>
      <c r="M922">
        <f>ROUND(calls[[#This Row],[Satisfaction Rating]],0)</f>
        <v>4</v>
      </c>
      <c r="N922">
        <f>COUNTIF(calls[Customer ID], calls[[#This Row],[Customer ID]])</f>
        <v>79</v>
      </c>
      <c r="O922">
        <f>SUMIF(calls[Customer ID], calls[[#This Row],[Customer ID]], calls[Purchase Amount])</f>
        <v>7747</v>
      </c>
      <c r="P922">
        <f>calls[[#This Row],[call count]]/calls[[#This Row],[Purchase Amount]]</f>
        <v>2.1351351351351351</v>
      </c>
      <c r="Q922">
        <f>COUNTIF(calls[Customer ID],calls[[#This Row],[Customer ID]])</f>
        <v>79</v>
      </c>
      <c r="R922">
        <f>calls[[#This Row],[call count]]/calls[[#This Row],[Purchase Amount]]</f>
        <v>2.1351351351351351</v>
      </c>
    </row>
    <row r="923" spans="1:18" x14ac:dyDescent="0.4">
      <c r="A923" t="s">
        <v>953</v>
      </c>
      <c r="B923" t="s">
        <v>54</v>
      </c>
      <c r="C923">
        <v>63</v>
      </c>
      <c r="D923" s="4" t="s">
        <v>9</v>
      </c>
      <c r="E923" s="5">
        <v>45246</v>
      </c>
      <c r="F923">
        <v>44</v>
      </c>
      <c r="G923">
        <f>AVERAGEIF(calls[Representative], calls[[#This Row],[Representative]], calls[Satisfaction Rating])</f>
        <v>3.8706422018348627</v>
      </c>
      <c r="H923" t="str">
        <f>IF(AVERAGEIF(calls[Representative],calls[[#This Row],[Representative]],calls[Satisfaction Rating])&lt;3.5,"Needs Training","OK")</f>
        <v>OK</v>
      </c>
      <c r="I923">
        <v>5</v>
      </c>
      <c r="J923">
        <f>IF(MONTH(calls[[#This Row],[Date of Call]])&lt;=6, YEAR(calls[[#This Row],[Date of Call]]), YEAR(calls[[#This Row],[Date of Call]])+1)</f>
        <v>2024</v>
      </c>
      <c r="K923" t="str">
        <f>TEXT(calls[[#This Row],[Date of Call]],"DDDD")</f>
        <v>Thursday</v>
      </c>
      <c r="L923" t="str" cm="1">
        <f t="array" ref="L923">_xlfn.IFS(calls[[#This Row],[Duration]]&lt;=10,"under 10 mins",calls[[#This Row],[Duration]]&lt;=30,"10 to 30mins",calls[[#This Row],[Duration]]&lt;=60,"60 to 30mins",calls[[#This Row],[Duration]]&lt;=120,"1 to 2hrs",TRUE,"More than 2 hrs")</f>
        <v>1 to 2hrs</v>
      </c>
      <c r="M923">
        <f>ROUND(calls[[#This Row],[Satisfaction Rating]],0)</f>
        <v>5</v>
      </c>
      <c r="N923">
        <f>COUNTIF(calls[Customer ID], calls[[#This Row],[Customer ID]])</f>
        <v>70</v>
      </c>
      <c r="O923">
        <f>SUMIF(calls[Customer ID], calls[[#This Row],[Customer ID]], calls[Purchase Amount])</f>
        <v>6819</v>
      </c>
      <c r="P923">
        <f>calls[[#This Row],[call count]]/calls[[#This Row],[Purchase Amount]]</f>
        <v>1.5909090909090908</v>
      </c>
      <c r="Q923">
        <f>COUNTIF(calls[Customer ID],calls[[#This Row],[Customer ID]])</f>
        <v>70</v>
      </c>
      <c r="R923">
        <f>calls[[#This Row],[call count]]/calls[[#This Row],[Purchase Amount]]</f>
        <v>1.5909090909090908</v>
      </c>
    </row>
    <row r="924" spans="1:18" x14ac:dyDescent="0.4">
      <c r="A924" t="s">
        <v>954</v>
      </c>
      <c r="B924" t="s">
        <v>21</v>
      </c>
      <c r="C924">
        <v>54</v>
      </c>
      <c r="D924" s="4" t="s">
        <v>9</v>
      </c>
      <c r="E924" s="5">
        <v>45247</v>
      </c>
      <c r="F924">
        <v>35</v>
      </c>
      <c r="G924">
        <f>AVERAGEIF(calls[Representative], calls[[#This Row],[Representative]], calls[Satisfaction Rating])</f>
        <v>3.8706422018348627</v>
      </c>
      <c r="H924" t="str">
        <f>IF(AVERAGEIF(calls[Representative],calls[[#This Row],[Representative]],calls[Satisfaction Rating])&lt;3.5,"Needs Training","OK")</f>
        <v>OK</v>
      </c>
      <c r="I924">
        <v>2.8</v>
      </c>
      <c r="J924">
        <f>IF(MONTH(calls[[#This Row],[Date of Call]])&lt;=6, YEAR(calls[[#This Row],[Date of Call]]), YEAR(calls[[#This Row],[Date of Call]])+1)</f>
        <v>2024</v>
      </c>
      <c r="K924" t="str">
        <f>TEXT(calls[[#This Row],[Date of Call]],"DDDD")</f>
        <v>Friday</v>
      </c>
      <c r="L924" t="str" cm="1">
        <f t="array" ref="L924">_xlfn.IFS(calls[[#This Row],[Duration]]&lt;=10,"under 10 mins",calls[[#This Row],[Duration]]&lt;=30,"10 to 30mins",calls[[#This Row],[Duration]]&lt;=60,"60 to 30mins",calls[[#This Row],[Duration]]&lt;=120,"1 to 2hrs",TRUE,"More than 2 hrs")</f>
        <v>60 to 30mins</v>
      </c>
      <c r="M924">
        <f>ROUND(calls[[#This Row],[Satisfaction Rating]],0)</f>
        <v>3</v>
      </c>
      <c r="N924">
        <f>COUNTIF(calls[Customer ID], calls[[#This Row],[Customer ID]])</f>
        <v>67</v>
      </c>
      <c r="O924">
        <f>SUMIF(calls[Customer ID], calls[[#This Row],[Customer ID]], calls[Purchase Amount])</f>
        <v>7216</v>
      </c>
      <c r="P924">
        <f>calls[[#This Row],[call count]]/calls[[#This Row],[Purchase Amount]]</f>
        <v>1.9142857142857144</v>
      </c>
      <c r="Q924">
        <f>COUNTIF(calls[Customer ID],calls[[#This Row],[Customer ID]])</f>
        <v>67</v>
      </c>
      <c r="R924">
        <f>calls[[#This Row],[call count]]/calls[[#This Row],[Purchase Amount]]</f>
        <v>1.9142857142857144</v>
      </c>
    </row>
    <row r="925" spans="1:18" x14ac:dyDescent="0.4">
      <c r="A925" t="s">
        <v>955</v>
      </c>
      <c r="B925" t="s">
        <v>54</v>
      </c>
      <c r="C925">
        <v>54</v>
      </c>
      <c r="D925" s="4" t="s">
        <v>2</v>
      </c>
      <c r="E925" s="5">
        <v>45247</v>
      </c>
      <c r="F925">
        <v>145</v>
      </c>
      <c r="G925">
        <f>AVERAGEIF(calls[Representative], calls[[#This Row],[Representative]], calls[Satisfaction Rating])</f>
        <v>3.8824999999999998</v>
      </c>
      <c r="H925" t="str">
        <f>IF(AVERAGEIF(calls[Representative],calls[[#This Row],[Representative]],calls[Satisfaction Rating])&lt;3.5,"Needs Training","OK")</f>
        <v>OK</v>
      </c>
      <c r="I925">
        <v>2.7</v>
      </c>
      <c r="J925">
        <f>IF(MONTH(calls[[#This Row],[Date of Call]])&lt;=6, YEAR(calls[[#This Row],[Date of Call]]), YEAR(calls[[#This Row],[Date of Call]])+1)</f>
        <v>2024</v>
      </c>
      <c r="K925" t="str">
        <f>TEXT(calls[[#This Row],[Date of Call]],"DDDD")</f>
        <v>Friday</v>
      </c>
      <c r="L925" t="str" cm="1">
        <f t="array" ref="L925">_xlfn.IFS(calls[[#This Row],[Duration]]&lt;=10,"under 10 mins",calls[[#This Row],[Duration]]&lt;=30,"10 to 30mins",calls[[#This Row],[Duration]]&lt;=60,"60 to 30mins",calls[[#This Row],[Duration]]&lt;=120,"1 to 2hrs",TRUE,"More than 2 hrs")</f>
        <v>60 to 30mins</v>
      </c>
      <c r="M925">
        <f>ROUND(calls[[#This Row],[Satisfaction Rating]],0)</f>
        <v>3</v>
      </c>
      <c r="N925">
        <f>COUNTIF(calls[Customer ID], calls[[#This Row],[Customer ID]])</f>
        <v>70</v>
      </c>
      <c r="O925">
        <f>SUMIF(calls[Customer ID], calls[[#This Row],[Customer ID]], calls[Purchase Amount])</f>
        <v>6819</v>
      </c>
      <c r="P925">
        <f>calls[[#This Row],[call count]]/calls[[#This Row],[Purchase Amount]]</f>
        <v>0.48275862068965519</v>
      </c>
      <c r="Q925">
        <f>COUNTIF(calls[Customer ID],calls[[#This Row],[Customer ID]])</f>
        <v>70</v>
      </c>
      <c r="R925">
        <f>calls[[#This Row],[call count]]/calls[[#This Row],[Purchase Amount]]</f>
        <v>0.48275862068965519</v>
      </c>
    </row>
    <row r="926" spans="1:18" x14ac:dyDescent="0.4">
      <c r="A926" t="s">
        <v>956</v>
      </c>
      <c r="B926" t="s">
        <v>26</v>
      </c>
      <c r="C926">
        <v>71</v>
      </c>
      <c r="D926" s="4" t="s">
        <v>27</v>
      </c>
      <c r="E926" s="5">
        <v>45247</v>
      </c>
      <c r="F926">
        <v>64</v>
      </c>
      <c r="G926">
        <f>AVERAGEIF(calls[Representative], calls[[#This Row],[Representative]], calls[Satisfaction Rating])</f>
        <v>3.8589371980676304</v>
      </c>
      <c r="H926" t="str">
        <f>IF(AVERAGEIF(calls[Representative],calls[[#This Row],[Representative]],calls[Satisfaction Rating])&lt;3.5,"Needs Training","OK")</f>
        <v>OK</v>
      </c>
      <c r="I926">
        <v>3.9</v>
      </c>
      <c r="J926">
        <f>IF(MONTH(calls[[#This Row],[Date of Call]])&lt;=6, YEAR(calls[[#This Row],[Date of Call]]), YEAR(calls[[#This Row],[Date of Call]])+1)</f>
        <v>2024</v>
      </c>
      <c r="K926" t="str">
        <f>TEXT(calls[[#This Row],[Date of Call]],"DDDD")</f>
        <v>Friday</v>
      </c>
      <c r="L926" t="str" cm="1">
        <f t="array" ref="L926">_xlfn.IFS(calls[[#This Row],[Duration]]&lt;=10,"under 10 mins",calls[[#This Row],[Duration]]&lt;=30,"10 to 30mins",calls[[#This Row],[Duration]]&lt;=60,"60 to 30mins",calls[[#This Row],[Duration]]&lt;=120,"1 to 2hrs",TRUE,"More than 2 hrs")</f>
        <v>1 to 2hrs</v>
      </c>
      <c r="M926">
        <f>ROUND(calls[[#This Row],[Satisfaction Rating]],0)</f>
        <v>4</v>
      </c>
      <c r="N926">
        <f>COUNTIF(calls[Customer ID], calls[[#This Row],[Customer ID]])</f>
        <v>72</v>
      </c>
      <c r="O926">
        <f>SUMIF(calls[Customer ID], calls[[#This Row],[Customer ID]], calls[Purchase Amount])</f>
        <v>6242</v>
      </c>
      <c r="P926">
        <f>calls[[#This Row],[call count]]/calls[[#This Row],[Purchase Amount]]</f>
        <v>1.125</v>
      </c>
      <c r="Q926">
        <f>COUNTIF(calls[Customer ID],calls[[#This Row],[Customer ID]])</f>
        <v>72</v>
      </c>
      <c r="R926">
        <f>calls[[#This Row],[call count]]/calls[[#This Row],[Purchase Amount]]</f>
        <v>1.125</v>
      </c>
    </row>
    <row r="927" spans="1:18" x14ac:dyDescent="0.4">
      <c r="A927" t="s">
        <v>957</v>
      </c>
      <c r="B927" t="s">
        <v>54</v>
      </c>
      <c r="C927">
        <v>93</v>
      </c>
      <c r="D927" s="4" t="s">
        <v>2</v>
      </c>
      <c r="E927" s="5">
        <v>45248</v>
      </c>
      <c r="F927">
        <v>185</v>
      </c>
      <c r="G927">
        <f>AVERAGEIF(calls[Representative], calls[[#This Row],[Representative]], calls[Satisfaction Rating])</f>
        <v>3.8824999999999998</v>
      </c>
      <c r="H927" t="str">
        <f>IF(AVERAGEIF(calls[Representative],calls[[#This Row],[Representative]],calls[Satisfaction Rating])&lt;3.5,"Needs Training","OK")</f>
        <v>OK</v>
      </c>
      <c r="I927">
        <v>4.3</v>
      </c>
      <c r="J927">
        <f>IF(MONTH(calls[[#This Row],[Date of Call]])&lt;=6, YEAR(calls[[#This Row],[Date of Call]]), YEAR(calls[[#This Row],[Date of Call]])+1)</f>
        <v>2024</v>
      </c>
      <c r="K927" t="str">
        <f>TEXT(calls[[#This Row],[Date of Call]],"DDDD")</f>
        <v>Saturday</v>
      </c>
      <c r="L927" t="str" cm="1">
        <f t="array" ref="L927">_xlfn.IFS(calls[[#This Row],[Duration]]&lt;=10,"under 10 mins",calls[[#This Row],[Duration]]&lt;=30,"10 to 30mins",calls[[#This Row],[Duration]]&lt;=60,"60 to 30mins",calls[[#This Row],[Duration]]&lt;=120,"1 to 2hrs",TRUE,"More than 2 hrs")</f>
        <v>1 to 2hrs</v>
      </c>
      <c r="M927">
        <f>ROUND(calls[[#This Row],[Satisfaction Rating]],0)</f>
        <v>4</v>
      </c>
      <c r="N927">
        <f>COUNTIF(calls[Customer ID], calls[[#This Row],[Customer ID]])</f>
        <v>70</v>
      </c>
      <c r="O927">
        <f>SUMIF(calls[Customer ID], calls[[#This Row],[Customer ID]], calls[Purchase Amount])</f>
        <v>6819</v>
      </c>
      <c r="P927">
        <f>calls[[#This Row],[call count]]/calls[[#This Row],[Purchase Amount]]</f>
        <v>0.3783783783783784</v>
      </c>
      <c r="Q927">
        <f>COUNTIF(calls[Customer ID],calls[[#This Row],[Customer ID]])</f>
        <v>70</v>
      </c>
      <c r="R927">
        <f>calls[[#This Row],[call count]]/calls[[#This Row],[Purchase Amount]]</f>
        <v>0.3783783783783784</v>
      </c>
    </row>
    <row r="928" spans="1:18" x14ac:dyDescent="0.4">
      <c r="A928" t="s">
        <v>958</v>
      </c>
      <c r="B928" t="s">
        <v>11</v>
      </c>
      <c r="C928">
        <v>96</v>
      </c>
      <c r="D928" s="4" t="s">
        <v>9</v>
      </c>
      <c r="E928" s="5">
        <v>45248</v>
      </c>
      <c r="F928">
        <v>215</v>
      </c>
      <c r="G928">
        <f>AVERAGEIF(calls[Representative], calls[[#This Row],[Representative]], calls[Satisfaction Rating])</f>
        <v>3.8706422018348627</v>
      </c>
      <c r="H928" t="str">
        <f>IF(AVERAGEIF(calls[Representative],calls[[#This Row],[Representative]],calls[Satisfaction Rating])&lt;3.5,"Needs Training","OK")</f>
        <v>OK</v>
      </c>
      <c r="I928">
        <v>2.5</v>
      </c>
      <c r="J928">
        <f>IF(MONTH(calls[[#This Row],[Date of Call]])&lt;=6, YEAR(calls[[#This Row],[Date of Call]]), YEAR(calls[[#This Row],[Date of Call]])+1)</f>
        <v>2024</v>
      </c>
      <c r="K928" t="str">
        <f>TEXT(calls[[#This Row],[Date of Call]],"DDDD")</f>
        <v>Saturday</v>
      </c>
      <c r="L928" t="str" cm="1">
        <f t="array" ref="L928">_xlfn.IFS(calls[[#This Row],[Duration]]&lt;=10,"under 10 mins",calls[[#This Row],[Duration]]&lt;=30,"10 to 30mins",calls[[#This Row],[Duration]]&lt;=60,"60 to 30mins",calls[[#This Row],[Duration]]&lt;=120,"1 to 2hrs",TRUE,"More than 2 hrs")</f>
        <v>1 to 2hrs</v>
      </c>
      <c r="M928">
        <f>ROUND(calls[[#This Row],[Satisfaction Rating]],0)</f>
        <v>3</v>
      </c>
      <c r="N928">
        <f>COUNTIF(calls[Customer ID], calls[[#This Row],[Customer ID]])</f>
        <v>60</v>
      </c>
      <c r="O928">
        <f>SUMIF(calls[Customer ID], calls[[#This Row],[Customer ID]], calls[Purchase Amount])</f>
        <v>5404</v>
      </c>
      <c r="P928">
        <f>calls[[#This Row],[call count]]/calls[[#This Row],[Purchase Amount]]</f>
        <v>0.27906976744186046</v>
      </c>
      <c r="Q928">
        <f>COUNTIF(calls[Customer ID],calls[[#This Row],[Customer ID]])</f>
        <v>60</v>
      </c>
      <c r="R928">
        <f>calls[[#This Row],[call count]]/calls[[#This Row],[Purchase Amount]]</f>
        <v>0.27906976744186046</v>
      </c>
    </row>
    <row r="929" spans="1:18" x14ac:dyDescent="0.4">
      <c r="A929" t="s">
        <v>959</v>
      </c>
      <c r="B929" t="s">
        <v>32</v>
      </c>
      <c r="C929">
        <v>31</v>
      </c>
      <c r="D929" s="4" t="s">
        <v>14</v>
      </c>
      <c r="E929" s="5">
        <v>45248</v>
      </c>
      <c r="F929">
        <v>88</v>
      </c>
      <c r="G929">
        <f>AVERAGEIF(calls[Representative], calls[[#This Row],[Representative]], calls[Satisfaction Rating])</f>
        <v>3.9227513227513247</v>
      </c>
      <c r="H929" t="str">
        <f>IF(AVERAGEIF(calls[Representative],calls[[#This Row],[Representative]],calls[Satisfaction Rating])&lt;3.5,"Needs Training","OK")</f>
        <v>OK</v>
      </c>
      <c r="I929">
        <v>3.4</v>
      </c>
      <c r="J929">
        <f>IF(MONTH(calls[[#This Row],[Date of Call]])&lt;=6, YEAR(calls[[#This Row],[Date of Call]]), YEAR(calls[[#This Row],[Date of Call]])+1)</f>
        <v>2024</v>
      </c>
      <c r="K929" t="str">
        <f>TEXT(calls[[#This Row],[Date of Call]],"DDDD")</f>
        <v>Saturday</v>
      </c>
      <c r="L929" t="str" cm="1">
        <f t="array" ref="L929">_xlfn.IFS(calls[[#This Row],[Duration]]&lt;=10,"under 10 mins",calls[[#This Row],[Duration]]&lt;=30,"10 to 30mins",calls[[#This Row],[Duration]]&lt;=60,"60 to 30mins",calls[[#This Row],[Duration]]&lt;=120,"1 to 2hrs",TRUE,"More than 2 hrs")</f>
        <v>60 to 30mins</v>
      </c>
      <c r="M929">
        <f>ROUND(calls[[#This Row],[Satisfaction Rating]],0)</f>
        <v>3</v>
      </c>
      <c r="N929">
        <f>COUNTIF(calls[Customer ID], calls[[#This Row],[Customer ID]])</f>
        <v>63</v>
      </c>
      <c r="O929">
        <f>SUMIF(calls[Customer ID], calls[[#This Row],[Customer ID]], calls[Purchase Amount])</f>
        <v>5634</v>
      </c>
      <c r="P929">
        <f>calls[[#This Row],[call count]]/calls[[#This Row],[Purchase Amount]]</f>
        <v>0.71590909090909094</v>
      </c>
      <c r="Q929">
        <f>COUNTIF(calls[Customer ID],calls[[#This Row],[Customer ID]])</f>
        <v>63</v>
      </c>
      <c r="R929">
        <f>calls[[#This Row],[call count]]/calls[[#This Row],[Purchase Amount]]</f>
        <v>0.71590909090909094</v>
      </c>
    </row>
    <row r="930" spans="1:18" x14ac:dyDescent="0.4">
      <c r="A930" t="s">
        <v>960</v>
      </c>
      <c r="B930" t="s">
        <v>54</v>
      </c>
      <c r="C930">
        <v>107</v>
      </c>
      <c r="D930" s="4" t="s">
        <v>27</v>
      </c>
      <c r="E930" s="5">
        <v>45248</v>
      </c>
      <c r="F930">
        <v>23</v>
      </c>
      <c r="G930">
        <f>AVERAGEIF(calls[Representative], calls[[#This Row],[Representative]], calls[Satisfaction Rating])</f>
        <v>3.8589371980676304</v>
      </c>
      <c r="H930" t="str">
        <f>IF(AVERAGEIF(calls[Representative],calls[[#This Row],[Representative]],calls[Satisfaction Rating])&lt;3.5,"Needs Training","OK")</f>
        <v>OK</v>
      </c>
      <c r="I930">
        <v>3.4</v>
      </c>
      <c r="J930">
        <f>IF(MONTH(calls[[#This Row],[Date of Call]])&lt;=6, YEAR(calls[[#This Row],[Date of Call]]), YEAR(calls[[#This Row],[Date of Call]])+1)</f>
        <v>2024</v>
      </c>
      <c r="K930" t="str">
        <f>TEXT(calls[[#This Row],[Date of Call]],"DDDD")</f>
        <v>Saturday</v>
      </c>
      <c r="L930" t="str" cm="1">
        <f t="array" ref="L930">_xlfn.IFS(calls[[#This Row],[Duration]]&lt;=10,"under 10 mins",calls[[#This Row],[Duration]]&lt;=30,"10 to 30mins",calls[[#This Row],[Duration]]&lt;=60,"60 to 30mins",calls[[#This Row],[Duration]]&lt;=120,"1 to 2hrs",TRUE,"More than 2 hrs")</f>
        <v>1 to 2hrs</v>
      </c>
      <c r="M930">
        <f>ROUND(calls[[#This Row],[Satisfaction Rating]],0)</f>
        <v>3</v>
      </c>
      <c r="N930">
        <f>COUNTIF(calls[Customer ID], calls[[#This Row],[Customer ID]])</f>
        <v>70</v>
      </c>
      <c r="O930">
        <f>SUMIF(calls[Customer ID], calls[[#This Row],[Customer ID]], calls[Purchase Amount])</f>
        <v>6819</v>
      </c>
      <c r="P930">
        <f>calls[[#This Row],[call count]]/calls[[#This Row],[Purchase Amount]]</f>
        <v>3.0434782608695654</v>
      </c>
      <c r="Q930">
        <f>COUNTIF(calls[Customer ID],calls[[#This Row],[Customer ID]])</f>
        <v>70</v>
      </c>
      <c r="R930">
        <f>calls[[#This Row],[call count]]/calls[[#This Row],[Purchase Amount]]</f>
        <v>3.0434782608695654</v>
      </c>
    </row>
    <row r="931" spans="1:18" x14ac:dyDescent="0.4">
      <c r="A931" t="s">
        <v>961</v>
      </c>
      <c r="B931" t="s">
        <v>8</v>
      </c>
      <c r="C931">
        <v>50</v>
      </c>
      <c r="D931" s="4" t="s">
        <v>14</v>
      </c>
      <c r="E931" s="5">
        <v>45249</v>
      </c>
      <c r="F931">
        <v>180</v>
      </c>
      <c r="G931">
        <f>AVERAGEIF(calls[Representative], calls[[#This Row],[Representative]], calls[Satisfaction Rating])</f>
        <v>3.9227513227513247</v>
      </c>
      <c r="H931" t="str">
        <f>IF(AVERAGEIF(calls[Representative],calls[[#This Row],[Representative]],calls[Satisfaction Rating])&lt;3.5,"Needs Training","OK")</f>
        <v>OK</v>
      </c>
      <c r="I931">
        <v>1.8</v>
      </c>
      <c r="J931">
        <f>IF(MONTH(calls[[#This Row],[Date of Call]])&lt;=6, YEAR(calls[[#This Row],[Date of Call]]), YEAR(calls[[#This Row],[Date of Call]])+1)</f>
        <v>2024</v>
      </c>
      <c r="K931" t="str">
        <f>TEXT(calls[[#This Row],[Date of Call]],"DDDD")</f>
        <v>Sunday</v>
      </c>
      <c r="L931" t="str" cm="1">
        <f t="array" ref="L931">_xlfn.IFS(calls[[#This Row],[Duration]]&lt;=10,"under 10 mins",calls[[#This Row],[Duration]]&lt;=30,"10 to 30mins",calls[[#This Row],[Duration]]&lt;=60,"60 to 30mins",calls[[#This Row],[Duration]]&lt;=120,"1 to 2hrs",TRUE,"More than 2 hrs")</f>
        <v>60 to 30mins</v>
      </c>
      <c r="M931">
        <f>ROUND(calls[[#This Row],[Satisfaction Rating]],0)</f>
        <v>2</v>
      </c>
      <c r="N931">
        <f>COUNTIF(calls[Customer ID], calls[[#This Row],[Customer ID]])</f>
        <v>79</v>
      </c>
      <c r="O931">
        <f>SUMIF(calls[Customer ID], calls[[#This Row],[Customer ID]], calls[Purchase Amount])</f>
        <v>7747</v>
      </c>
      <c r="P931">
        <f>calls[[#This Row],[call count]]/calls[[#This Row],[Purchase Amount]]</f>
        <v>0.43888888888888888</v>
      </c>
      <c r="Q931">
        <f>COUNTIF(calls[Customer ID],calls[[#This Row],[Customer ID]])</f>
        <v>79</v>
      </c>
      <c r="R931">
        <f>calls[[#This Row],[call count]]/calls[[#This Row],[Purchase Amount]]</f>
        <v>0.43888888888888888</v>
      </c>
    </row>
    <row r="932" spans="1:18" x14ac:dyDescent="0.4">
      <c r="A932" t="s">
        <v>962</v>
      </c>
      <c r="B932" t="s">
        <v>64</v>
      </c>
      <c r="C932">
        <v>69</v>
      </c>
      <c r="D932" s="4" t="s">
        <v>27</v>
      </c>
      <c r="E932" s="5">
        <v>45250</v>
      </c>
      <c r="F932">
        <v>225</v>
      </c>
      <c r="G932">
        <f>AVERAGEIF(calls[Representative], calls[[#This Row],[Representative]], calls[Satisfaction Rating])</f>
        <v>3.8589371980676304</v>
      </c>
      <c r="H932" t="str">
        <f>IF(AVERAGEIF(calls[Representative],calls[[#This Row],[Representative]],calls[Satisfaction Rating])&lt;3.5,"Needs Training","OK")</f>
        <v>OK</v>
      </c>
      <c r="I932">
        <v>3.7</v>
      </c>
      <c r="J932">
        <f>IF(MONTH(calls[[#This Row],[Date of Call]])&lt;=6, YEAR(calls[[#This Row],[Date of Call]]), YEAR(calls[[#This Row],[Date of Call]])+1)</f>
        <v>2024</v>
      </c>
      <c r="K932" t="str">
        <f>TEXT(calls[[#This Row],[Date of Call]],"DDDD")</f>
        <v>Monday</v>
      </c>
      <c r="L932" t="str" cm="1">
        <f t="array" ref="L932">_xlfn.IFS(calls[[#This Row],[Duration]]&lt;=10,"under 10 mins",calls[[#This Row],[Duration]]&lt;=30,"10 to 30mins",calls[[#This Row],[Duration]]&lt;=60,"60 to 30mins",calls[[#This Row],[Duration]]&lt;=120,"1 to 2hrs",TRUE,"More than 2 hrs")</f>
        <v>1 to 2hrs</v>
      </c>
      <c r="M932">
        <f>ROUND(calls[[#This Row],[Satisfaction Rating]],0)</f>
        <v>4</v>
      </c>
      <c r="N932">
        <f>COUNTIF(calls[Customer ID], calls[[#This Row],[Customer ID]])</f>
        <v>65</v>
      </c>
      <c r="O932">
        <f>SUMIF(calls[Customer ID], calls[[#This Row],[Customer ID]], calls[Purchase Amount])</f>
        <v>6785</v>
      </c>
      <c r="P932">
        <f>calls[[#This Row],[call count]]/calls[[#This Row],[Purchase Amount]]</f>
        <v>0.28888888888888886</v>
      </c>
      <c r="Q932">
        <f>COUNTIF(calls[Customer ID],calls[[#This Row],[Customer ID]])</f>
        <v>65</v>
      </c>
      <c r="R932">
        <f>calls[[#This Row],[call count]]/calls[[#This Row],[Purchase Amount]]</f>
        <v>0.28888888888888886</v>
      </c>
    </row>
    <row r="933" spans="1:18" x14ac:dyDescent="0.4">
      <c r="A933" t="s">
        <v>963</v>
      </c>
      <c r="B933" t="s">
        <v>13</v>
      </c>
      <c r="C933">
        <v>26</v>
      </c>
      <c r="D933" s="4" t="s">
        <v>9</v>
      </c>
      <c r="E933" s="5">
        <v>45251</v>
      </c>
      <c r="F933">
        <v>74</v>
      </c>
      <c r="G933">
        <f>AVERAGEIF(calls[Representative], calls[[#This Row],[Representative]], calls[Satisfaction Rating])</f>
        <v>3.8706422018348627</v>
      </c>
      <c r="H933" t="str">
        <f>IF(AVERAGEIF(calls[Representative],calls[[#This Row],[Representative]],calls[Satisfaction Rating])&lt;3.5,"Needs Training","OK")</f>
        <v>OK</v>
      </c>
      <c r="I933">
        <v>4.0999999999999996</v>
      </c>
      <c r="J933">
        <f>IF(MONTH(calls[[#This Row],[Date of Call]])&lt;=6, YEAR(calls[[#This Row],[Date of Call]]), YEAR(calls[[#This Row],[Date of Call]])+1)</f>
        <v>2024</v>
      </c>
      <c r="K933" t="str">
        <f>TEXT(calls[[#This Row],[Date of Call]],"DDDD")</f>
        <v>Tuesday</v>
      </c>
      <c r="L933" t="str" cm="1">
        <f t="array" ref="L933">_xlfn.IFS(calls[[#This Row],[Duration]]&lt;=10,"under 10 mins",calls[[#This Row],[Duration]]&lt;=30,"10 to 30mins",calls[[#This Row],[Duration]]&lt;=60,"60 to 30mins",calls[[#This Row],[Duration]]&lt;=120,"1 to 2hrs",TRUE,"More than 2 hrs")</f>
        <v>10 to 30mins</v>
      </c>
      <c r="M933">
        <f>ROUND(calls[[#This Row],[Satisfaction Rating]],0)</f>
        <v>4</v>
      </c>
      <c r="N933">
        <f>COUNTIF(calls[Customer ID], calls[[#This Row],[Customer ID]])</f>
        <v>74</v>
      </c>
      <c r="O933">
        <f>SUMIF(calls[Customer ID], calls[[#This Row],[Customer ID]], calls[Purchase Amount])</f>
        <v>6749</v>
      </c>
      <c r="P933">
        <f>calls[[#This Row],[call count]]/calls[[#This Row],[Purchase Amount]]</f>
        <v>1</v>
      </c>
      <c r="Q933">
        <f>COUNTIF(calls[Customer ID],calls[[#This Row],[Customer ID]])</f>
        <v>74</v>
      </c>
      <c r="R933">
        <f>calls[[#This Row],[call count]]/calls[[#This Row],[Purchase Amount]]</f>
        <v>1</v>
      </c>
    </row>
    <row r="934" spans="1:18" x14ac:dyDescent="0.4">
      <c r="A934" t="s">
        <v>964</v>
      </c>
      <c r="B934" t="s">
        <v>11</v>
      </c>
      <c r="C934">
        <v>158</v>
      </c>
      <c r="D934" s="4" t="s">
        <v>27</v>
      </c>
      <c r="E934" s="5">
        <v>45251</v>
      </c>
      <c r="F934">
        <v>36</v>
      </c>
      <c r="G934">
        <f>AVERAGEIF(calls[Representative], calls[[#This Row],[Representative]], calls[Satisfaction Rating])</f>
        <v>3.8589371980676304</v>
      </c>
      <c r="H934" t="str">
        <f>IF(AVERAGEIF(calls[Representative],calls[[#This Row],[Representative]],calls[Satisfaction Rating])&lt;3.5,"Needs Training","OK")</f>
        <v>OK</v>
      </c>
      <c r="I934">
        <v>3</v>
      </c>
      <c r="J934">
        <f>IF(MONTH(calls[[#This Row],[Date of Call]])&lt;=6, YEAR(calls[[#This Row],[Date of Call]]), YEAR(calls[[#This Row],[Date of Call]])+1)</f>
        <v>2024</v>
      </c>
      <c r="K934" t="str">
        <f>TEXT(calls[[#This Row],[Date of Call]],"DDDD")</f>
        <v>Tuesday</v>
      </c>
      <c r="L934" t="str" cm="1">
        <f t="array" ref="L934">_xlfn.IFS(calls[[#This Row],[Duration]]&lt;=10,"under 10 mins",calls[[#This Row],[Duration]]&lt;=30,"10 to 30mins",calls[[#This Row],[Duration]]&lt;=60,"60 to 30mins",calls[[#This Row],[Duration]]&lt;=120,"1 to 2hrs",TRUE,"More than 2 hrs")</f>
        <v>More than 2 hrs</v>
      </c>
      <c r="M934">
        <f>ROUND(calls[[#This Row],[Satisfaction Rating]],0)</f>
        <v>3</v>
      </c>
      <c r="N934">
        <f>COUNTIF(calls[Customer ID], calls[[#This Row],[Customer ID]])</f>
        <v>60</v>
      </c>
      <c r="O934">
        <f>SUMIF(calls[Customer ID], calls[[#This Row],[Customer ID]], calls[Purchase Amount])</f>
        <v>5404</v>
      </c>
      <c r="P934">
        <f>calls[[#This Row],[call count]]/calls[[#This Row],[Purchase Amount]]</f>
        <v>1.6666666666666667</v>
      </c>
      <c r="Q934">
        <f>COUNTIF(calls[Customer ID],calls[[#This Row],[Customer ID]])</f>
        <v>60</v>
      </c>
      <c r="R934">
        <f>calls[[#This Row],[call count]]/calls[[#This Row],[Purchase Amount]]</f>
        <v>1.6666666666666667</v>
      </c>
    </row>
    <row r="935" spans="1:18" x14ac:dyDescent="0.4">
      <c r="A935" t="s">
        <v>965</v>
      </c>
      <c r="B935" t="s">
        <v>21</v>
      </c>
      <c r="C935">
        <v>99</v>
      </c>
      <c r="D935" s="4" t="s">
        <v>27</v>
      </c>
      <c r="E935" s="5">
        <v>45253</v>
      </c>
      <c r="F935">
        <v>116</v>
      </c>
      <c r="G935">
        <f>AVERAGEIF(calls[Representative], calls[[#This Row],[Representative]], calls[Satisfaction Rating])</f>
        <v>3.8589371980676304</v>
      </c>
      <c r="H935" t="str">
        <f>IF(AVERAGEIF(calls[Representative],calls[[#This Row],[Representative]],calls[Satisfaction Rating])&lt;3.5,"Needs Training","OK")</f>
        <v>OK</v>
      </c>
      <c r="I935">
        <v>3.9</v>
      </c>
      <c r="J935">
        <f>IF(MONTH(calls[[#This Row],[Date of Call]])&lt;=6, YEAR(calls[[#This Row],[Date of Call]]), YEAR(calls[[#This Row],[Date of Call]])+1)</f>
        <v>2024</v>
      </c>
      <c r="K935" t="str">
        <f>TEXT(calls[[#This Row],[Date of Call]],"DDDD")</f>
        <v>Thursday</v>
      </c>
      <c r="L935" t="str" cm="1">
        <f t="array" ref="L935">_xlfn.IFS(calls[[#This Row],[Duration]]&lt;=10,"under 10 mins",calls[[#This Row],[Duration]]&lt;=30,"10 to 30mins",calls[[#This Row],[Duration]]&lt;=60,"60 to 30mins",calls[[#This Row],[Duration]]&lt;=120,"1 to 2hrs",TRUE,"More than 2 hrs")</f>
        <v>1 to 2hrs</v>
      </c>
      <c r="M935">
        <f>ROUND(calls[[#This Row],[Satisfaction Rating]],0)</f>
        <v>4</v>
      </c>
      <c r="N935">
        <f>COUNTIF(calls[Customer ID], calls[[#This Row],[Customer ID]])</f>
        <v>67</v>
      </c>
      <c r="O935">
        <f>SUMIF(calls[Customer ID], calls[[#This Row],[Customer ID]], calls[Purchase Amount])</f>
        <v>7216</v>
      </c>
      <c r="P935">
        <f>calls[[#This Row],[call count]]/calls[[#This Row],[Purchase Amount]]</f>
        <v>0.57758620689655171</v>
      </c>
      <c r="Q935">
        <f>COUNTIF(calls[Customer ID],calls[[#This Row],[Customer ID]])</f>
        <v>67</v>
      </c>
      <c r="R935">
        <f>calls[[#This Row],[call count]]/calls[[#This Row],[Purchase Amount]]</f>
        <v>0.57758620689655171</v>
      </c>
    </row>
    <row r="936" spans="1:18" x14ac:dyDescent="0.4">
      <c r="A936" t="s">
        <v>966</v>
      </c>
      <c r="B936" t="s">
        <v>11</v>
      </c>
      <c r="C936">
        <v>78</v>
      </c>
      <c r="D936" s="4" t="s">
        <v>14</v>
      </c>
      <c r="E936" s="5">
        <v>45253</v>
      </c>
      <c r="F936">
        <v>140</v>
      </c>
      <c r="G936">
        <f>AVERAGEIF(calls[Representative], calls[[#This Row],[Representative]], calls[Satisfaction Rating])</f>
        <v>3.9227513227513247</v>
      </c>
      <c r="H936" t="str">
        <f>IF(AVERAGEIF(calls[Representative],calls[[#This Row],[Representative]],calls[Satisfaction Rating])&lt;3.5,"Needs Training","OK")</f>
        <v>OK</v>
      </c>
      <c r="I936">
        <v>4</v>
      </c>
      <c r="J936">
        <f>IF(MONTH(calls[[#This Row],[Date of Call]])&lt;=6, YEAR(calls[[#This Row],[Date of Call]]), YEAR(calls[[#This Row],[Date of Call]])+1)</f>
        <v>2024</v>
      </c>
      <c r="K936" t="str">
        <f>TEXT(calls[[#This Row],[Date of Call]],"DDDD")</f>
        <v>Thursday</v>
      </c>
      <c r="L936" t="str" cm="1">
        <f t="array" ref="L936">_xlfn.IFS(calls[[#This Row],[Duration]]&lt;=10,"under 10 mins",calls[[#This Row],[Duration]]&lt;=30,"10 to 30mins",calls[[#This Row],[Duration]]&lt;=60,"60 to 30mins",calls[[#This Row],[Duration]]&lt;=120,"1 to 2hrs",TRUE,"More than 2 hrs")</f>
        <v>1 to 2hrs</v>
      </c>
      <c r="M936">
        <f>ROUND(calls[[#This Row],[Satisfaction Rating]],0)</f>
        <v>4</v>
      </c>
      <c r="N936">
        <f>COUNTIF(calls[Customer ID], calls[[#This Row],[Customer ID]])</f>
        <v>60</v>
      </c>
      <c r="O936">
        <f>SUMIF(calls[Customer ID], calls[[#This Row],[Customer ID]], calls[Purchase Amount])</f>
        <v>5404</v>
      </c>
      <c r="P936">
        <f>calls[[#This Row],[call count]]/calls[[#This Row],[Purchase Amount]]</f>
        <v>0.42857142857142855</v>
      </c>
      <c r="Q936">
        <f>COUNTIF(calls[Customer ID],calls[[#This Row],[Customer ID]])</f>
        <v>60</v>
      </c>
      <c r="R936">
        <f>calls[[#This Row],[call count]]/calls[[#This Row],[Purchase Amount]]</f>
        <v>0.42857142857142855</v>
      </c>
    </row>
    <row r="937" spans="1:18" x14ac:dyDescent="0.4">
      <c r="A937" t="s">
        <v>967</v>
      </c>
      <c r="B937" t="s">
        <v>11</v>
      </c>
      <c r="C937">
        <v>102</v>
      </c>
      <c r="D937" s="4" t="s">
        <v>9</v>
      </c>
      <c r="E937" s="5">
        <v>45254</v>
      </c>
      <c r="F937">
        <v>104</v>
      </c>
      <c r="G937">
        <f>AVERAGEIF(calls[Representative], calls[[#This Row],[Representative]], calls[Satisfaction Rating])</f>
        <v>3.8706422018348627</v>
      </c>
      <c r="H937" t="str">
        <f>IF(AVERAGEIF(calls[Representative],calls[[#This Row],[Representative]],calls[Satisfaction Rating])&lt;3.5,"Needs Training","OK")</f>
        <v>OK</v>
      </c>
      <c r="I937">
        <v>4.5</v>
      </c>
      <c r="J937">
        <f>IF(MONTH(calls[[#This Row],[Date of Call]])&lt;=6, YEAR(calls[[#This Row],[Date of Call]]), YEAR(calls[[#This Row],[Date of Call]])+1)</f>
        <v>2024</v>
      </c>
      <c r="K937" t="str">
        <f>TEXT(calls[[#This Row],[Date of Call]],"DDDD")</f>
        <v>Friday</v>
      </c>
      <c r="L937" t="str" cm="1">
        <f t="array" ref="L937">_xlfn.IFS(calls[[#This Row],[Duration]]&lt;=10,"under 10 mins",calls[[#This Row],[Duration]]&lt;=30,"10 to 30mins",calls[[#This Row],[Duration]]&lt;=60,"60 to 30mins",calls[[#This Row],[Duration]]&lt;=120,"1 to 2hrs",TRUE,"More than 2 hrs")</f>
        <v>1 to 2hrs</v>
      </c>
      <c r="M937">
        <f>ROUND(calls[[#This Row],[Satisfaction Rating]],0)</f>
        <v>5</v>
      </c>
      <c r="N937">
        <f>COUNTIF(calls[Customer ID], calls[[#This Row],[Customer ID]])</f>
        <v>60</v>
      </c>
      <c r="O937">
        <f>SUMIF(calls[Customer ID], calls[[#This Row],[Customer ID]], calls[Purchase Amount])</f>
        <v>5404</v>
      </c>
      <c r="P937">
        <f>calls[[#This Row],[call count]]/calls[[#This Row],[Purchase Amount]]</f>
        <v>0.57692307692307687</v>
      </c>
      <c r="Q937">
        <f>COUNTIF(calls[Customer ID],calls[[#This Row],[Customer ID]])</f>
        <v>60</v>
      </c>
      <c r="R937">
        <f>calls[[#This Row],[call count]]/calls[[#This Row],[Purchase Amount]]</f>
        <v>0.57692307692307687</v>
      </c>
    </row>
    <row r="938" spans="1:18" x14ac:dyDescent="0.4">
      <c r="A938" t="s">
        <v>968</v>
      </c>
      <c r="B938" t="s">
        <v>21</v>
      </c>
      <c r="C938">
        <v>158</v>
      </c>
      <c r="D938" s="4" t="s">
        <v>23</v>
      </c>
      <c r="E938" s="5">
        <v>45254</v>
      </c>
      <c r="F938">
        <v>148</v>
      </c>
      <c r="G938">
        <f>AVERAGEIF(calls[Representative], calls[[#This Row],[Representative]], calls[Satisfaction Rating])</f>
        <v>3.8973118279569863</v>
      </c>
      <c r="H938" t="str">
        <f>IF(AVERAGEIF(calls[Representative],calls[[#This Row],[Representative]],calls[Satisfaction Rating])&lt;3.5,"Needs Training","OK")</f>
        <v>OK</v>
      </c>
      <c r="I938">
        <v>4</v>
      </c>
      <c r="J938">
        <f>IF(MONTH(calls[[#This Row],[Date of Call]])&lt;=6, YEAR(calls[[#This Row],[Date of Call]]), YEAR(calls[[#This Row],[Date of Call]])+1)</f>
        <v>2024</v>
      </c>
      <c r="K938" t="str">
        <f>TEXT(calls[[#This Row],[Date of Call]],"DDDD")</f>
        <v>Friday</v>
      </c>
      <c r="L938" t="str" cm="1">
        <f t="array" ref="L938">_xlfn.IFS(calls[[#This Row],[Duration]]&lt;=10,"under 10 mins",calls[[#This Row],[Duration]]&lt;=30,"10 to 30mins",calls[[#This Row],[Duration]]&lt;=60,"60 to 30mins",calls[[#This Row],[Duration]]&lt;=120,"1 to 2hrs",TRUE,"More than 2 hrs")</f>
        <v>More than 2 hrs</v>
      </c>
      <c r="M938">
        <f>ROUND(calls[[#This Row],[Satisfaction Rating]],0)</f>
        <v>4</v>
      </c>
      <c r="N938">
        <f>COUNTIF(calls[Customer ID], calls[[#This Row],[Customer ID]])</f>
        <v>67</v>
      </c>
      <c r="O938">
        <f>SUMIF(calls[Customer ID], calls[[#This Row],[Customer ID]], calls[Purchase Amount])</f>
        <v>7216</v>
      </c>
      <c r="P938">
        <f>calls[[#This Row],[call count]]/calls[[#This Row],[Purchase Amount]]</f>
        <v>0.45270270270270269</v>
      </c>
      <c r="Q938">
        <f>COUNTIF(calls[Customer ID],calls[[#This Row],[Customer ID]])</f>
        <v>67</v>
      </c>
      <c r="R938">
        <f>calls[[#This Row],[call count]]/calls[[#This Row],[Purchase Amount]]</f>
        <v>0.45270270270270269</v>
      </c>
    </row>
    <row r="939" spans="1:18" x14ac:dyDescent="0.4">
      <c r="A939" t="s">
        <v>969</v>
      </c>
      <c r="B939" t="s">
        <v>32</v>
      </c>
      <c r="C939">
        <v>56</v>
      </c>
      <c r="D939" s="4" t="s">
        <v>27</v>
      </c>
      <c r="E939" s="5">
        <v>45254</v>
      </c>
      <c r="F939">
        <v>205</v>
      </c>
      <c r="G939">
        <f>AVERAGEIF(calls[Representative], calls[[#This Row],[Representative]], calls[Satisfaction Rating])</f>
        <v>3.8589371980676304</v>
      </c>
      <c r="H939" t="str">
        <f>IF(AVERAGEIF(calls[Representative],calls[[#This Row],[Representative]],calls[Satisfaction Rating])&lt;3.5,"Needs Training","OK")</f>
        <v>OK</v>
      </c>
      <c r="I939">
        <v>4.3</v>
      </c>
      <c r="J939">
        <f>IF(MONTH(calls[[#This Row],[Date of Call]])&lt;=6, YEAR(calls[[#This Row],[Date of Call]]), YEAR(calls[[#This Row],[Date of Call]])+1)</f>
        <v>2024</v>
      </c>
      <c r="K939" t="str">
        <f>TEXT(calls[[#This Row],[Date of Call]],"DDDD")</f>
        <v>Friday</v>
      </c>
      <c r="L939" t="str" cm="1">
        <f t="array" ref="L939">_xlfn.IFS(calls[[#This Row],[Duration]]&lt;=10,"under 10 mins",calls[[#This Row],[Duration]]&lt;=30,"10 to 30mins",calls[[#This Row],[Duration]]&lt;=60,"60 to 30mins",calls[[#This Row],[Duration]]&lt;=120,"1 to 2hrs",TRUE,"More than 2 hrs")</f>
        <v>60 to 30mins</v>
      </c>
      <c r="M939">
        <f>ROUND(calls[[#This Row],[Satisfaction Rating]],0)</f>
        <v>4</v>
      </c>
      <c r="N939">
        <f>COUNTIF(calls[Customer ID], calls[[#This Row],[Customer ID]])</f>
        <v>63</v>
      </c>
      <c r="O939">
        <f>SUMIF(calls[Customer ID], calls[[#This Row],[Customer ID]], calls[Purchase Amount])</f>
        <v>5634</v>
      </c>
      <c r="P939">
        <f>calls[[#This Row],[call count]]/calls[[#This Row],[Purchase Amount]]</f>
        <v>0.3073170731707317</v>
      </c>
      <c r="Q939">
        <f>COUNTIF(calls[Customer ID],calls[[#This Row],[Customer ID]])</f>
        <v>63</v>
      </c>
      <c r="R939">
        <f>calls[[#This Row],[call count]]/calls[[#This Row],[Purchase Amount]]</f>
        <v>0.3073170731707317</v>
      </c>
    </row>
    <row r="940" spans="1:18" x14ac:dyDescent="0.4">
      <c r="A940" t="s">
        <v>970</v>
      </c>
      <c r="B940" t="s">
        <v>6</v>
      </c>
      <c r="C940">
        <v>17</v>
      </c>
      <c r="D940" s="4" t="s">
        <v>2</v>
      </c>
      <c r="E940" s="5">
        <v>45254</v>
      </c>
      <c r="F940">
        <v>210</v>
      </c>
      <c r="G940">
        <f>AVERAGEIF(calls[Representative], calls[[#This Row],[Representative]], calls[Satisfaction Rating])</f>
        <v>3.8824999999999998</v>
      </c>
      <c r="H940" t="str">
        <f>IF(AVERAGEIF(calls[Representative],calls[[#This Row],[Representative]],calls[Satisfaction Rating])&lt;3.5,"Needs Training","OK")</f>
        <v>OK</v>
      </c>
      <c r="I940">
        <v>4.8</v>
      </c>
      <c r="J940">
        <f>IF(MONTH(calls[[#This Row],[Date of Call]])&lt;=6, YEAR(calls[[#This Row],[Date of Call]]), YEAR(calls[[#This Row],[Date of Call]])+1)</f>
        <v>2024</v>
      </c>
      <c r="K940" t="str">
        <f>TEXT(calls[[#This Row],[Date of Call]],"DDDD")</f>
        <v>Friday</v>
      </c>
      <c r="L940" t="str" cm="1">
        <f t="array" ref="L940">_xlfn.IFS(calls[[#This Row],[Duration]]&lt;=10,"under 10 mins",calls[[#This Row],[Duration]]&lt;=30,"10 to 30mins",calls[[#This Row],[Duration]]&lt;=60,"60 to 30mins",calls[[#This Row],[Duration]]&lt;=120,"1 to 2hrs",TRUE,"More than 2 hrs")</f>
        <v>10 to 30mins</v>
      </c>
      <c r="M940">
        <f>ROUND(calls[[#This Row],[Satisfaction Rating]],0)</f>
        <v>5</v>
      </c>
      <c r="N940">
        <f>COUNTIF(calls[Customer ID], calls[[#This Row],[Customer ID]])</f>
        <v>82</v>
      </c>
      <c r="O940">
        <f>SUMIF(calls[Customer ID], calls[[#This Row],[Customer ID]], calls[Purchase Amount])</f>
        <v>7689</v>
      </c>
      <c r="P940">
        <f>calls[[#This Row],[call count]]/calls[[#This Row],[Purchase Amount]]</f>
        <v>0.39047619047619048</v>
      </c>
      <c r="Q940">
        <f>COUNTIF(calls[Customer ID],calls[[#This Row],[Customer ID]])</f>
        <v>82</v>
      </c>
      <c r="R940">
        <f>calls[[#This Row],[call count]]/calls[[#This Row],[Purchase Amount]]</f>
        <v>0.39047619047619048</v>
      </c>
    </row>
    <row r="941" spans="1:18" x14ac:dyDescent="0.4">
      <c r="A941" t="s">
        <v>971</v>
      </c>
      <c r="B941" t="s">
        <v>13</v>
      </c>
      <c r="C941">
        <v>104</v>
      </c>
      <c r="D941" s="4" t="s">
        <v>23</v>
      </c>
      <c r="E941" s="5">
        <v>45256</v>
      </c>
      <c r="F941">
        <v>41</v>
      </c>
      <c r="G941">
        <f>AVERAGEIF(calls[Representative], calls[[#This Row],[Representative]], calls[Satisfaction Rating])</f>
        <v>3.8973118279569863</v>
      </c>
      <c r="H941" t="str">
        <f>IF(AVERAGEIF(calls[Representative],calls[[#This Row],[Representative]],calls[Satisfaction Rating])&lt;3.5,"Needs Training","OK")</f>
        <v>OK</v>
      </c>
      <c r="I941">
        <v>4.7</v>
      </c>
      <c r="J941">
        <f>IF(MONTH(calls[[#This Row],[Date of Call]])&lt;=6, YEAR(calls[[#This Row],[Date of Call]]), YEAR(calls[[#This Row],[Date of Call]])+1)</f>
        <v>2024</v>
      </c>
      <c r="K941" t="str">
        <f>TEXT(calls[[#This Row],[Date of Call]],"DDDD")</f>
        <v>Sunday</v>
      </c>
      <c r="L941" t="str" cm="1">
        <f t="array" ref="L941">_xlfn.IFS(calls[[#This Row],[Duration]]&lt;=10,"under 10 mins",calls[[#This Row],[Duration]]&lt;=30,"10 to 30mins",calls[[#This Row],[Duration]]&lt;=60,"60 to 30mins",calls[[#This Row],[Duration]]&lt;=120,"1 to 2hrs",TRUE,"More than 2 hrs")</f>
        <v>1 to 2hrs</v>
      </c>
      <c r="M941">
        <f>ROUND(calls[[#This Row],[Satisfaction Rating]],0)</f>
        <v>5</v>
      </c>
      <c r="N941">
        <f>COUNTIF(calls[Customer ID], calls[[#This Row],[Customer ID]])</f>
        <v>74</v>
      </c>
      <c r="O941">
        <f>SUMIF(calls[Customer ID], calls[[#This Row],[Customer ID]], calls[Purchase Amount])</f>
        <v>6749</v>
      </c>
      <c r="P941">
        <f>calls[[#This Row],[call count]]/calls[[#This Row],[Purchase Amount]]</f>
        <v>1.8048780487804879</v>
      </c>
      <c r="Q941">
        <f>COUNTIF(calls[Customer ID],calls[[#This Row],[Customer ID]])</f>
        <v>74</v>
      </c>
      <c r="R941">
        <f>calls[[#This Row],[call count]]/calls[[#This Row],[Purchase Amount]]</f>
        <v>1.8048780487804879</v>
      </c>
    </row>
    <row r="942" spans="1:18" x14ac:dyDescent="0.4">
      <c r="A942" t="s">
        <v>972</v>
      </c>
      <c r="B942" t="s">
        <v>51</v>
      </c>
      <c r="C942">
        <v>96</v>
      </c>
      <c r="D942" s="4" t="s">
        <v>14</v>
      </c>
      <c r="E942" s="5">
        <v>45256</v>
      </c>
      <c r="F942">
        <v>136</v>
      </c>
      <c r="G942">
        <f>AVERAGEIF(calls[Representative], calls[[#This Row],[Representative]], calls[Satisfaction Rating])</f>
        <v>3.9227513227513247</v>
      </c>
      <c r="H942" t="str">
        <f>IF(AVERAGEIF(calls[Representative],calls[[#This Row],[Representative]],calls[Satisfaction Rating])&lt;3.5,"Needs Training","OK")</f>
        <v>OK</v>
      </c>
      <c r="I942">
        <v>5</v>
      </c>
      <c r="J942">
        <f>IF(MONTH(calls[[#This Row],[Date of Call]])&lt;=6, YEAR(calls[[#This Row],[Date of Call]]), YEAR(calls[[#This Row],[Date of Call]])+1)</f>
        <v>2024</v>
      </c>
      <c r="K942" t="str">
        <f>TEXT(calls[[#This Row],[Date of Call]],"DDDD")</f>
        <v>Sunday</v>
      </c>
      <c r="L942" t="str" cm="1">
        <f t="array" ref="L942">_xlfn.IFS(calls[[#This Row],[Duration]]&lt;=10,"under 10 mins",calls[[#This Row],[Duration]]&lt;=30,"10 to 30mins",calls[[#This Row],[Duration]]&lt;=60,"60 to 30mins",calls[[#This Row],[Duration]]&lt;=120,"1 to 2hrs",TRUE,"More than 2 hrs")</f>
        <v>1 to 2hrs</v>
      </c>
      <c r="M942">
        <f>ROUND(calls[[#This Row],[Satisfaction Rating]],0)</f>
        <v>5</v>
      </c>
      <c r="N942">
        <f>COUNTIF(calls[Customer ID], calls[[#This Row],[Customer ID]])</f>
        <v>59</v>
      </c>
      <c r="O942">
        <f>SUMIF(calls[Customer ID], calls[[#This Row],[Customer ID]], calls[Purchase Amount])</f>
        <v>6518</v>
      </c>
      <c r="P942">
        <f>calls[[#This Row],[call count]]/calls[[#This Row],[Purchase Amount]]</f>
        <v>0.43382352941176472</v>
      </c>
      <c r="Q942">
        <f>COUNTIF(calls[Customer ID],calls[[#This Row],[Customer ID]])</f>
        <v>59</v>
      </c>
      <c r="R942">
        <f>calls[[#This Row],[call count]]/calls[[#This Row],[Purchase Amount]]</f>
        <v>0.43382352941176472</v>
      </c>
    </row>
    <row r="943" spans="1:18" x14ac:dyDescent="0.4">
      <c r="A943" t="s">
        <v>973</v>
      </c>
      <c r="B943" t="s">
        <v>40</v>
      </c>
      <c r="C943">
        <v>83</v>
      </c>
      <c r="D943" s="4" t="s">
        <v>9</v>
      </c>
      <c r="E943" s="5">
        <v>45257</v>
      </c>
      <c r="F943">
        <v>126</v>
      </c>
      <c r="G943">
        <f>AVERAGEIF(calls[Representative], calls[[#This Row],[Representative]], calls[Satisfaction Rating])</f>
        <v>3.8706422018348627</v>
      </c>
      <c r="H943" t="str">
        <f>IF(AVERAGEIF(calls[Representative],calls[[#This Row],[Representative]],calls[Satisfaction Rating])&lt;3.5,"Needs Training","OK")</f>
        <v>OK</v>
      </c>
      <c r="I943">
        <v>1.5</v>
      </c>
      <c r="J943">
        <f>IF(MONTH(calls[[#This Row],[Date of Call]])&lt;=6, YEAR(calls[[#This Row],[Date of Call]]), YEAR(calls[[#This Row],[Date of Call]])+1)</f>
        <v>2024</v>
      </c>
      <c r="K943" t="str">
        <f>TEXT(calls[[#This Row],[Date of Call]],"DDDD")</f>
        <v>Monday</v>
      </c>
      <c r="L943" t="str" cm="1">
        <f t="array" ref="L943">_xlfn.IFS(calls[[#This Row],[Duration]]&lt;=10,"under 10 mins",calls[[#This Row],[Duration]]&lt;=30,"10 to 30mins",calls[[#This Row],[Duration]]&lt;=60,"60 to 30mins",calls[[#This Row],[Duration]]&lt;=120,"1 to 2hrs",TRUE,"More than 2 hrs")</f>
        <v>1 to 2hrs</v>
      </c>
      <c r="M943">
        <f>ROUND(calls[[#This Row],[Satisfaction Rating]],0)</f>
        <v>2</v>
      </c>
      <c r="N943">
        <f>COUNTIF(calls[Customer ID], calls[[#This Row],[Customer ID]])</f>
        <v>69</v>
      </c>
      <c r="O943">
        <f>SUMIF(calls[Customer ID], calls[[#This Row],[Customer ID]], calls[Purchase Amount])</f>
        <v>6601</v>
      </c>
      <c r="P943">
        <f>calls[[#This Row],[call count]]/calls[[#This Row],[Purchase Amount]]</f>
        <v>0.54761904761904767</v>
      </c>
      <c r="Q943">
        <f>COUNTIF(calls[Customer ID],calls[[#This Row],[Customer ID]])</f>
        <v>69</v>
      </c>
      <c r="R943">
        <f>calls[[#This Row],[call count]]/calls[[#This Row],[Purchase Amount]]</f>
        <v>0.54761904761904767</v>
      </c>
    </row>
    <row r="944" spans="1:18" x14ac:dyDescent="0.4">
      <c r="A944" t="s">
        <v>974</v>
      </c>
      <c r="B944" t="s">
        <v>8</v>
      </c>
      <c r="C944">
        <v>80</v>
      </c>
      <c r="D944" s="4" t="s">
        <v>2</v>
      </c>
      <c r="E944" s="5">
        <v>45258</v>
      </c>
      <c r="F944">
        <v>148</v>
      </c>
      <c r="G944">
        <f>AVERAGEIF(calls[Representative], calls[[#This Row],[Representative]], calls[Satisfaction Rating])</f>
        <v>3.8824999999999998</v>
      </c>
      <c r="H944" t="str">
        <f>IF(AVERAGEIF(calls[Representative],calls[[#This Row],[Representative]],calls[Satisfaction Rating])&lt;3.5,"Needs Training","OK")</f>
        <v>OK</v>
      </c>
      <c r="I944">
        <v>4.0999999999999996</v>
      </c>
      <c r="J944">
        <f>IF(MONTH(calls[[#This Row],[Date of Call]])&lt;=6, YEAR(calls[[#This Row],[Date of Call]]), YEAR(calls[[#This Row],[Date of Call]])+1)</f>
        <v>2024</v>
      </c>
      <c r="K944" t="str">
        <f>TEXT(calls[[#This Row],[Date of Call]],"DDDD")</f>
        <v>Tuesday</v>
      </c>
      <c r="L944" t="str" cm="1">
        <f t="array" ref="L944">_xlfn.IFS(calls[[#This Row],[Duration]]&lt;=10,"under 10 mins",calls[[#This Row],[Duration]]&lt;=30,"10 to 30mins",calls[[#This Row],[Duration]]&lt;=60,"60 to 30mins",calls[[#This Row],[Duration]]&lt;=120,"1 to 2hrs",TRUE,"More than 2 hrs")</f>
        <v>1 to 2hrs</v>
      </c>
      <c r="M944">
        <f>ROUND(calls[[#This Row],[Satisfaction Rating]],0)</f>
        <v>4</v>
      </c>
      <c r="N944">
        <f>COUNTIF(calls[Customer ID], calls[[#This Row],[Customer ID]])</f>
        <v>79</v>
      </c>
      <c r="O944">
        <f>SUMIF(calls[Customer ID], calls[[#This Row],[Customer ID]], calls[Purchase Amount])</f>
        <v>7747</v>
      </c>
      <c r="P944">
        <f>calls[[#This Row],[call count]]/calls[[#This Row],[Purchase Amount]]</f>
        <v>0.53378378378378377</v>
      </c>
      <c r="Q944">
        <f>COUNTIF(calls[Customer ID],calls[[#This Row],[Customer ID]])</f>
        <v>79</v>
      </c>
      <c r="R944">
        <f>calls[[#This Row],[call count]]/calls[[#This Row],[Purchase Amount]]</f>
        <v>0.53378378378378377</v>
      </c>
    </row>
    <row r="945" spans="1:18" x14ac:dyDescent="0.4">
      <c r="A945" t="s">
        <v>975</v>
      </c>
      <c r="B945" t="s">
        <v>40</v>
      </c>
      <c r="C945">
        <v>152</v>
      </c>
      <c r="D945" s="4" t="s">
        <v>9</v>
      </c>
      <c r="E945" s="5">
        <v>45258</v>
      </c>
      <c r="F945">
        <v>125</v>
      </c>
      <c r="G945">
        <f>AVERAGEIF(calls[Representative], calls[[#This Row],[Representative]], calls[Satisfaction Rating])</f>
        <v>3.8706422018348627</v>
      </c>
      <c r="H945" t="str">
        <f>IF(AVERAGEIF(calls[Representative],calls[[#This Row],[Representative]],calls[Satisfaction Rating])&lt;3.5,"Needs Training","OK")</f>
        <v>OK</v>
      </c>
      <c r="I945">
        <v>3.9</v>
      </c>
      <c r="J945">
        <f>IF(MONTH(calls[[#This Row],[Date of Call]])&lt;=6, YEAR(calls[[#This Row],[Date of Call]]), YEAR(calls[[#This Row],[Date of Call]])+1)</f>
        <v>2024</v>
      </c>
      <c r="K945" t="str">
        <f>TEXT(calls[[#This Row],[Date of Call]],"DDDD")</f>
        <v>Tuesday</v>
      </c>
      <c r="L945" t="str" cm="1">
        <f t="array" ref="L945">_xlfn.IFS(calls[[#This Row],[Duration]]&lt;=10,"under 10 mins",calls[[#This Row],[Duration]]&lt;=30,"10 to 30mins",calls[[#This Row],[Duration]]&lt;=60,"60 to 30mins",calls[[#This Row],[Duration]]&lt;=120,"1 to 2hrs",TRUE,"More than 2 hrs")</f>
        <v>More than 2 hrs</v>
      </c>
      <c r="M945">
        <f>ROUND(calls[[#This Row],[Satisfaction Rating]],0)</f>
        <v>4</v>
      </c>
      <c r="N945">
        <f>COUNTIF(calls[Customer ID], calls[[#This Row],[Customer ID]])</f>
        <v>69</v>
      </c>
      <c r="O945">
        <f>SUMIF(calls[Customer ID], calls[[#This Row],[Customer ID]], calls[Purchase Amount])</f>
        <v>6601</v>
      </c>
      <c r="P945">
        <f>calls[[#This Row],[call count]]/calls[[#This Row],[Purchase Amount]]</f>
        <v>0.55200000000000005</v>
      </c>
      <c r="Q945">
        <f>COUNTIF(calls[Customer ID],calls[[#This Row],[Customer ID]])</f>
        <v>69</v>
      </c>
      <c r="R945">
        <f>calls[[#This Row],[call count]]/calls[[#This Row],[Purchase Amount]]</f>
        <v>0.55200000000000005</v>
      </c>
    </row>
    <row r="946" spans="1:18" x14ac:dyDescent="0.4">
      <c r="A946" t="s">
        <v>976</v>
      </c>
      <c r="B946" t="s">
        <v>26</v>
      </c>
      <c r="C946">
        <v>34</v>
      </c>
      <c r="D946" s="4" t="s">
        <v>14</v>
      </c>
      <c r="E946" s="5">
        <v>45258</v>
      </c>
      <c r="F946">
        <v>25</v>
      </c>
      <c r="G946">
        <f>AVERAGEIF(calls[Representative], calls[[#This Row],[Representative]], calls[Satisfaction Rating])</f>
        <v>3.9227513227513247</v>
      </c>
      <c r="H946" t="str">
        <f>IF(AVERAGEIF(calls[Representative],calls[[#This Row],[Representative]],calls[Satisfaction Rating])&lt;3.5,"Needs Training","OK")</f>
        <v>OK</v>
      </c>
      <c r="I946">
        <v>4.0999999999999996</v>
      </c>
      <c r="J946">
        <f>IF(MONTH(calls[[#This Row],[Date of Call]])&lt;=6, YEAR(calls[[#This Row],[Date of Call]]), YEAR(calls[[#This Row],[Date of Call]])+1)</f>
        <v>2024</v>
      </c>
      <c r="K946" t="str">
        <f>TEXT(calls[[#This Row],[Date of Call]],"DDDD")</f>
        <v>Tuesday</v>
      </c>
      <c r="L946" t="str" cm="1">
        <f t="array" ref="L946">_xlfn.IFS(calls[[#This Row],[Duration]]&lt;=10,"under 10 mins",calls[[#This Row],[Duration]]&lt;=30,"10 to 30mins",calls[[#This Row],[Duration]]&lt;=60,"60 to 30mins",calls[[#This Row],[Duration]]&lt;=120,"1 to 2hrs",TRUE,"More than 2 hrs")</f>
        <v>60 to 30mins</v>
      </c>
      <c r="M946">
        <f>ROUND(calls[[#This Row],[Satisfaction Rating]],0)</f>
        <v>4</v>
      </c>
      <c r="N946">
        <f>COUNTIF(calls[Customer ID], calls[[#This Row],[Customer ID]])</f>
        <v>72</v>
      </c>
      <c r="O946">
        <f>SUMIF(calls[Customer ID], calls[[#This Row],[Customer ID]], calls[Purchase Amount])</f>
        <v>6242</v>
      </c>
      <c r="P946">
        <f>calls[[#This Row],[call count]]/calls[[#This Row],[Purchase Amount]]</f>
        <v>2.88</v>
      </c>
      <c r="Q946">
        <f>COUNTIF(calls[Customer ID],calls[[#This Row],[Customer ID]])</f>
        <v>72</v>
      </c>
      <c r="R946">
        <f>calls[[#This Row],[call count]]/calls[[#This Row],[Purchase Amount]]</f>
        <v>2.88</v>
      </c>
    </row>
    <row r="947" spans="1:18" x14ac:dyDescent="0.4">
      <c r="A947" t="s">
        <v>977</v>
      </c>
      <c r="B947" t="s">
        <v>30</v>
      </c>
      <c r="C947">
        <v>2</v>
      </c>
      <c r="D947" s="4" t="s">
        <v>27</v>
      </c>
      <c r="E947" s="5">
        <v>45259</v>
      </c>
      <c r="F947">
        <v>62</v>
      </c>
      <c r="G947">
        <f>AVERAGEIF(calls[Representative], calls[[#This Row],[Representative]], calls[Satisfaction Rating])</f>
        <v>3.8589371980676304</v>
      </c>
      <c r="H947" t="str">
        <f>IF(AVERAGEIF(calls[Representative],calls[[#This Row],[Representative]],calls[Satisfaction Rating])&lt;3.5,"Needs Training","OK")</f>
        <v>OK</v>
      </c>
      <c r="I947">
        <v>2.8</v>
      </c>
      <c r="J947">
        <f>IF(MONTH(calls[[#This Row],[Date of Call]])&lt;=6, YEAR(calls[[#This Row],[Date of Call]]), YEAR(calls[[#This Row],[Date of Call]])+1)</f>
        <v>2024</v>
      </c>
      <c r="K947" t="str">
        <f>TEXT(calls[[#This Row],[Date of Call]],"DDDD")</f>
        <v>Wednesday</v>
      </c>
      <c r="L947" t="str" cm="1">
        <f t="array" ref="L947">_xlfn.IFS(calls[[#This Row],[Duration]]&lt;=10,"under 10 mins",calls[[#This Row],[Duration]]&lt;=30,"10 to 30mins",calls[[#This Row],[Duration]]&lt;=60,"60 to 30mins",calls[[#This Row],[Duration]]&lt;=120,"1 to 2hrs",TRUE,"More than 2 hrs")</f>
        <v>under 10 mins</v>
      </c>
      <c r="M947">
        <f>ROUND(calls[[#This Row],[Satisfaction Rating]],0)</f>
        <v>3</v>
      </c>
      <c r="N947">
        <f>COUNTIF(calls[Customer ID], calls[[#This Row],[Customer ID]])</f>
        <v>69</v>
      </c>
      <c r="O947">
        <f>SUMIF(calls[Customer ID], calls[[#This Row],[Customer ID]], calls[Purchase Amount])</f>
        <v>7230</v>
      </c>
      <c r="P947">
        <f>calls[[#This Row],[call count]]/calls[[#This Row],[Purchase Amount]]</f>
        <v>1.1129032258064515</v>
      </c>
      <c r="Q947">
        <f>COUNTIF(calls[Customer ID],calls[[#This Row],[Customer ID]])</f>
        <v>69</v>
      </c>
      <c r="R947">
        <f>calls[[#This Row],[call count]]/calls[[#This Row],[Purchase Amount]]</f>
        <v>1.1129032258064515</v>
      </c>
    </row>
    <row r="948" spans="1:18" x14ac:dyDescent="0.4">
      <c r="A948" t="s">
        <v>978</v>
      </c>
      <c r="B948" t="s">
        <v>8</v>
      </c>
      <c r="C948">
        <v>140</v>
      </c>
      <c r="D948" s="4" t="s">
        <v>14</v>
      </c>
      <c r="E948" s="5">
        <v>45260</v>
      </c>
      <c r="F948">
        <v>90</v>
      </c>
      <c r="G948">
        <f>AVERAGEIF(calls[Representative], calls[[#This Row],[Representative]], calls[Satisfaction Rating])</f>
        <v>3.9227513227513247</v>
      </c>
      <c r="H948" t="str">
        <f>IF(AVERAGEIF(calls[Representative],calls[[#This Row],[Representative]],calls[Satisfaction Rating])&lt;3.5,"Needs Training","OK")</f>
        <v>OK</v>
      </c>
      <c r="I948">
        <v>4.5999999999999996</v>
      </c>
      <c r="J948">
        <f>IF(MONTH(calls[[#This Row],[Date of Call]])&lt;=6, YEAR(calls[[#This Row],[Date of Call]]), YEAR(calls[[#This Row],[Date of Call]])+1)</f>
        <v>2024</v>
      </c>
      <c r="K948" t="str">
        <f>TEXT(calls[[#This Row],[Date of Call]],"DDDD")</f>
        <v>Thursday</v>
      </c>
      <c r="L948" t="str" cm="1">
        <f t="array" ref="L948">_xlfn.IFS(calls[[#This Row],[Duration]]&lt;=10,"under 10 mins",calls[[#This Row],[Duration]]&lt;=30,"10 to 30mins",calls[[#This Row],[Duration]]&lt;=60,"60 to 30mins",calls[[#This Row],[Duration]]&lt;=120,"1 to 2hrs",TRUE,"More than 2 hrs")</f>
        <v>More than 2 hrs</v>
      </c>
      <c r="M948">
        <f>ROUND(calls[[#This Row],[Satisfaction Rating]],0)</f>
        <v>5</v>
      </c>
      <c r="N948">
        <f>COUNTIF(calls[Customer ID], calls[[#This Row],[Customer ID]])</f>
        <v>79</v>
      </c>
      <c r="O948">
        <f>SUMIF(calls[Customer ID], calls[[#This Row],[Customer ID]], calls[Purchase Amount])</f>
        <v>7747</v>
      </c>
      <c r="P948">
        <f>calls[[#This Row],[call count]]/calls[[#This Row],[Purchase Amount]]</f>
        <v>0.87777777777777777</v>
      </c>
      <c r="Q948">
        <f>COUNTIF(calls[Customer ID],calls[[#This Row],[Customer ID]])</f>
        <v>79</v>
      </c>
      <c r="R948">
        <f>calls[[#This Row],[call count]]/calls[[#This Row],[Purchase Amount]]</f>
        <v>0.87777777777777777</v>
      </c>
    </row>
    <row r="949" spans="1:18" x14ac:dyDescent="0.4">
      <c r="A949" t="s">
        <v>979</v>
      </c>
      <c r="B949" t="s">
        <v>6</v>
      </c>
      <c r="C949">
        <v>126</v>
      </c>
      <c r="D949" s="4" t="s">
        <v>23</v>
      </c>
      <c r="E949" s="5">
        <v>45261</v>
      </c>
      <c r="F949">
        <v>33</v>
      </c>
      <c r="G949">
        <f>AVERAGEIF(calls[Representative], calls[[#This Row],[Representative]], calls[Satisfaction Rating])</f>
        <v>3.8973118279569863</v>
      </c>
      <c r="H949" t="str">
        <f>IF(AVERAGEIF(calls[Representative],calls[[#This Row],[Representative]],calls[Satisfaction Rating])&lt;3.5,"Needs Training","OK")</f>
        <v>OK</v>
      </c>
      <c r="I949">
        <v>4.8</v>
      </c>
      <c r="J949">
        <f>IF(MONTH(calls[[#This Row],[Date of Call]])&lt;=6, YEAR(calls[[#This Row],[Date of Call]]), YEAR(calls[[#This Row],[Date of Call]])+1)</f>
        <v>2024</v>
      </c>
      <c r="K949" t="str">
        <f>TEXT(calls[[#This Row],[Date of Call]],"DDDD")</f>
        <v>Friday</v>
      </c>
      <c r="L949" t="str" cm="1">
        <f t="array" ref="L949">_xlfn.IFS(calls[[#This Row],[Duration]]&lt;=10,"under 10 mins",calls[[#This Row],[Duration]]&lt;=30,"10 to 30mins",calls[[#This Row],[Duration]]&lt;=60,"60 to 30mins",calls[[#This Row],[Duration]]&lt;=120,"1 to 2hrs",TRUE,"More than 2 hrs")</f>
        <v>More than 2 hrs</v>
      </c>
      <c r="M949">
        <f>ROUND(calls[[#This Row],[Satisfaction Rating]],0)</f>
        <v>5</v>
      </c>
      <c r="N949">
        <f>COUNTIF(calls[Customer ID], calls[[#This Row],[Customer ID]])</f>
        <v>82</v>
      </c>
      <c r="O949">
        <f>SUMIF(calls[Customer ID], calls[[#This Row],[Customer ID]], calls[Purchase Amount])</f>
        <v>7689</v>
      </c>
      <c r="P949">
        <f>calls[[#This Row],[call count]]/calls[[#This Row],[Purchase Amount]]</f>
        <v>2.4848484848484849</v>
      </c>
      <c r="Q949">
        <f>COUNTIF(calls[Customer ID],calls[[#This Row],[Customer ID]])</f>
        <v>82</v>
      </c>
      <c r="R949">
        <f>calls[[#This Row],[call count]]/calls[[#This Row],[Purchase Amount]]</f>
        <v>2.4848484848484849</v>
      </c>
    </row>
    <row r="950" spans="1:18" x14ac:dyDescent="0.4">
      <c r="A950" t="s">
        <v>980</v>
      </c>
      <c r="B950" t="s">
        <v>11</v>
      </c>
      <c r="C950">
        <v>79</v>
      </c>
      <c r="D950" s="4" t="s">
        <v>27</v>
      </c>
      <c r="E950" s="5">
        <v>45261</v>
      </c>
      <c r="F950">
        <v>115</v>
      </c>
      <c r="G950">
        <f>AVERAGEIF(calls[Representative], calls[[#This Row],[Representative]], calls[Satisfaction Rating])</f>
        <v>3.8589371980676304</v>
      </c>
      <c r="H950" t="str">
        <f>IF(AVERAGEIF(calls[Representative],calls[[#This Row],[Representative]],calls[Satisfaction Rating])&lt;3.5,"Needs Training","OK")</f>
        <v>OK</v>
      </c>
      <c r="I950">
        <v>2.2999999999999998</v>
      </c>
      <c r="J950">
        <f>IF(MONTH(calls[[#This Row],[Date of Call]])&lt;=6, YEAR(calls[[#This Row],[Date of Call]]), YEAR(calls[[#This Row],[Date of Call]])+1)</f>
        <v>2024</v>
      </c>
      <c r="K950" t="str">
        <f>TEXT(calls[[#This Row],[Date of Call]],"DDDD")</f>
        <v>Friday</v>
      </c>
      <c r="L950" t="str" cm="1">
        <f t="array" ref="L950">_xlfn.IFS(calls[[#This Row],[Duration]]&lt;=10,"under 10 mins",calls[[#This Row],[Duration]]&lt;=30,"10 to 30mins",calls[[#This Row],[Duration]]&lt;=60,"60 to 30mins",calls[[#This Row],[Duration]]&lt;=120,"1 to 2hrs",TRUE,"More than 2 hrs")</f>
        <v>1 to 2hrs</v>
      </c>
      <c r="M950">
        <f>ROUND(calls[[#This Row],[Satisfaction Rating]],0)</f>
        <v>2</v>
      </c>
      <c r="N950">
        <f>COUNTIF(calls[Customer ID], calls[[#This Row],[Customer ID]])</f>
        <v>60</v>
      </c>
      <c r="O950">
        <f>SUMIF(calls[Customer ID], calls[[#This Row],[Customer ID]], calls[Purchase Amount])</f>
        <v>5404</v>
      </c>
      <c r="P950">
        <f>calls[[#This Row],[call count]]/calls[[#This Row],[Purchase Amount]]</f>
        <v>0.52173913043478259</v>
      </c>
      <c r="Q950">
        <f>COUNTIF(calls[Customer ID],calls[[#This Row],[Customer ID]])</f>
        <v>60</v>
      </c>
      <c r="R950">
        <f>calls[[#This Row],[call count]]/calls[[#This Row],[Purchase Amount]]</f>
        <v>0.52173913043478259</v>
      </c>
    </row>
    <row r="951" spans="1:18" x14ac:dyDescent="0.4">
      <c r="A951" t="s">
        <v>981</v>
      </c>
      <c r="B951" t="s">
        <v>6</v>
      </c>
      <c r="C951">
        <v>133</v>
      </c>
      <c r="D951" s="4" t="s">
        <v>23</v>
      </c>
      <c r="E951" s="5">
        <v>45261</v>
      </c>
      <c r="F951">
        <v>45</v>
      </c>
      <c r="G951">
        <f>AVERAGEIF(calls[Representative], calls[[#This Row],[Representative]], calls[Satisfaction Rating])</f>
        <v>3.8973118279569863</v>
      </c>
      <c r="H951" t="str">
        <f>IF(AVERAGEIF(calls[Representative],calls[[#This Row],[Representative]],calls[Satisfaction Rating])&lt;3.5,"Needs Training","OK")</f>
        <v>OK</v>
      </c>
      <c r="I951">
        <v>2.6</v>
      </c>
      <c r="J951">
        <f>IF(MONTH(calls[[#This Row],[Date of Call]])&lt;=6, YEAR(calls[[#This Row],[Date of Call]]), YEAR(calls[[#This Row],[Date of Call]])+1)</f>
        <v>2024</v>
      </c>
      <c r="K951" t="str">
        <f>TEXT(calls[[#This Row],[Date of Call]],"DDDD")</f>
        <v>Friday</v>
      </c>
      <c r="L951" t="str" cm="1">
        <f t="array" ref="L951">_xlfn.IFS(calls[[#This Row],[Duration]]&lt;=10,"under 10 mins",calls[[#This Row],[Duration]]&lt;=30,"10 to 30mins",calls[[#This Row],[Duration]]&lt;=60,"60 to 30mins",calls[[#This Row],[Duration]]&lt;=120,"1 to 2hrs",TRUE,"More than 2 hrs")</f>
        <v>More than 2 hrs</v>
      </c>
      <c r="M951">
        <f>ROUND(calls[[#This Row],[Satisfaction Rating]],0)</f>
        <v>3</v>
      </c>
      <c r="N951">
        <f>COUNTIF(calls[Customer ID], calls[[#This Row],[Customer ID]])</f>
        <v>82</v>
      </c>
      <c r="O951">
        <f>SUMIF(calls[Customer ID], calls[[#This Row],[Customer ID]], calls[Purchase Amount])</f>
        <v>7689</v>
      </c>
      <c r="P951">
        <f>calls[[#This Row],[call count]]/calls[[#This Row],[Purchase Amount]]</f>
        <v>1.8222222222222222</v>
      </c>
      <c r="Q951">
        <f>COUNTIF(calls[Customer ID],calls[[#This Row],[Customer ID]])</f>
        <v>82</v>
      </c>
      <c r="R951">
        <f>calls[[#This Row],[call count]]/calls[[#This Row],[Purchase Amount]]</f>
        <v>1.8222222222222222</v>
      </c>
    </row>
    <row r="952" spans="1:18" x14ac:dyDescent="0.4">
      <c r="A952" t="s">
        <v>982</v>
      </c>
      <c r="B952" t="s">
        <v>26</v>
      </c>
      <c r="C952">
        <v>97</v>
      </c>
      <c r="D952" s="4" t="s">
        <v>2</v>
      </c>
      <c r="E952" s="5">
        <v>45261</v>
      </c>
      <c r="F952">
        <v>114</v>
      </c>
      <c r="G952">
        <f>AVERAGEIF(calls[Representative], calls[[#This Row],[Representative]], calls[Satisfaction Rating])</f>
        <v>3.8824999999999998</v>
      </c>
      <c r="H952" t="str">
        <f>IF(AVERAGEIF(calls[Representative],calls[[#This Row],[Representative]],calls[Satisfaction Rating])&lt;3.5,"Needs Training","OK")</f>
        <v>OK</v>
      </c>
      <c r="I952">
        <v>4.8</v>
      </c>
      <c r="J952">
        <f>IF(MONTH(calls[[#This Row],[Date of Call]])&lt;=6, YEAR(calls[[#This Row],[Date of Call]]), YEAR(calls[[#This Row],[Date of Call]])+1)</f>
        <v>2024</v>
      </c>
      <c r="K952" t="str">
        <f>TEXT(calls[[#This Row],[Date of Call]],"DDDD")</f>
        <v>Friday</v>
      </c>
      <c r="L952" t="str" cm="1">
        <f t="array" ref="L952">_xlfn.IFS(calls[[#This Row],[Duration]]&lt;=10,"under 10 mins",calls[[#This Row],[Duration]]&lt;=30,"10 to 30mins",calls[[#This Row],[Duration]]&lt;=60,"60 to 30mins",calls[[#This Row],[Duration]]&lt;=120,"1 to 2hrs",TRUE,"More than 2 hrs")</f>
        <v>1 to 2hrs</v>
      </c>
      <c r="M952">
        <f>ROUND(calls[[#This Row],[Satisfaction Rating]],0)</f>
        <v>5</v>
      </c>
      <c r="N952">
        <f>COUNTIF(calls[Customer ID], calls[[#This Row],[Customer ID]])</f>
        <v>72</v>
      </c>
      <c r="O952">
        <f>SUMIF(calls[Customer ID], calls[[#This Row],[Customer ID]], calls[Purchase Amount])</f>
        <v>6242</v>
      </c>
      <c r="P952">
        <f>calls[[#This Row],[call count]]/calls[[#This Row],[Purchase Amount]]</f>
        <v>0.63157894736842102</v>
      </c>
      <c r="Q952">
        <f>COUNTIF(calls[Customer ID],calls[[#This Row],[Customer ID]])</f>
        <v>72</v>
      </c>
      <c r="R952">
        <f>calls[[#This Row],[call count]]/calls[[#This Row],[Purchase Amount]]</f>
        <v>0.63157894736842102</v>
      </c>
    </row>
    <row r="953" spans="1:18" x14ac:dyDescent="0.4">
      <c r="A953" t="s">
        <v>983</v>
      </c>
      <c r="B953" t="s">
        <v>11</v>
      </c>
      <c r="C953">
        <v>102</v>
      </c>
      <c r="D953" s="4" t="s">
        <v>9</v>
      </c>
      <c r="E953" s="5">
        <v>45262</v>
      </c>
      <c r="F953">
        <v>72</v>
      </c>
      <c r="G953">
        <f>AVERAGEIF(calls[Representative], calls[[#This Row],[Representative]], calls[Satisfaction Rating])</f>
        <v>3.8706422018348627</v>
      </c>
      <c r="H953" t="str">
        <f>IF(AVERAGEIF(calls[Representative],calls[[#This Row],[Representative]],calls[Satisfaction Rating])&lt;3.5,"Needs Training","OK")</f>
        <v>OK</v>
      </c>
      <c r="I953">
        <v>3.7</v>
      </c>
      <c r="J953">
        <f>IF(MONTH(calls[[#This Row],[Date of Call]])&lt;=6, YEAR(calls[[#This Row],[Date of Call]]), YEAR(calls[[#This Row],[Date of Call]])+1)</f>
        <v>2024</v>
      </c>
      <c r="K953" t="str">
        <f>TEXT(calls[[#This Row],[Date of Call]],"DDDD")</f>
        <v>Saturday</v>
      </c>
      <c r="L953" t="str" cm="1">
        <f t="array" ref="L953">_xlfn.IFS(calls[[#This Row],[Duration]]&lt;=10,"under 10 mins",calls[[#This Row],[Duration]]&lt;=30,"10 to 30mins",calls[[#This Row],[Duration]]&lt;=60,"60 to 30mins",calls[[#This Row],[Duration]]&lt;=120,"1 to 2hrs",TRUE,"More than 2 hrs")</f>
        <v>1 to 2hrs</v>
      </c>
      <c r="M953">
        <f>ROUND(calls[[#This Row],[Satisfaction Rating]],0)</f>
        <v>4</v>
      </c>
      <c r="N953">
        <f>COUNTIF(calls[Customer ID], calls[[#This Row],[Customer ID]])</f>
        <v>60</v>
      </c>
      <c r="O953">
        <f>SUMIF(calls[Customer ID], calls[[#This Row],[Customer ID]], calls[Purchase Amount])</f>
        <v>5404</v>
      </c>
      <c r="P953">
        <f>calls[[#This Row],[call count]]/calls[[#This Row],[Purchase Amount]]</f>
        <v>0.83333333333333337</v>
      </c>
      <c r="Q953">
        <f>COUNTIF(calls[Customer ID],calls[[#This Row],[Customer ID]])</f>
        <v>60</v>
      </c>
      <c r="R953">
        <f>calls[[#This Row],[call count]]/calls[[#This Row],[Purchase Amount]]</f>
        <v>0.83333333333333337</v>
      </c>
    </row>
    <row r="954" spans="1:18" x14ac:dyDescent="0.4">
      <c r="A954" t="s">
        <v>984</v>
      </c>
      <c r="B954" t="s">
        <v>44</v>
      </c>
      <c r="C954">
        <v>62</v>
      </c>
      <c r="D954" s="4" t="s">
        <v>2</v>
      </c>
      <c r="E954" s="5">
        <v>45262</v>
      </c>
      <c r="F954">
        <v>205</v>
      </c>
      <c r="G954">
        <f>AVERAGEIF(calls[Representative], calls[[#This Row],[Representative]], calls[Satisfaction Rating])</f>
        <v>3.8824999999999998</v>
      </c>
      <c r="H954" t="str">
        <f>IF(AVERAGEIF(calls[Representative],calls[[#This Row],[Representative]],calls[Satisfaction Rating])&lt;3.5,"Needs Training","OK")</f>
        <v>OK</v>
      </c>
      <c r="I954">
        <v>4.2</v>
      </c>
      <c r="J954">
        <f>IF(MONTH(calls[[#This Row],[Date of Call]])&lt;=6, YEAR(calls[[#This Row],[Date of Call]]), YEAR(calls[[#This Row],[Date of Call]])+1)</f>
        <v>2024</v>
      </c>
      <c r="K954" t="str">
        <f>TEXT(calls[[#This Row],[Date of Call]],"DDDD")</f>
        <v>Saturday</v>
      </c>
      <c r="L954" t="str" cm="1">
        <f t="array" ref="L954">_xlfn.IFS(calls[[#This Row],[Duration]]&lt;=10,"under 10 mins",calls[[#This Row],[Duration]]&lt;=30,"10 to 30mins",calls[[#This Row],[Duration]]&lt;=60,"60 to 30mins",calls[[#This Row],[Duration]]&lt;=120,"1 to 2hrs",TRUE,"More than 2 hrs")</f>
        <v>1 to 2hrs</v>
      </c>
      <c r="M954">
        <f>ROUND(calls[[#This Row],[Satisfaction Rating]],0)</f>
        <v>4</v>
      </c>
      <c r="N954">
        <f>COUNTIF(calls[Customer ID], calls[[#This Row],[Customer ID]])</f>
        <v>62</v>
      </c>
      <c r="O954">
        <f>SUMIF(calls[Customer ID], calls[[#This Row],[Customer ID]], calls[Purchase Amount])</f>
        <v>6176</v>
      </c>
      <c r="P954">
        <f>calls[[#This Row],[call count]]/calls[[#This Row],[Purchase Amount]]</f>
        <v>0.30243902439024389</v>
      </c>
      <c r="Q954">
        <f>COUNTIF(calls[Customer ID],calls[[#This Row],[Customer ID]])</f>
        <v>62</v>
      </c>
      <c r="R954">
        <f>calls[[#This Row],[call count]]/calls[[#This Row],[Purchase Amount]]</f>
        <v>0.30243902439024389</v>
      </c>
    </row>
    <row r="955" spans="1:18" x14ac:dyDescent="0.4">
      <c r="A955" t="s">
        <v>985</v>
      </c>
      <c r="B955" t="s">
        <v>6</v>
      </c>
      <c r="C955">
        <v>149</v>
      </c>
      <c r="D955" s="4" t="s">
        <v>9</v>
      </c>
      <c r="E955" s="5">
        <v>45263</v>
      </c>
      <c r="F955">
        <v>42</v>
      </c>
      <c r="G955">
        <f>AVERAGEIF(calls[Representative], calls[[#This Row],[Representative]], calls[Satisfaction Rating])</f>
        <v>3.8706422018348627</v>
      </c>
      <c r="H955" t="str">
        <f>IF(AVERAGEIF(calls[Representative],calls[[#This Row],[Representative]],calls[Satisfaction Rating])&lt;3.5,"Needs Training","OK")</f>
        <v>OK</v>
      </c>
      <c r="I955">
        <v>3.3</v>
      </c>
      <c r="J955">
        <f>IF(MONTH(calls[[#This Row],[Date of Call]])&lt;=6, YEAR(calls[[#This Row],[Date of Call]]), YEAR(calls[[#This Row],[Date of Call]])+1)</f>
        <v>2024</v>
      </c>
      <c r="K955" t="str">
        <f>TEXT(calls[[#This Row],[Date of Call]],"DDDD")</f>
        <v>Sunday</v>
      </c>
      <c r="L955" t="str" cm="1">
        <f t="array" ref="L955">_xlfn.IFS(calls[[#This Row],[Duration]]&lt;=10,"under 10 mins",calls[[#This Row],[Duration]]&lt;=30,"10 to 30mins",calls[[#This Row],[Duration]]&lt;=60,"60 to 30mins",calls[[#This Row],[Duration]]&lt;=120,"1 to 2hrs",TRUE,"More than 2 hrs")</f>
        <v>More than 2 hrs</v>
      </c>
      <c r="M955">
        <f>ROUND(calls[[#This Row],[Satisfaction Rating]],0)</f>
        <v>3</v>
      </c>
      <c r="N955">
        <f>COUNTIF(calls[Customer ID], calls[[#This Row],[Customer ID]])</f>
        <v>82</v>
      </c>
      <c r="O955">
        <f>SUMIF(calls[Customer ID], calls[[#This Row],[Customer ID]], calls[Purchase Amount])</f>
        <v>7689</v>
      </c>
      <c r="P955">
        <f>calls[[#This Row],[call count]]/calls[[#This Row],[Purchase Amount]]</f>
        <v>1.9523809523809523</v>
      </c>
      <c r="Q955">
        <f>COUNTIF(calls[Customer ID],calls[[#This Row],[Customer ID]])</f>
        <v>82</v>
      </c>
      <c r="R955">
        <f>calls[[#This Row],[call count]]/calls[[#This Row],[Purchase Amount]]</f>
        <v>1.9523809523809523</v>
      </c>
    </row>
    <row r="956" spans="1:18" x14ac:dyDescent="0.4">
      <c r="A956" t="s">
        <v>986</v>
      </c>
      <c r="B956" t="s">
        <v>30</v>
      </c>
      <c r="C956">
        <v>133</v>
      </c>
      <c r="D956" s="4" t="s">
        <v>2</v>
      </c>
      <c r="E956" s="5">
        <v>45263</v>
      </c>
      <c r="F956">
        <v>96</v>
      </c>
      <c r="G956">
        <f>AVERAGEIF(calls[Representative], calls[[#This Row],[Representative]], calls[Satisfaction Rating])</f>
        <v>3.8824999999999998</v>
      </c>
      <c r="H956" t="str">
        <f>IF(AVERAGEIF(calls[Representative],calls[[#This Row],[Representative]],calls[Satisfaction Rating])&lt;3.5,"Needs Training","OK")</f>
        <v>OK</v>
      </c>
      <c r="I956">
        <v>4.3</v>
      </c>
      <c r="J956">
        <f>IF(MONTH(calls[[#This Row],[Date of Call]])&lt;=6, YEAR(calls[[#This Row],[Date of Call]]), YEAR(calls[[#This Row],[Date of Call]])+1)</f>
        <v>2024</v>
      </c>
      <c r="K956" t="str">
        <f>TEXT(calls[[#This Row],[Date of Call]],"DDDD")</f>
        <v>Sunday</v>
      </c>
      <c r="L956" t="str" cm="1">
        <f t="array" ref="L956">_xlfn.IFS(calls[[#This Row],[Duration]]&lt;=10,"under 10 mins",calls[[#This Row],[Duration]]&lt;=30,"10 to 30mins",calls[[#This Row],[Duration]]&lt;=60,"60 to 30mins",calls[[#This Row],[Duration]]&lt;=120,"1 to 2hrs",TRUE,"More than 2 hrs")</f>
        <v>More than 2 hrs</v>
      </c>
      <c r="M956">
        <f>ROUND(calls[[#This Row],[Satisfaction Rating]],0)</f>
        <v>4</v>
      </c>
      <c r="N956">
        <f>COUNTIF(calls[Customer ID], calls[[#This Row],[Customer ID]])</f>
        <v>69</v>
      </c>
      <c r="O956">
        <f>SUMIF(calls[Customer ID], calls[[#This Row],[Customer ID]], calls[Purchase Amount])</f>
        <v>7230</v>
      </c>
      <c r="P956">
        <f>calls[[#This Row],[call count]]/calls[[#This Row],[Purchase Amount]]</f>
        <v>0.71875</v>
      </c>
      <c r="Q956">
        <f>COUNTIF(calls[Customer ID],calls[[#This Row],[Customer ID]])</f>
        <v>69</v>
      </c>
      <c r="R956">
        <f>calls[[#This Row],[call count]]/calls[[#This Row],[Purchase Amount]]</f>
        <v>0.71875</v>
      </c>
    </row>
    <row r="957" spans="1:18" x14ac:dyDescent="0.4">
      <c r="A957" t="s">
        <v>987</v>
      </c>
      <c r="B957" t="s">
        <v>11</v>
      </c>
      <c r="C957">
        <v>51</v>
      </c>
      <c r="D957" s="4" t="s">
        <v>27</v>
      </c>
      <c r="E957" s="5">
        <v>45263</v>
      </c>
      <c r="F957">
        <v>64</v>
      </c>
      <c r="G957">
        <f>AVERAGEIF(calls[Representative], calls[[#This Row],[Representative]], calls[Satisfaction Rating])</f>
        <v>3.8589371980676304</v>
      </c>
      <c r="H957" t="str">
        <f>IF(AVERAGEIF(calls[Representative],calls[[#This Row],[Representative]],calls[Satisfaction Rating])&lt;3.5,"Needs Training","OK")</f>
        <v>OK</v>
      </c>
      <c r="I957">
        <v>3.7</v>
      </c>
      <c r="J957">
        <f>IF(MONTH(calls[[#This Row],[Date of Call]])&lt;=6, YEAR(calls[[#This Row],[Date of Call]]), YEAR(calls[[#This Row],[Date of Call]])+1)</f>
        <v>2024</v>
      </c>
      <c r="K957" t="str">
        <f>TEXT(calls[[#This Row],[Date of Call]],"DDDD")</f>
        <v>Sunday</v>
      </c>
      <c r="L957" t="str" cm="1">
        <f t="array" ref="L957">_xlfn.IFS(calls[[#This Row],[Duration]]&lt;=10,"under 10 mins",calls[[#This Row],[Duration]]&lt;=30,"10 to 30mins",calls[[#This Row],[Duration]]&lt;=60,"60 to 30mins",calls[[#This Row],[Duration]]&lt;=120,"1 to 2hrs",TRUE,"More than 2 hrs")</f>
        <v>60 to 30mins</v>
      </c>
      <c r="M957">
        <f>ROUND(calls[[#This Row],[Satisfaction Rating]],0)</f>
        <v>4</v>
      </c>
      <c r="N957">
        <f>COUNTIF(calls[Customer ID], calls[[#This Row],[Customer ID]])</f>
        <v>60</v>
      </c>
      <c r="O957">
        <f>SUMIF(calls[Customer ID], calls[[#This Row],[Customer ID]], calls[Purchase Amount])</f>
        <v>5404</v>
      </c>
      <c r="P957">
        <f>calls[[#This Row],[call count]]/calls[[#This Row],[Purchase Amount]]</f>
        <v>0.9375</v>
      </c>
      <c r="Q957">
        <f>COUNTIF(calls[Customer ID],calls[[#This Row],[Customer ID]])</f>
        <v>60</v>
      </c>
      <c r="R957">
        <f>calls[[#This Row],[call count]]/calls[[#This Row],[Purchase Amount]]</f>
        <v>0.9375</v>
      </c>
    </row>
    <row r="958" spans="1:18" x14ac:dyDescent="0.4">
      <c r="A958" t="s">
        <v>988</v>
      </c>
      <c r="B958" t="s">
        <v>44</v>
      </c>
      <c r="C958">
        <v>110</v>
      </c>
      <c r="D958" s="4" t="s">
        <v>2</v>
      </c>
      <c r="E958" s="5">
        <v>45264</v>
      </c>
      <c r="F958">
        <v>72</v>
      </c>
      <c r="G958">
        <f>AVERAGEIF(calls[Representative], calls[[#This Row],[Representative]], calls[Satisfaction Rating])</f>
        <v>3.8824999999999998</v>
      </c>
      <c r="H958" t="str">
        <f>IF(AVERAGEIF(calls[Representative],calls[[#This Row],[Representative]],calls[Satisfaction Rating])&lt;3.5,"Needs Training","OK")</f>
        <v>OK</v>
      </c>
      <c r="I958">
        <v>3.7</v>
      </c>
      <c r="J958">
        <f>IF(MONTH(calls[[#This Row],[Date of Call]])&lt;=6, YEAR(calls[[#This Row],[Date of Call]]), YEAR(calls[[#This Row],[Date of Call]])+1)</f>
        <v>2024</v>
      </c>
      <c r="K958" t="str">
        <f>TEXT(calls[[#This Row],[Date of Call]],"DDDD")</f>
        <v>Monday</v>
      </c>
      <c r="L958" t="str" cm="1">
        <f t="array" ref="L958">_xlfn.IFS(calls[[#This Row],[Duration]]&lt;=10,"under 10 mins",calls[[#This Row],[Duration]]&lt;=30,"10 to 30mins",calls[[#This Row],[Duration]]&lt;=60,"60 to 30mins",calls[[#This Row],[Duration]]&lt;=120,"1 to 2hrs",TRUE,"More than 2 hrs")</f>
        <v>1 to 2hrs</v>
      </c>
      <c r="M958">
        <f>ROUND(calls[[#This Row],[Satisfaction Rating]],0)</f>
        <v>4</v>
      </c>
      <c r="N958">
        <f>COUNTIF(calls[Customer ID], calls[[#This Row],[Customer ID]])</f>
        <v>62</v>
      </c>
      <c r="O958">
        <f>SUMIF(calls[Customer ID], calls[[#This Row],[Customer ID]], calls[Purchase Amount])</f>
        <v>6176</v>
      </c>
      <c r="P958">
        <f>calls[[#This Row],[call count]]/calls[[#This Row],[Purchase Amount]]</f>
        <v>0.86111111111111116</v>
      </c>
      <c r="Q958">
        <f>COUNTIF(calls[Customer ID],calls[[#This Row],[Customer ID]])</f>
        <v>62</v>
      </c>
      <c r="R958">
        <f>calls[[#This Row],[call count]]/calls[[#This Row],[Purchase Amount]]</f>
        <v>0.86111111111111116</v>
      </c>
    </row>
    <row r="959" spans="1:18" x14ac:dyDescent="0.4">
      <c r="A959" t="s">
        <v>989</v>
      </c>
      <c r="B959" t="s">
        <v>26</v>
      </c>
      <c r="C959">
        <v>38</v>
      </c>
      <c r="D959" s="4" t="s">
        <v>23</v>
      </c>
      <c r="E959" s="5">
        <v>45265</v>
      </c>
      <c r="F959">
        <v>27</v>
      </c>
      <c r="G959">
        <f>AVERAGEIF(calls[Representative], calls[[#This Row],[Representative]], calls[Satisfaction Rating])</f>
        <v>3.8973118279569863</v>
      </c>
      <c r="H959" t="str">
        <f>IF(AVERAGEIF(calls[Representative],calls[[#This Row],[Representative]],calls[Satisfaction Rating])&lt;3.5,"Needs Training","OK")</f>
        <v>OK</v>
      </c>
      <c r="I959">
        <v>3.1</v>
      </c>
      <c r="J959">
        <f>IF(MONTH(calls[[#This Row],[Date of Call]])&lt;=6, YEAR(calls[[#This Row],[Date of Call]]), YEAR(calls[[#This Row],[Date of Call]])+1)</f>
        <v>2024</v>
      </c>
      <c r="K959" t="str">
        <f>TEXT(calls[[#This Row],[Date of Call]],"DDDD")</f>
        <v>Tuesday</v>
      </c>
      <c r="L959" t="str" cm="1">
        <f t="array" ref="L959">_xlfn.IFS(calls[[#This Row],[Duration]]&lt;=10,"under 10 mins",calls[[#This Row],[Duration]]&lt;=30,"10 to 30mins",calls[[#This Row],[Duration]]&lt;=60,"60 to 30mins",calls[[#This Row],[Duration]]&lt;=120,"1 to 2hrs",TRUE,"More than 2 hrs")</f>
        <v>60 to 30mins</v>
      </c>
      <c r="M959">
        <f>ROUND(calls[[#This Row],[Satisfaction Rating]],0)</f>
        <v>3</v>
      </c>
      <c r="N959">
        <f>COUNTIF(calls[Customer ID], calls[[#This Row],[Customer ID]])</f>
        <v>72</v>
      </c>
      <c r="O959">
        <f>SUMIF(calls[Customer ID], calls[[#This Row],[Customer ID]], calls[Purchase Amount])</f>
        <v>6242</v>
      </c>
      <c r="P959">
        <f>calls[[#This Row],[call count]]/calls[[#This Row],[Purchase Amount]]</f>
        <v>2.6666666666666665</v>
      </c>
      <c r="Q959">
        <f>COUNTIF(calls[Customer ID],calls[[#This Row],[Customer ID]])</f>
        <v>72</v>
      </c>
      <c r="R959">
        <f>calls[[#This Row],[call count]]/calls[[#This Row],[Purchase Amount]]</f>
        <v>2.6666666666666665</v>
      </c>
    </row>
    <row r="960" spans="1:18" x14ac:dyDescent="0.4">
      <c r="A960" t="s">
        <v>990</v>
      </c>
      <c r="B960" t="s">
        <v>30</v>
      </c>
      <c r="C960">
        <v>78</v>
      </c>
      <c r="D960" s="4" t="s">
        <v>23</v>
      </c>
      <c r="E960" s="5">
        <v>45267</v>
      </c>
      <c r="F960">
        <v>200</v>
      </c>
      <c r="G960">
        <f>AVERAGEIF(calls[Representative], calls[[#This Row],[Representative]], calls[Satisfaction Rating])</f>
        <v>3.8973118279569863</v>
      </c>
      <c r="H960" t="str">
        <f>IF(AVERAGEIF(calls[Representative],calls[[#This Row],[Representative]],calls[Satisfaction Rating])&lt;3.5,"Needs Training","OK")</f>
        <v>OK</v>
      </c>
      <c r="I960">
        <v>2.4</v>
      </c>
      <c r="J960">
        <f>IF(MONTH(calls[[#This Row],[Date of Call]])&lt;=6, YEAR(calls[[#This Row],[Date of Call]]), YEAR(calls[[#This Row],[Date of Call]])+1)</f>
        <v>2024</v>
      </c>
      <c r="K960" t="str">
        <f>TEXT(calls[[#This Row],[Date of Call]],"DDDD")</f>
        <v>Thursday</v>
      </c>
      <c r="L960" t="str" cm="1">
        <f t="array" ref="L960">_xlfn.IFS(calls[[#This Row],[Duration]]&lt;=10,"under 10 mins",calls[[#This Row],[Duration]]&lt;=30,"10 to 30mins",calls[[#This Row],[Duration]]&lt;=60,"60 to 30mins",calls[[#This Row],[Duration]]&lt;=120,"1 to 2hrs",TRUE,"More than 2 hrs")</f>
        <v>1 to 2hrs</v>
      </c>
      <c r="M960">
        <f>ROUND(calls[[#This Row],[Satisfaction Rating]],0)</f>
        <v>2</v>
      </c>
      <c r="N960">
        <f>COUNTIF(calls[Customer ID], calls[[#This Row],[Customer ID]])</f>
        <v>69</v>
      </c>
      <c r="O960">
        <f>SUMIF(calls[Customer ID], calls[[#This Row],[Customer ID]], calls[Purchase Amount])</f>
        <v>7230</v>
      </c>
      <c r="P960">
        <f>calls[[#This Row],[call count]]/calls[[#This Row],[Purchase Amount]]</f>
        <v>0.34499999999999997</v>
      </c>
      <c r="Q960">
        <f>COUNTIF(calls[Customer ID],calls[[#This Row],[Customer ID]])</f>
        <v>69</v>
      </c>
      <c r="R960">
        <f>calls[[#This Row],[call count]]/calls[[#This Row],[Purchase Amount]]</f>
        <v>0.34499999999999997</v>
      </c>
    </row>
    <row r="961" spans="1:18" x14ac:dyDescent="0.4">
      <c r="A961" t="s">
        <v>991</v>
      </c>
      <c r="B961" t="s">
        <v>26</v>
      </c>
      <c r="C961">
        <v>25</v>
      </c>
      <c r="D961" s="4" t="s">
        <v>9</v>
      </c>
      <c r="E961" s="5">
        <v>45268</v>
      </c>
      <c r="F961">
        <v>93</v>
      </c>
      <c r="G961">
        <f>AVERAGEIF(calls[Representative], calls[[#This Row],[Representative]], calls[Satisfaction Rating])</f>
        <v>3.8706422018348627</v>
      </c>
      <c r="H961" t="str">
        <f>IF(AVERAGEIF(calls[Representative],calls[[#This Row],[Representative]],calls[Satisfaction Rating])&lt;3.5,"Needs Training","OK")</f>
        <v>OK</v>
      </c>
      <c r="I961">
        <v>3.5</v>
      </c>
      <c r="J961">
        <f>IF(MONTH(calls[[#This Row],[Date of Call]])&lt;=6, YEAR(calls[[#This Row],[Date of Call]]), YEAR(calls[[#This Row],[Date of Call]])+1)</f>
        <v>2024</v>
      </c>
      <c r="K961" t="str">
        <f>TEXT(calls[[#This Row],[Date of Call]],"DDDD")</f>
        <v>Friday</v>
      </c>
      <c r="L961" t="str" cm="1">
        <f t="array" ref="L961">_xlfn.IFS(calls[[#This Row],[Duration]]&lt;=10,"under 10 mins",calls[[#This Row],[Duration]]&lt;=30,"10 to 30mins",calls[[#This Row],[Duration]]&lt;=60,"60 to 30mins",calls[[#This Row],[Duration]]&lt;=120,"1 to 2hrs",TRUE,"More than 2 hrs")</f>
        <v>10 to 30mins</v>
      </c>
      <c r="M961">
        <f>ROUND(calls[[#This Row],[Satisfaction Rating]],0)</f>
        <v>4</v>
      </c>
      <c r="N961">
        <f>COUNTIF(calls[Customer ID], calls[[#This Row],[Customer ID]])</f>
        <v>72</v>
      </c>
      <c r="O961">
        <f>SUMIF(calls[Customer ID], calls[[#This Row],[Customer ID]], calls[Purchase Amount])</f>
        <v>6242</v>
      </c>
      <c r="P961">
        <f>calls[[#This Row],[call count]]/calls[[#This Row],[Purchase Amount]]</f>
        <v>0.77419354838709675</v>
      </c>
      <c r="Q961">
        <f>COUNTIF(calls[Customer ID],calls[[#This Row],[Customer ID]])</f>
        <v>72</v>
      </c>
      <c r="R961">
        <f>calls[[#This Row],[call count]]/calls[[#This Row],[Purchase Amount]]</f>
        <v>0.77419354838709675</v>
      </c>
    </row>
    <row r="962" spans="1:18" x14ac:dyDescent="0.4">
      <c r="A962" t="s">
        <v>992</v>
      </c>
      <c r="B962" t="s">
        <v>54</v>
      </c>
      <c r="C962">
        <v>50</v>
      </c>
      <c r="D962" s="4" t="s">
        <v>27</v>
      </c>
      <c r="E962" s="5">
        <v>45268</v>
      </c>
      <c r="F962">
        <v>54</v>
      </c>
      <c r="G962">
        <f>AVERAGEIF(calls[Representative], calls[[#This Row],[Representative]], calls[Satisfaction Rating])</f>
        <v>3.8589371980676304</v>
      </c>
      <c r="H962" t="str">
        <f>IF(AVERAGEIF(calls[Representative],calls[[#This Row],[Representative]],calls[Satisfaction Rating])&lt;3.5,"Needs Training","OK")</f>
        <v>OK</v>
      </c>
      <c r="I962">
        <v>4.3</v>
      </c>
      <c r="J962">
        <f>IF(MONTH(calls[[#This Row],[Date of Call]])&lt;=6, YEAR(calls[[#This Row],[Date of Call]]), YEAR(calls[[#This Row],[Date of Call]])+1)</f>
        <v>2024</v>
      </c>
      <c r="K962" t="str">
        <f>TEXT(calls[[#This Row],[Date of Call]],"DDDD")</f>
        <v>Friday</v>
      </c>
      <c r="L962" t="str" cm="1">
        <f t="array" ref="L962">_xlfn.IFS(calls[[#This Row],[Duration]]&lt;=10,"under 10 mins",calls[[#This Row],[Duration]]&lt;=30,"10 to 30mins",calls[[#This Row],[Duration]]&lt;=60,"60 to 30mins",calls[[#This Row],[Duration]]&lt;=120,"1 to 2hrs",TRUE,"More than 2 hrs")</f>
        <v>60 to 30mins</v>
      </c>
      <c r="M962">
        <f>ROUND(calls[[#This Row],[Satisfaction Rating]],0)</f>
        <v>4</v>
      </c>
      <c r="N962">
        <f>COUNTIF(calls[Customer ID], calls[[#This Row],[Customer ID]])</f>
        <v>70</v>
      </c>
      <c r="O962">
        <f>SUMIF(calls[Customer ID], calls[[#This Row],[Customer ID]], calls[Purchase Amount])</f>
        <v>6819</v>
      </c>
      <c r="P962">
        <f>calls[[#This Row],[call count]]/calls[[#This Row],[Purchase Amount]]</f>
        <v>1.2962962962962963</v>
      </c>
      <c r="Q962">
        <f>COUNTIF(calls[Customer ID],calls[[#This Row],[Customer ID]])</f>
        <v>70</v>
      </c>
      <c r="R962">
        <f>calls[[#This Row],[call count]]/calls[[#This Row],[Purchase Amount]]</f>
        <v>1.2962962962962963</v>
      </c>
    </row>
    <row r="963" spans="1:18" x14ac:dyDescent="0.4">
      <c r="A963" t="s">
        <v>993</v>
      </c>
      <c r="B963" t="s">
        <v>26</v>
      </c>
      <c r="C963">
        <v>103</v>
      </c>
      <c r="D963" s="4" t="s">
        <v>9</v>
      </c>
      <c r="E963" s="5">
        <v>45269</v>
      </c>
      <c r="F963">
        <v>72</v>
      </c>
      <c r="G963">
        <f>AVERAGEIF(calls[Representative], calls[[#This Row],[Representative]], calls[Satisfaction Rating])</f>
        <v>3.8706422018348627</v>
      </c>
      <c r="H963" t="str">
        <f>IF(AVERAGEIF(calls[Representative],calls[[#This Row],[Representative]],calls[Satisfaction Rating])&lt;3.5,"Needs Training","OK")</f>
        <v>OK</v>
      </c>
      <c r="I963">
        <v>3.4</v>
      </c>
      <c r="J963">
        <f>IF(MONTH(calls[[#This Row],[Date of Call]])&lt;=6, YEAR(calls[[#This Row],[Date of Call]]), YEAR(calls[[#This Row],[Date of Call]])+1)</f>
        <v>2024</v>
      </c>
      <c r="K963" t="str">
        <f>TEXT(calls[[#This Row],[Date of Call]],"DDDD")</f>
        <v>Saturday</v>
      </c>
      <c r="L963" t="str" cm="1">
        <f t="array" ref="L963">_xlfn.IFS(calls[[#This Row],[Duration]]&lt;=10,"under 10 mins",calls[[#This Row],[Duration]]&lt;=30,"10 to 30mins",calls[[#This Row],[Duration]]&lt;=60,"60 to 30mins",calls[[#This Row],[Duration]]&lt;=120,"1 to 2hrs",TRUE,"More than 2 hrs")</f>
        <v>1 to 2hrs</v>
      </c>
      <c r="M963">
        <f>ROUND(calls[[#This Row],[Satisfaction Rating]],0)</f>
        <v>3</v>
      </c>
      <c r="N963">
        <f>COUNTIF(calls[Customer ID], calls[[#This Row],[Customer ID]])</f>
        <v>72</v>
      </c>
      <c r="O963">
        <f>SUMIF(calls[Customer ID], calls[[#This Row],[Customer ID]], calls[Purchase Amount])</f>
        <v>6242</v>
      </c>
      <c r="P963">
        <f>calls[[#This Row],[call count]]/calls[[#This Row],[Purchase Amount]]</f>
        <v>1</v>
      </c>
      <c r="Q963">
        <f>COUNTIF(calls[Customer ID],calls[[#This Row],[Customer ID]])</f>
        <v>72</v>
      </c>
      <c r="R963">
        <f>calls[[#This Row],[call count]]/calls[[#This Row],[Purchase Amount]]</f>
        <v>1</v>
      </c>
    </row>
    <row r="964" spans="1:18" x14ac:dyDescent="0.4">
      <c r="A964" t="s">
        <v>994</v>
      </c>
      <c r="B964" t="s">
        <v>40</v>
      </c>
      <c r="C964">
        <v>63</v>
      </c>
      <c r="D964" s="4" t="s">
        <v>14</v>
      </c>
      <c r="E964" s="5">
        <v>45269</v>
      </c>
      <c r="F964">
        <v>82</v>
      </c>
      <c r="G964">
        <f>AVERAGEIF(calls[Representative], calls[[#This Row],[Representative]], calls[Satisfaction Rating])</f>
        <v>3.9227513227513247</v>
      </c>
      <c r="H964" t="str">
        <f>IF(AVERAGEIF(calls[Representative],calls[[#This Row],[Representative]],calls[Satisfaction Rating])&lt;3.5,"Needs Training","OK")</f>
        <v>OK</v>
      </c>
      <c r="I964">
        <v>3.7</v>
      </c>
      <c r="J964">
        <f>IF(MONTH(calls[[#This Row],[Date of Call]])&lt;=6, YEAR(calls[[#This Row],[Date of Call]]), YEAR(calls[[#This Row],[Date of Call]])+1)</f>
        <v>2024</v>
      </c>
      <c r="K964" t="str">
        <f>TEXT(calls[[#This Row],[Date of Call]],"DDDD")</f>
        <v>Saturday</v>
      </c>
      <c r="L964" t="str" cm="1">
        <f t="array" ref="L964">_xlfn.IFS(calls[[#This Row],[Duration]]&lt;=10,"under 10 mins",calls[[#This Row],[Duration]]&lt;=30,"10 to 30mins",calls[[#This Row],[Duration]]&lt;=60,"60 to 30mins",calls[[#This Row],[Duration]]&lt;=120,"1 to 2hrs",TRUE,"More than 2 hrs")</f>
        <v>1 to 2hrs</v>
      </c>
      <c r="M964">
        <f>ROUND(calls[[#This Row],[Satisfaction Rating]],0)</f>
        <v>4</v>
      </c>
      <c r="N964">
        <f>COUNTIF(calls[Customer ID], calls[[#This Row],[Customer ID]])</f>
        <v>69</v>
      </c>
      <c r="O964">
        <f>SUMIF(calls[Customer ID], calls[[#This Row],[Customer ID]], calls[Purchase Amount])</f>
        <v>6601</v>
      </c>
      <c r="P964">
        <f>calls[[#This Row],[call count]]/calls[[#This Row],[Purchase Amount]]</f>
        <v>0.84146341463414631</v>
      </c>
      <c r="Q964">
        <f>COUNTIF(calls[Customer ID],calls[[#This Row],[Customer ID]])</f>
        <v>69</v>
      </c>
      <c r="R964">
        <f>calls[[#This Row],[call count]]/calls[[#This Row],[Purchase Amount]]</f>
        <v>0.84146341463414631</v>
      </c>
    </row>
    <row r="965" spans="1:18" x14ac:dyDescent="0.4">
      <c r="A965" t="s">
        <v>995</v>
      </c>
      <c r="B965" t="s">
        <v>54</v>
      </c>
      <c r="C965">
        <v>96</v>
      </c>
      <c r="D965" s="4" t="s">
        <v>27</v>
      </c>
      <c r="E965" s="5">
        <v>45273</v>
      </c>
      <c r="F965">
        <v>164</v>
      </c>
      <c r="G965">
        <f>AVERAGEIF(calls[Representative], calls[[#This Row],[Representative]], calls[Satisfaction Rating])</f>
        <v>3.8589371980676304</v>
      </c>
      <c r="H965" t="str">
        <f>IF(AVERAGEIF(calls[Representative],calls[[#This Row],[Representative]],calls[Satisfaction Rating])&lt;3.5,"Needs Training","OK")</f>
        <v>OK</v>
      </c>
      <c r="I965">
        <v>4.8</v>
      </c>
      <c r="J965">
        <f>IF(MONTH(calls[[#This Row],[Date of Call]])&lt;=6, YEAR(calls[[#This Row],[Date of Call]]), YEAR(calls[[#This Row],[Date of Call]])+1)</f>
        <v>2024</v>
      </c>
      <c r="K965" t="str">
        <f>TEXT(calls[[#This Row],[Date of Call]],"DDDD")</f>
        <v>Wednesday</v>
      </c>
      <c r="L965" t="str" cm="1">
        <f t="array" ref="L965">_xlfn.IFS(calls[[#This Row],[Duration]]&lt;=10,"under 10 mins",calls[[#This Row],[Duration]]&lt;=30,"10 to 30mins",calls[[#This Row],[Duration]]&lt;=60,"60 to 30mins",calls[[#This Row],[Duration]]&lt;=120,"1 to 2hrs",TRUE,"More than 2 hrs")</f>
        <v>1 to 2hrs</v>
      </c>
      <c r="M965">
        <f>ROUND(calls[[#This Row],[Satisfaction Rating]],0)</f>
        <v>5</v>
      </c>
      <c r="N965">
        <f>COUNTIF(calls[Customer ID], calls[[#This Row],[Customer ID]])</f>
        <v>70</v>
      </c>
      <c r="O965">
        <f>SUMIF(calls[Customer ID], calls[[#This Row],[Customer ID]], calls[Purchase Amount])</f>
        <v>6819</v>
      </c>
      <c r="P965">
        <f>calls[[#This Row],[call count]]/calls[[#This Row],[Purchase Amount]]</f>
        <v>0.42682926829268292</v>
      </c>
      <c r="Q965">
        <f>COUNTIF(calls[Customer ID],calls[[#This Row],[Customer ID]])</f>
        <v>70</v>
      </c>
      <c r="R965">
        <f>calls[[#This Row],[call count]]/calls[[#This Row],[Purchase Amount]]</f>
        <v>0.42682926829268292</v>
      </c>
    </row>
    <row r="966" spans="1:18" x14ac:dyDescent="0.4">
      <c r="A966" t="s">
        <v>996</v>
      </c>
      <c r="B966" t="s">
        <v>8</v>
      </c>
      <c r="C966">
        <v>94</v>
      </c>
      <c r="D966" s="4" t="s">
        <v>9</v>
      </c>
      <c r="E966" s="5">
        <v>45273</v>
      </c>
      <c r="F966">
        <v>78</v>
      </c>
      <c r="G966">
        <f>AVERAGEIF(calls[Representative], calls[[#This Row],[Representative]], calls[Satisfaction Rating])</f>
        <v>3.8706422018348627</v>
      </c>
      <c r="H966" t="str">
        <f>IF(AVERAGEIF(calls[Representative],calls[[#This Row],[Representative]],calls[Satisfaction Rating])&lt;3.5,"Needs Training","OK")</f>
        <v>OK</v>
      </c>
      <c r="I966">
        <v>3.3</v>
      </c>
      <c r="J966">
        <f>IF(MONTH(calls[[#This Row],[Date of Call]])&lt;=6, YEAR(calls[[#This Row],[Date of Call]]), YEAR(calls[[#This Row],[Date of Call]])+1)</f>
        <v>2024</v>
      </c>
      <c r="K966" t="str">
        <f>TEXT(calls[[#This Row],[Date of Call]],"DDDD")</f>
        <v>Wednesday</v>
      </c>
      <c r="L966" t="str" cm="1">
        <f t="array" ref="L966">_xlfn.IFS(calls[[#This Row],[Duration]]&lt;=10,"under 10 mins",calls[[#This Row],[Duration]]&lt;=30,"10 to 30mins",calls[[#This Row],[Duration]]&lt;=60,"60 to 30mins",calls[[#This Row],[Duration]]&lt;=120,"1 to 2hrs",TRUE,"More than 2 hrs")</f>
        <v>1 to 2hrs</v>
      </c>
      <c r="M966">
        <f>ROUND(calls[[#This Row],[Satisfaction Rating]],0)</f>
        <v>3</v>
      </c>
      <c r="N966">
        <f>COUNTIF(calls[Customer ID], calls[[#This Row],[Customer ID]])</f>
        <v>79</v>
      </c>
      <c r="O966">
        <f>SUMIF(calls[Customer ID], calls[[#This Row],[Customer ID]], calls[Purchase Amount])</f>
        <v>7747</v>
      </c>
      <c r="P966">
        <f>calls[[#This Row],[call count]]/calls[[#This Row],[Purchase Amount]]</f>
        <v>1.0128205128205128</v>
      </c>
      <c r="Q966">
        <f>COUNTIF(calls[Customer ID],calls[[#This Row],[Customer ID]])</f>
        <v>79</v>
      </c>
      <c r="R966">
        <f>calls[[#This Row],[call count]]/calls[[#This Row],[Purchase Amount]]</f>
        <v>1.0128205128205128</v>
      </c>
    </row>
    <row r="967" spans="1:18" x14ac:dyDescent="0.4">
      <c r="A967" t="s">
        <v>997</v>
      </c>
      <c r="B967" t="s">
        <v>44</v>
      </c>
      <c r="C967">
        <v>46</v>
      </c>
      <c r="D967" s="4" t="s">
        <v>23</v>
      </c>
      <c r="E967" s="5">
        <v>45274</v>
      </c>
      <c r="F967">
        <v>135</v>
      </c>
      <c r="G967">
        <f>AVERAGEIF(calls[Representative], calls[[#This Row],[Representative]], calls[Satisfaction Rating])</f>
        <v>3.8973118279569863</v>
      </c>
      <c r="H967" t="str">
        <f>IF(AVERAGEIF(calls[Representative],calls[[#This Row],[Representative]],calls[Satisfaction Rating])&lt;3.5,"Needs Training","OK")</f>
        <v>OK</v>
      </c>
      <c r="I967">
        <v>4.2</v>
      </c>
      <c r="J967">
        <f>IF(MONTH(calls[[#This Row],[Date of Call]])&lt;=6, YEAR(calls[[#This Row],[Date of Call]]), YEAR(calls[[#This Row],[Date of Call]])+1)</f>
        <v>2024</v>
      </c>
      <c r="K967" t="str">
        <f>TEXT(calls[[#This Row],[Date of Call]],"DDDD")</f>
        <v>Thursday</v>
      </c>
      <c r="L967" t="str" cm="1">
        <f t="array" ref="L967">_xlfn.IFS(calls[[#This Row],[Duration]]&lt;=10,"under 10 mins",calls[[#This Row],[Duration]]&lt;=30,"10 to 30mins",calls[[#This Row],[Duration]]&lt;=60,"60 to 30mins",calls[[#This Row],[Duration]]&lt;=120,"1 to 2hrs",TRUE,"More than 2 hrs")</f>
        <v>60 to 30mins</v>
      </c>
      <c r="M967">
        <f>ROUND(calls[[#This Row],[Satisfaction Rating]],0)</f>
        <v>4</v>
      </c>
      <c r="N967">
        <f>COUNTIF(calls[Customer ID], calls[[#This Row],[Customer ID]])</f>
        <v>62</v>
      </c>
      <c r="O967">
        <f>SUMIF(calls[Customer ID], calls[[#This Row],[Customer ID]], calls[Purchase Amount])</f>
        <v>6176</v>
      </c>
      <c r="P967">
        <f>calls[[#This Row],[call count]]/calls[[#This Row],[Purchase Amount]]</f>
        <v>0.45925925925925926</v>
      </c>
      <c r="Q967">
        <f>COUNTIF(calls[Customer ID],calls[[#This Row],[Customer ID]])</f>
        <v>62</v>
      </c>
      <c r="R967">
        <f>calls[[#This Row],[call count]]/calls[[#This Row],[Purchase Amount]]</f>
        <v>0.45925925925925926</v>
      </c>
    </row>
    <row r="968" spans="1:18" x14ac:dyDescent="0.4">
      <c r="A968" t="s">
        <v>998</v>
      </c>
      <c r="B968" t="s">
        <v>84</v>
      </c>
      <c r="C968">
        <v>127</v>
      </c>
      <c r="D968" s="4" t="s">
        <v>27</v>
      </c>
      <c r="E968" s="5">
        <v>45275</v>
      </c>
      <c r="F968">
        <v>145</v>
      </c>
      <c r="G968">
        <f>AVERAGEIF(calls[Representative], calls[[#This Row],[Representative]], calls[Satisfaction Rating])</f>
        <v>3.8589371980676304</v>
      </c>
      <c r="H968" t="str">
        <f>IF(AVERAGEIF(calls[Representative],calls[[#This Row],[Representative]],calls[Satisfaction Rating])&lt;3.5,"Needs Training","OK")</f>
        <v>OK</v>
      </c>
      <c r="I968">
        <v>2.6</v>
      </c>
      <c r="J968">
        <f>IF(MONTH(calls[[#This Row],[Date of Call]])&lt;=6, YEAR(calls[[#This Row],[Date of Call]]), YEAR(calls[[#This Row],[Date of Call]])+1)</f>
        <v>2024</v>
      </c>
      <c r="K968" t="str">
        <f>TEXT(calls[[#This Row],[Date of Call]],"DDDD")</f>
        <v>Friday</v>
      </c>
      <c r="L968" t="str" cm="1">
        <f t="array" ref="L968">_xlfn.IFS(calls[[#This Row],[Duration]]&lt;=10,"under 10 mins",calls[[#This Row],[Duration]]&lt;=30,"10 to 30mins",calls[[#This Row],[Duration]]&lt;=60,"60 to 30mins",calls[[#This Row],[Duration]]&lt;=120,"1 to 2hrs",TRUE,"More than 2 hrs")</f>
        <v>More than 2 hrs</v>
      </c>
      <c r="M968">
        <f>ROUND(calls[[#This Row],[Satisfaction Rating]],0)</f>
        <v>3</v>
      </c>
      <c r="N968">
        <f>COUNTIF(calls[Customer ID], calls[[#This Row],[Customer ID]])</f>
        <v>59</v>
      </c>
      <c r="O968">
        <f>SUMIF(calls[Customer ID], calls[[#This Row],[Customer ID]], calls[Purchase Amount])</f>
        <v>5009</v>
      </c>
      <c r="P968">
        <f>calls[[#This Row],[call count]]/calls[[#This Row],[Purchase Amount]]</f>
        <v>0.40689655172413791</v>
      </c>
      <c r="Q968">
        <f>COUNTIF(calls[Customer ID],calls[[#This Row],[Customer ID]])</f>
        <v>59</v>
      </c>
      <c r="R968">
        <f>calls[[#This Row],[call count]]/calls[[#This Row],[Purchase Amount]]</f>
        <v>0.40689655172413791</v>
      </c>
    </row>
    <row r="969" spans="1:18" x14ac:dyDescent="0.4">
      <c r="A969" t="s">
        <v>999</v>
      </c>
      <c r="B969" t="s">
        <v>21</v>
      </c>
      <c r="C969">
        <v>96</v>
      </c>
      <c r="D969" s="4" t="s">
        <v>23</v>
      </c>
      <c r="E969" s="5">
        <v>45275</v>
      </c>
      <c r="F969">
        <v>115</v>
      </c>
      <c r="G969">
        <f>AVERAGEIF(calls[Representative], calls[[#This Row],[Representative]], calls[Satisfaction Rating])</f>
        <v>3.8973118279569863</v>
      </c>
      <c r="H969" t="str">
        <f>IF(AVERAGEIF(calls[Representative],calls[[#This Row],[Representative]],calls[Satisfaction Rating])&lt;3.5,"Needs Training","OK")</f>
        <v>OK</v>
      </c>
      <c r="I969">
        <v>4.9000000000000004</v>
      </c>
      <c r="J969">
        <f>IF(MONTH(calls[[#This Row],[Date of Call]])&lt;=6, YEAR(calls[[#This Row],[Date of Call]]), YEAR(calls[[#This Row],[Date of Call]])+1)</f>
        <v>2024</v>
      </c>
      <c r="K969" t="str">
        <f>TEXT(calls[[#This Row],[Date of Call]],"DDDD")</f>
        <v>Friday</v>
      </c>
      <c r="L969" t="str" cm="1">
        <f t="array" ref="L969">_xlfn.IFS(calls[[#This Row],[Duration]]&lt;=10,"under 10 mins",calls[[#This Row],[Duration]]&lt;=30,"10 to 30mins",calls[[#This Row],[Duration]]&lt;=60,"60 to 30mins",calls[[#This Row],[Duration]]&lt;=120,"1 to 2hrs",TRUE,"More than 2 hrs")</f>
        <v>1 to 2hrs</v>
      </c>
      <c r="M969">
        <f>ROUND(calls[[#This Row],[Satisfaction Rating]],0)</f>
        <v>5</v>
      </c>
      <c r="N969">
        <f>COUNTIF(calls[Customer ID], calls[[#This Row],[Customer ID]])</f>
        <v>67</v>
      </c>
      <c r="O969">
        <f>SUMIF(calls[Customer ID], calls[[#This Row],[Customer ID]], calls[Purchase Amount])</f>
        <v>7216</v>
      </c>
      <c r="P969">
        <f>calls[[#This Row],[call count]]/calls[[#This Row],[Purchase Amount]]</f>
        <v>0.58260869565217388</v>
      </c>
      <c r="Q969">
        <f>COUNTIF(calls[Customer ID],calls[[#This Row],[Customer ID]])</f>
        <v>67</v>
      </c>
      <c r="R969">
        <f>calls[[#This Row],[call count]]/calls[[#This Row],[Purchase Amount]]</f>
        <v>0.58260869565217388</v>
      </c>
    </row>
    <row r="970" spans="1:18" x14ac:dyDescent="0.4">
      <c r="A970" t="s">
        <v>1000</v>
      </c>
      <c r="B970" t="s">
        <v>64</v>
      </c>
      <c r="C970">
        <v>151</v>
      </c>
      <c r="D970" s="4" t="s">
        <v>9</v>
      </c>
      <c r="E970" s="5">
        <v>45275</v>
      </c>
      <c r="F970">
        <v>117</v>
      </c>
      <c r="G970">
        <f>AVERAGEIF(calls[Representative], calls[[#This Row],[Representative]], calls[Satisfaction Rating])</f>
        <v>3.8706422018348627</v>
      </c>
      <c r="H970" t="str">
        <f>IF(AVERAGEIF(calls[Representative],calls[[#This Row],[Representative]],calls[Satisfaction Rating])&lt;3.5,"Needs Training","OK")</f>
        <v>OK</v>
      </c>
      <c r="I970">
        <v>2</v>
      </c>
      <c r="J970">
        <f>IF(MONTH(calls[[#This Row],[Date of Call]])&lt;=6, YEAR(calls[[#This Row],[Date of Call]]), YEAR(calls[[#This Row],[Date of Call]])+1)</f>
        <v>2024</v>
      </c>
      <c r="K970" t="str">
        <f>TEXT(calls[[#This Row],[Date of Call]],"DDDD")</f>
        <v>Friday</v>
      </c>
      <c r="L970" t="str" cm="1">
        <f t="array" ref="L970">_xlfn.IFS(calls[[#This Row],[Duration]]&lt;=10,"under 10 mins",calls[[#This Row],[Duration]]&lt;=30,"10 to 30mins",calls[[#This Row],[Duration]]&lt;=60,"60 to 30mins",calls[[#This Row],[Duration]]&lt;=120,"1 to 2hrs",TRUE,"More than 2 hrs")</f>
        <v>More than 2 hrs</v>
      </c>
      <c r="M970">
        <f>ROUND(calls[[#This Row],[Satisfaction Rating]],0)</f>
        <v>2</v>
      </c>
      <c r="N970">
        <f>COUNTIF(calls[Customer ID], calls[[#This Row],[Customer ID]])</f>
        <v>65</v>
      </c>
      <c r="O970">
        <f>SUMIF(calls[Customer ID], calls[[#This Row],[Customer ID]], calls[Purchase Amount])</f>
        <v>6785</v>
      </c>
      <c r="P970">
        <f>calls[[#This Row],[call count]]/calls[[#This Row],[Purchase Amount]]</f>
        <v>0.55555555555555558</v>
      </c>
      <c r="Q970">
        <f>COUNTIF(calls[Customer ID],calls[[#This Row],[Customer ID]])</f>
        <v>65</v>
      </c>
      <c r="R970">
        <f>calls[[#This Row],[call count]]/calls[[#This Row],[Purchase Amount]]</f>
        <v>0.55555555555555558</v>
      </c>
    </row>
    <row r="971" spans="1:18" x14ac:dyDescent="0.4">
      <c r="A971" t="s">
        <v>1001</v>
      </c>
      <c r="B971" t="s">
        <v>84</v>
      </c>
      <c r="C971">
        <v>158</v>
      </c>
      <c r="D971" s="4" t="s">
        <v>2</v>
      </c>
      <c r="E971" s="5">
        <v>45276</v>
      </c>
      <c r="F971">
        <v>36</v>
      </c>
      <c r="G971">
        <f>AVERAGEIF(calls[Representative], calls[[#This Row],[Representative]], calls[Satisfaction Rating])</f>
        <v>3.8824999999999998</v>
      </c>
      <c r="H971" t="str">
        <f>IF(AVERAGEIF(calls[Representative],calls[[#This Row],[Representative]],calls[Satisfaction Rating])&lt;3.5,"Needs Training","OK")</f>
        <v>OK</v>
      </c>
      <c r="I971">
        <v>4.7</v>
      </c>
      <c r="J971">
        <f>IF(MONTH(calls[[#This Row],[Date of Call]])&lt;=6, YEAR(calls[[#This Row],[Date of Call]]), YEAR(calls[[#This Row],[Date of Call]])+1)</f>
        <v>2024</v>
      </c>
      <c r="K971" t="str">
        <f>TEXT(calls[[#This Row],[Date of Call]],"DDDD")</f>
        <v>Saturday</v>
      </c>
      <c r="L971" t="str" cm="1">
        <f t="array" ref="L971">_xlfn.IFS(calls[[#This Row],[Duration]]&lt;=10,"under 10 mins",calls[[#This Row],[Duration]]&lt;=30,"10 to 30mins",calls[[#This Row],[Duration]]&lt;=60,"60 to 30mins",calls[[#This Row],[Duration]]&lt;=120,"1 to 2hrs",TRUE,"More than 2 hrs")</f>
        <v>More than 2 hrs</v>
      </c>
      <c r="M971">
        <f>ROUND(calls[[#This Row],[Satisfaction Rating]],0)</f>
        <v>5</v>
      </c>
      <c r="N971">
        <f>COUNTIF(calls[Customer ID], calls[[#This Row],[Customer ID]])</f>
        <v>59</v>
      </c>
      <c r="O971">
        <f>SUMIF(calls[Customer ID], calls[[#This Row],[Customer ID]], calls[Purchase Amount])</f>
        <v>5009</v>
      </c>
      <c r="P971">
        <f>calls[[#This Row],[call count]]/calls[[#This Row],[Purchase Amount]]</f>
        <v>1.6388888888888888</v>
      </c>
      <c r="Q971">
        <f>COUNTIF(calls[Customer ID],calls[[#This Row],[Customer ID]])</f>
        <v>59</v>
      </c>
      <c r="R971">
        <f>calls[[#This Row],[call count]]/calls[[#This Row],[Purchase Amount]]</f>
        <v>1.6388888888888888</v>
      </c>
    </row>
    <row r="972" spans="1:18" x14ac:dyDescent="0.4">
      <c r="A972" t="s">
        <v>1002</v>
      </c>
      <c r="B972" t="s">
        <v>8</v>
      </c>
      <c r="C972">
        <v>45</v>
      </c>
      <c r="D972" s="4" t="s">
        <v>2</v>
      </c>
      <c r="E972" s="5">
        <v>45276</v>
      </c>
      <c r="F972">
        <v>84</v>
      </c>
      <c r="G972">
        <f>AVERAGEIF(calls[Representative], calls[[#This Row],[Representative]], calls[Satisfaction Rating])</f>
        <v>3.8824999999999998</v>
      </c>
      <c r="H972" t="str">
        <f>IF(AVERAGEIF(calls[Representative],calls[[#This Row],[Representative]],calls[Satisfaction Rating])&lt;3.5,"Needs Training","OK")</f>
        <v>OK</v>
      </c>
      <c r="I972">
        <v>2.8</v>
      </c>
      <c r="J972">
        <f>IF(MONTH(calls[[#This Row],[Date of Call]])&lt;=6, YEAR(calls[[#This Row],[Date of Call]]), YEAR(calls[[#This Row],[Date of Call]])+1)</f>
        <v>2024</v>
      </c>
      <c r="K972" t="str">
        <f>TEXT(calls[[#This Row],[Date of Call]],"DDDD")</f>
        <v>Saturday</v>
      </c>
      <c r="L972" t="str" cm="1">
        <f t="array" ref="L972">_xlfn.IFS(calls[[#This Row],[Duration]]&lt;=10,"under 10 mins",calls[[#This Row],[Duration]]&lt;=30,"10 to 30mins",calls[[#This Row],[Duration]]&lt;=60,"60 to 30mins",calls[[#This Row],[Duration]]&lt;=120,"1 to 2hrs",TRUE,"More than 2 hrs")</f>
        <v>60 to 30mins</v>
      </c>
      <c r="M972">
        <f>ROUND(calls[[#This Row],[Satisfaction Rating]],0)</f>
        <v>3</v>
      </c>
      <c r="N972">
        <f>COUNTIF(calls[Customer ID], calls[[#This Row],[Customer ID]])</f>
        <v>79</v>
      </c>
      <c r="O972">
        <f>SUMIF(calls[Customer ID], calls[[#This Row],[Customer ID]], calls[Purchase Amount])</f>
        <v>7747</v>
      </c>
      <c r="P972">
        <f>calls[[#This Row],[call count]]/calls[[#This Row],[Purchase Amount]]</f>
        <v>0.94047619047619047</v>
      </c>
      <c r="Q972">
        <f>COUNTIF(calls[Customer ID],calls[[#This Row],[Customer ID]])</f>
        <v>79</v>
      </c>
      <c r="R972">
        <f>calls[[#This Row],[call count]]/calls[[#This Row],[Purchase Amount]]</f>
        <v>0.94047619047619047</v>
      </c>
    </row>
    <row r="973" spans="1:18" x14ac:dyDescent="0.4">
      <c r="A973" t="s">
        <v>1003</v>
      </c>
      <c r="B973" t="s">
        <v>32</v>
      </c>
      <c r="C973">
        <v>141</v>
      </c>
      <c r="D973" s="4" t="s">
        <v>2</v>
      </c>
      <c r="E973" s="5">
        <v>45276</v>
      </c>
      <c r="F973">
        <v>66</v>
      </c>
      <c r="G973">
        <f>AVERAGEIF(calls[Representative], calls[[#This Row],[Representative]], calls[Satisfaction Rating])</f>
        <v>3.8824999999999998</v>
      </c>
      <c r="H973" t="str">
        <f>IF(AVERAGEIF(calls[Representative],calls[[#This Row],[Representative]],calls[Satisfaction Rating])&lt;3.5,"Needs Training","OK")</f>
        <v>OK</v>
      </c>
      <c r="I973">
        <v>3.2</v>
      </c>
      <c r="J973">
        <f>IF(MONTH(calls[[#This Row],[Date of Call]])&lt;=6, YEAR(calls[[#This Row],[Date of Call]]), YEAR(calls[[#This Row],[Date of Call]])+1)</f>
        <v>2024</v>
      </c>
      <c r="K973" t="str">
        <f>TEXT(calls[[#This Row],[Date of Call]],"DDDD")</f>
        <v>Saturday</v>
      </c>
      <c r="L973" t="str" cm="1">
        <f t="array" ref="L973">_xlfn.IFS(calls[[#This Row],[Duration]]&lt;=10,"under 10 mins",calls[[#This Row],[Duration]]&lt;=30,"10 to 30mins",calls[[#This Row],[Duration]]&lt;=60,"60 to 30mins",calls[[#This Row],[Duration]]&lt;=120,"1 to 2hrs",TRUE,"More than 2 hrs")</f>
        <v>More than 2 hrs</v>
      </c>
      <c r="M973">
        <f>ROUND(calls[[#This Row],[Satisfaction Rating]],0)</f>
        <v>3</v>
      </c>
      <c r="N973">
        <f>COUNTIF(calls[Customer ID], calls[[#This Row],[Customer ID]])</f>
        <v>63</v>
      </c>
      <c r="O973">
        <f>SUMIF(calls[Customer ID], calls[[#This Row],[Customer ID]], calls[Purchase Amount])</f>
        <v>5634</v>
      </c>
      <c r="P973">
        <f>calls[[#This Row],[call count]]/calls[[#This Row],[Purchase Amount]]</f>
        <v>0.95454545454545459</v>
      </c>
      <c r="Q973">
        <f>COUNTIF(calls[Customer ID],calls[[#This Row],[Customer ID]])</f>
        <v>63</v>
      </c>
      <c r="R973">
        <f>calls[[#This Row],[call count]]/calls[[#This Row],[Purchase Amount]]</f>
        <v>0.95454545454545459</v>
      </c>
    </row>
    <row r="974" spans="1:18" x14ac:dyDescent="0.4">
      <c r="A974" t="s">
        <v>1004</v>
      </c>
      <c r="B974" t="s">
        <v>26</v>
      </c>
      <c r="C974">
        <v>147</v>
      </c>
      <c r="D974" s="4" t="s">
        <v>23</v>
      </c>
      <c r="E974" s="5">
        <v>45276</v>
      </c>
      <c r="F974">
        <v>76</v>
      </c>
      <c r="G974">
        <f>AVERAGEIF(calls[Representative], calls[[#This Row],[Representative]], calls[Satisfaction Rating])</f>
        <v>3.8973118279569863</v>
      </c>
      <c r="H974" t="str">
        <f>IF(AVERAGEIF(calls[Representative],calls[[#This Row],[Representative]],calls[Satisfaction Rating])&lt;3.5,"Needs Training","OK")</f>
        <v>OK</v>
      </c>
      <c r="I974">
        <v>4.7</v>
      </c>
      <c r="J974">
        <f>IF(MONTH(calls[[#This Row],[Date of Call]])&lt;=6, YEAR(calls[[#This Row],[Date of Call]]), YEAR(calls[[#This Row],[Date of Call]])+1)</f>
        <v>2024</v>
      </c>
      <c r="K974" t="str">
        <f>TEXT(calls[[#This Row],[Date of Call]],"DDDD")</f>
        <v>Saturday</v>
      </c>
      <c r="L974" t="str" cm="1">
        <f t="array" ref="L974">_xlfn.IFS(calls[[#This Row],[Duration]]&lt;=10,"under 10 mins",calls[[#This Row],[Duration]]&lt;=30,"10 to 30mins",calls[[#This Row],[Duration]]&lt;=60,"60 to 30mins",calls[[#This Row],[Duration]]&lt;=120,"1 to 2hrs",TRUE,"More than 2 hrs")</f>
        <v>More than 2 hrs</v>
      </c>
      <c r="M974">
        <f>ROUND(calls[[#This Row],[Satisfaction Rating]],0)</f>
        <v>5</v>
      </c>
      <c r="N974">
        <f>COUNTIF(calls[Customer ID], calls[[#This Row],[Customer ID]])</f>
        <v>72</v>
      </c>
      <c r="O974">
        <f>SUMIF(calls[Customer ID], calls[[#This Row],[Customer ID]], calls[Purchase Amount])</f>
        <v>6242</v>
      </c>
      <c r="P974">
        <f>calls[[#This Row],[call count]]/calls[[#This Row],[Purchase Amount]]</f>
        <v>0.94736842105263153</v>
      </c>
      <c r="Q974">
        <f>COUNTIF(calls[Customer ID],calls[[#This Row],[Customer ID]])</f>
        <v>72</v>
      </c>
      <c r="R974">
        <f>calls[[#This Row],[call count]]/calls[[#This Row],[Purchase Amount]]</f>
        <v>0.94736842105263153</v>
      </c>
    </row>
    <row r="975" spans="1:18" x14ac:dyDescent="0.4">
      <c r="A975" t="s">
        <v>1005</v>
      </c>
      <c r="B975" t="s">
        <v>51</v>
      </c>
      <c r="C975">
        <v>126</v>
      </c>
      <c r="D975" s="4" t="s">
        <v>23</v>
      </c>
      <c r="E975" s="5">
        <v>45276</v>
      </c>
      <c r="F975">
        <v>185</v>
      </c>
      <c r="G975">
        <f>AVERAGEIF(calls[Representative], calls[[#This Row],[Representative]], calls[Satisfaction Rating])</f>
        <v>3.8973118279569863</v>
      </c>
      <c r="H975" t="str">
        <f>IF(AVERAGEIF(calls[Representative],calls[[#This Row],[Representative]],calls[Satisfaction Rating])&lt;3.5,"Needs Training","OK")</f>
        <v>OK</v>
      </c>
      <c r="I975">
        <v>4.8</v>
      </c>
      <c r="J975">
        <f>IF(MONTH(calls[[#This Row],[Date of Call]])&lt;=6, YEAR(calls[[#This Row],[Date of Call]]), YEAR(calls[[#This Row],[Date of Call]])+1)</f>
        <v>2024</v>
      </c>
      <c r="K975" t="str">
        <f>TEXT(calls[[#This Row],[Date of Call]],"DDDD")</f>
        <v>Saturday</v>
      </c>
      <c r="L975" t="str" cm="1">
        <f t="array" ref="L975">_xlfn.IFS(calls[[#This Row],[Duration]]&lt;=10,"under 10 mins",calls[[#This Row],[Duration]]&lt;=30,"10 to 30mins",calls[[#This Row],[Duration]]&lt;=60,"60 to 30mins",calls[[#This Row],[Duration]]&lt;=120,"1 to 2hrs",TRUE,"More than 2 hrs")</f>
        <v>More than 2 hrs</v>
      </c>
      <c r="M975">
        <f>ROUND(calls[[#This Row],[Satisfaction Rating]],0)</f>
        <v>5</v>
      </c>
      <c r="N975">
        <f>COUNTIF(calls[Customer ID], calls[[#This Row],[Customer ID]])</f>
        <v>59</v>
      </c>
      <c r="O975">
        <f>SUMIF(calls[Customer ID], calls[[#This Row],[Customer ID]], calls[Purchase Amount])</f>
        <v>6518</v>
      </c>
      <c r="P975">
        <f>calls[[#This Row],[call count]]/calls[[#This Row],[Purchase Amount]]</f>
        <v>0.31891891891891894</v>
      </c>
      <c r="Q975">
        <f>COUNTIF(calls[Customer ID],calls[[#This Row],[Customer ID]])</f>
        <v>59</v>
      </c>
      <c r="R975">
        <f>calls[[#This Row],[call count]]/calls[[#This Row],[Purchase Amount]]</f>
        <v>0.31891891891891894</v>
      </c>
    </row>
    <row r="976" spans="1:18" x14ac:dyDescent="0.4">
      <c r="A976" t="s">
        <v>1006</v>
      </c>
      <c r="B976" t="s">
        <v>8</v>
      </c>
      <c r="C976">
        <v>126</v>
      </c>
      <c r="D976" s="4" t="s">
        <v>14</v>
      </c>
      <c r="E976" s="5">
        <v>45277</v>
      </c>
      <c r="F976">
        <v>80</v>
      </c>
      <c r="G976">
        <f>AVERAGEIF(calls[Representative], calls[[#This Row],[Representative]], calls[Satisfaction Rating])</f>
        <v>3.9227513227513247</v>
      </c>
      <c r="H976" t="str">
        <f>IF(AVERAGEIF(calls[Representative],calls[[#This Row],[Representative]],calls[Satisfaction Rating])&lt;3.5,"Needs Training","OK")</f>
        <v>OK</v>
      </c>
      <c r="I976">
        <v>4.7</v>
      </c>
      <c r="J976">
        <f>IF(MONTH(calls[[#This Row],[Date of Call]])&lt;=6, YEAR(calls[[#This Row],[Date of Call]]), YEAR(calls[[#This Row],[Date of Call]])+1)</f>
        <v>2024</v>
      </c>
      <c r="K976" t="str">
        <f>TEXT(calls[[#This Row],[Date of Call]],"DDDD")</f>
        <v>Sunday</v>
      </c>
      <c r="L976" t="str" cm="1">
        <f t="array" ref="L976">_xlfn.IFS(calls[[#This Row],[Duration]]&lt;=10,"under 10 mins",calls[[#This Row],[Duration]]&lt;=30,"10 to 30mins",calls[[#This Row],[Duration]]&lt;=60,"60 to 30mins",calls[[#This Row],[Duration]]&lt;=120,"1 to 2hrs",TRUE,"More than 2 hrs")</f>
        <v>More than 2 hrs</v>
      </c>
      <c r="M976">
        <f>ROUND(calls[[#This Row],[Satisfaction Rating]],0)</f>
        <v>5</v>
      </c>
      <c r="N976">
        <f>COUNTIF(calls[Customer ID], calls[[#This Row],[Customer ID]])</f>
        <v>79</v>
      </c>
      <c r="O976">
        <f>SUMIF(calls[Customer ID], calls[[#This Row],[Customer ID]], calls[Purchase Amount])</f>
        <v>7747</v>
      </c>
      <c r="P976">
        <f>calls[[#This Row],[call count]]/calls[[#This Row],[Purchase Amount]]</f>
        <v>0.98750000000000004</v>
      </c>
      <c r="Q976">
        <f>COUNTIF(calls[Customer ID],calls[[#This Row],[Customer ID]])</f>
        <v>79</v>
      </c>
      <c r="R976">
        <f>calls[[#This Row],[call count]]/calls[[#This Row],[Purchase Amount]]</f>
        <v>0.98750000000000004</v>
      </c>
    </row>
    <row r="977" spans="1:18" x14ac:dyDescent="0.4">
      <c r="A977" t="s">
        <v>1007</v>
      </c>
      <c r="B977" t="s">
        <v>30</v>
      </c>
      <c r="C977">
        <v>32</v>
      </c>
      <c r="D977" s="4" t="s">
        <v>23</v>
      </c>
      <c r="E977" s="5">
        <v>45277</v>
      </c>
      <c r="F977">
        <v>148</v>
      </c>
      <c r="G977">
        <f>AVERAGEIF(calls[Representative], calls[[#This Row],[Representative]], calls[Satisfaction Rating])</f>
        <v>3.8973118279569863</v>
      </c>
      <c r="H977" t="str">
        <f>IF(AVERAGEIF(calls[Representative],calls[[#This Row],[Representative]],calls[Satisfaction Rating])&lt;3.5,"Needs Training","OK")</f>
        <v>OK</v>
      </c>
      <c r="I977">
        <v>4</v>
      </c>
      <c r="J977">
        <f>IF(MONTH(calls[[#This Row],[Date of Call]])&lt;=6, YEAR(calls[[#This Row],[Date of Call]]), YEAR(calls[[#This Row],[Date of Call]])+1)</f>
        <v>2024</v>
      </c>
      <c r="K977" t="str">
        <f>TEXT(calls[[#This Row],[Date of Call]],"DDDD")</f>
        <v>Sunday</v>
      </c>
      <c r="L977" t="str" cm="1">
        <f t="array" ref="L977">_xlfn.IFS(calls[[#This Row],[Duration]]&lt;=10,"under 10 mins",calls[[#This Row],[Duration]]&lt;=30,"10 to 30mins",calls[[#This Row],[Duration]]&lt;=60,"60 to 30mins",calls[[#This Row],[Duration]]&lt;=120,"1 to 2hrs",TRUE,"More than 2 hrs")</f>
        <v>60 to 30mins</v>
      </c>
      <c r="M977">
        <f>ROUND(calls[[#This Row],[Satisfaction Rating]],0)</f>
        <v>4</v>
      </c>
      <c r="N977">
        <f>COUNTIF(calls[Customer ID], calls[[#This Row],[Customer ID]])</f>
        <v>69</v>
      </c>
      <c r="O977">
        <f>SUMIF(calls[Customer ID], calls[[#This Row],[Customer ID]], calls[Purchase Amount])</f>
        <v>7230</v>
      </c>
      <c r="P977">
        <f>calls[[#This Row],[call count]]/calls[[#This Row],[Purchase Amount]]</f>
        <v>0.46621621621621623</v>
      </c>
      <c r="Q977">
        <f>COUNTIF(calls[Customer ID],calls[[#This Row],[Customer ID]])</f>
        <v>69</v>
      </c>
      <c r="R977">
        <f>calls[[#This Row],[call count]]/calls[[#This Row],[Purchase Amount]]</f>
        <v>0.46621621621621623</v>
      </c>
    </row>
    <row r="978" spans="1:18" x14ac:dyDescent="0.4">
      <c r="A978" t="s">
        <v>1008</v>
      </c>
      <c r="B978" t="s">
        <v>8</v>
      </c>
      <c r="C978">
        <v>84</v>
      </c>
      <c r="D978" s="4" t="s">
        <v>27</v>
      </c>
      <c r="E978" s="5">
        <v>45279</v>
      </c>
      <c r="F978">
        <v>180</v>
      </c>
      <c r="G978">
        <f>AVERAGEIF(calls[Representative], calls[[#This Row],[Representative]], calls[Satisfaction Rating])</f>
        <v>3.8589371980676304</v>
      </c>
      <c r="H978" t="str">
        <f>IF(AVERAGEIF(calls[Representative],calls[[#This Row],[Representative]],calls[Satisfaction Rating])&lt;3.5,"Needs Training","OK")</f>
        <v>OK</v>
      </c>
      <c r="I978">
        <v>4.9000000000000004</v>
      </c>
      <c r="J978">
        <f>IF(MONTH(calls[[#This Row],[Date of Call]])&lt;=6, YEAR(calls[[#This Row],[Date of Call]]), YEAR(calls[[#This Row],[Date of Call]])+1)</f>
        <v>2024</v>
      </c>
      <c r="K978" t="str">
        <f>TEXT(calls[[#This Row],[Date of Call]],"DDDD")</f>
        <v>Tuesday</v>
      </c>
      <c r="L978" t="str" cm="1">
        <f t="array" ref="L978">_xlfn.IFS(calls[[#This Row],[Duration]]&lt;=10,"under 10 mins",calls[[#This Row],[Duration]]&lt;=30,"10 to 30mins",calls[[#This Row],[Duration]]&lt;=60,"60 to 30mins",calls[[#This Row],[Duration]]&lt;=120,"1 to 2hrs",TRUE,"More than 2 hrs")</f>
        <v>1 to 2hrs</v>
      </c>
      <c r="M978">
        <f>ROUND(calls[[#This Row],[Satisfaction Rating]],0)</f>
        <v>5</v>
      </c>
      <c r="N978">
        <f>COUNTIF(calls[Customer ID], calls[[#This Row],[Customer ID]])</f>
        <v>79</v>
      </c>
      <c r="O978">
        <f>SUMIF(calls[Customer ID], calls[[#This Row],[Customer ID]], calls[Purchase Amount])</f>
        <v>7747</v>
      </c>
      <c r="P978">
        <f>calls[[#This Row],[call count]]/calls[[#This Row],[Purchase Amount]]</f>
        <v>0.43888888888888888</v>
      </c>
      <c r="Q978">
        <f>COUNTIF(calls[Customer ID],calls[[#This Row],[Customer ID]])</f>
        <v>79</v>
      </c>
      <c r="R978">
        <f>calls[[#This Row],[call count]]/calls[[#This Row],[Purchase Amount]]</f>
        <v>0.43888888888888888</v>
      </c>
    </row>
    <row r="979" spans="1:18" x14ac:dyDescent="0.4">
      <c r="A979" t="s">
        <v>1009</v>
      </c>
      <c r="B979" t="s">
        <v>40</v>
      </c>
      <c r="C979">
        <v>120</v>
      </c>
      <c r="D979" s="4" t="s">
        <v>14</v>
      </c>
      <c r="E979" s="5">
        <v>45280</v>
      </c>
      <c r="F979">
        <v>190</v>
      </c>
      <c r="G979">
        <f>AVERAGEIF(calls[Representative], calls[[#This Row],[Representative]], calls[Satisfaction Rating])</f>
        <v>3.9227513227513247</v>
      </c>
      <c r="H979" t="str">
        <f>IF(AVERAGEIF(calls[Representative],calls[[#This Row],[Representative]],calls[Satisfaction Rating])&lt;3.5,"Needs Training","OK")</f>
        <v>OK</v>
      </c>
      <c r="I979">
        <v>3.7</v>
      </c>
      <c r="J979">
        <f>IF(MONTH(calls[[#This Row],[Date of Call]])&lt;=6, YEAR(calls[[#This Row],[Date of Call]]), YEAR(calls[[#This Row],[Date of Call]])+1)</f>
        <v>2024</v>
      </c>
      <c r="K979" t="str">
        <f>TEXT(calls[[#This Row],[Date of Call]],"DDDD")</f>
        <v>Wednesday</v>
      </c>
      <c r="L979" t="str" cm="1">
        <f t="array" ref="L979">_xlfn.IFS(calls[[#This Row],[Duration]]&lt;=10,"under 10 mins",calls[[#This Row],[Duration]]&lt;=30,"10 to 30mins",calls[[#This Row],[Duration]]&lt;=60,"60 to 30mins",calls[[#This Row],[Duration]]&lt;=120,"1 to 2hrs",TRUE,"More than 2 hrs")</f>
        <v>1 to 2hrs</v>
      </c>
      <c r="M979">
        <f>ROUND(calls[[#This Row],[Satisfaction Rating]],0)</f>
        <v>4</v>
      </c>
      <c r="N979">
        <f>COUNTIF(calls[Customer ID], calls[[#This Row],[Customer ID]])</f>
        <v>69</v>
      </c>
      <c r="O979">
        <f>SUMIF(calls[Customer ID], calls[[#This Row],[Customer ID]], calls[Purchase Amount])</f>
        <v>6601</v>
      </c>
      <c r="P979">
        <f>calls[[#This Row],[call count]]/calls[[#This Row],[Purchase Amount]]</f>
        <v>0.36315789473684212</v>
      </c>
      <c r="Q979">
        <f>COUNTIF(calls[Customer ID],calls[[#This Row],[Customer ID]])</f>
        <v>69</v>
      </c>
      <c r="R979">
        <f>calls[[#This Row],[call count]]/calls[[#This Row],[Purchase Amount]]</f>
        <v>0.36315789473684212</v>
      </c>
    </row>
    <row r="980" spans="1:18" x14ac:dyDescent="0.4">
      <c r="A980" t="s">
        <v>1010</v>
      </c>
      <c r="B980" t="s">
        <v>13</v>
      </c>
      <c r="C980">
        <v>93</v>
      </c>
      <c r="D980" s="4" t="s">
        <v>23</v>
      </c>
      <c r="E980" s="5">
        <v>45280</v>
      </c>
      <c r="F980">
        <v>38</v>
      </c>
      <c r="G980">
        <f>AVERAGEIF(calls[Representative], calls[[#This Row],[Representative]], calls[Satisfaction Rating])</f>
        <v>3.8973118279569863</v>
      </c>
      <c r="H980" t="str">
        <f>IF(AVERAGEIF(calls[Representative],calls[[#This Row],[Representative]],calls[Satisfaction Rating])&lt;3.5,"Needs Training","OK")</f>
        <v>OK</v>
      </c>
      <c r="I980">
        <v>4.5</v>
      </c>
      <c r="J980">
        <f>IF(MONTH(calls[[#This Row],[Date of Call]])&lt;=6, YEAR(calls[[#This Row],[Date of Call]]), YEAR(calls[[#This Row],[Date of Call]])+1)</f>
        <v>2024</v>
      </c>
      <c r="K980" t="str">
        <f>TEXT(calls[[#This Row],[Date of Call]],"DDDD")</f>
        <v>Wednesday</v>
      </c>
      <c r="L980" t="str" cm="1">
        <f t="array" ref="L980">_xlfn.IFS(calls[[#This Row],[Duration]]&lt;=10,"under 10 mins",calls[[#This Row],[Duration]]&lt;=30,"10 to 30mins",calls[[#This Row],[Duration]]&lt;=60,"60 to 30mins",calls[[#This Row],[Duration]]&lt;=120,"1 to 2hrs",TRUE,"More than 2 hrs")</f>
        <v>1 to 2hrs</v>
      </c>
      <c r="M980">
        <f>ROUND(calls[[#This Row],[Satisfaction Rating]],0)</f>
        <v>5</v>
      </c>
      <c r="N980">
        <f>COUNTIF(calls[Customer ID], calls[[#This Row],[Customer ID]])</f>
        <v>74</v>
      </c>
      <c r="O980">
        <f>SUMIF(calls[Customer ID], calls[[#This Row],[Customer ID]], calls[Purchase Amount])</f>
        <v>6749</v>
      </c>
      <c r="P980">
        <f>calls[[#This Row],[call count]]/calls[[#This Row],[Purchase Amount]]</f>
        <v>1.9473684210526316</v>
      </c>
      <c r="Q980">
        <f>COUNTIF(calls[Customer ID],calls[[#This Row],[Customer ID]])</f>
        <v>74</v>
      </c>
      <c r="R980">
        <f>calls[[#This Row],[call count]]/calls[[#This Row],[Purchase Amount]]</f>
        <v>1.9473684210526316</v>
      </c>
    </row>
    <row r="981" spans="1:18" x14ac:dyDescent="0.4">
      <c r="A981" t="s">
        <v>1011</v>
      </c>
      <c r="B981" t="s">
        <v>21</v>
      </c>
      <c r="C981">
        <v>76</v>
      </c>
      <c r="D981" s="4" t="s">
        <v>9</v>
      </c>
      <c r="E981" s="5">
        <v>45281</v>
      </c>
      <c r="F981">
        <v>82</v>
      </c>
      <c r="G981">
        <f>AVERAGEIF(calls[Representative], calls[[#This Row],[Representative]], calls[Satisfaction Rating])</f>
        <v>3.8706422018348627</v>
      </c>
      <c r="H981" t="str">
        <f>IF(AVERAGEIF(calls[Representative],calls[[#This Row],[Representative]],calls[Satisfaction Rating])&lt;3.5,"Needs Training","OK")</f>
        <v>OK</v>
      </c>
      <c r="I981">
        <v>2.1</v>
      </c>
      <c r="J981">
        <f>IF(MONTH(calls[[#This Row],[Date of Call]])&lt;=6, YEAR(calls[[#This Row],[Date of Call]]), YEAR(calls[[#This Row],[Date of Call]])+1)</f>
        <v>2024</v>
      </c>
      <c r="K981" t="str">
        <f>TEXT(calls[[#This Row],[Date of Call]],"DDDD")</f>
        <v>Thursday</v>
      </c>
      <c r="L981" t="str" cm="1">
        <f t="array" ref="L981">_xlfn.IFS(calls[[#This Row],[Duration]]&lt;=10,"under 10 mins",calls[[#This Row],[Duration]]&lt;=30,"10 to 30mins",calls[[#This Row],[Duration]]&lt;=60,"60 to 30mins",calls[[#This Row],[Duration]]&lt;=120,"1 to 2hrs",TRUE,"More than 2 hrs")</f>
        <v>1 to 2hrs</v>
      </c>
      <c r="M981">
        <f>ROUND(calls[[#This Row],[Satisfaction Rating]],0)</f>
        <v>2</v>
      </c>
      <c r="N981">
        <f>COUNTIF(calls[Customer ID], calls[[#This Row],[Customer ID]])</f>
        <v>67</v>
      </c>
      <c r="O981">
        <f>SUMIF(calls[Customer ID], calls[[#This Row],[Customer ID]], calls[Purchase Amount])</f>
        <v>7216</v>
      </c>
      <c r="P981">
        <f>calls[[#This Row],[call count]]/calls[[#This Row],[Purchase Amount]]</f>
        <v>0.81707317073170727</v>
      </c>
      <c r="Q981">
        <f>COUNTIF(calls[Customer ID],calls[[#This Row],[Customer ID]])</f>
        <v>67</v>
      </c>
      <c r="R981">
        <f>calls[[#This Row],[call count]]/calls[[#This Row],[Purchase Amount]]</f>
        <v>0.81707317073170727</v>
      </c>
    </row>
    <row r="982" spans="1:18" x14ac:dyDescent="0.4">
      <c r="A982" t="s">
        <v>1012</v>
      </c>
      <c r="B982" t="s">
        <v>84</v>
      </c>
      <c r="C982">
        <v>89</v>
      </c>
      <c r="D982" s="4" t="s">
        <v>23</v>
      </c>
      <c r="E982" s="5">
        <v>45284</v>
      </c>
      <c r="F982">
        <v>88</v>
      </c>
      <c r="G982">
        <f>AVERAGEIF(calls[Representative], calls[[#This Row],[Representative]], calls[Satisfaction Rating])</f>
        <v>3.8973118279569863</v>
      </c>
      <c r="H982" t="str">
        <f>IF(AVERAGEIF(calls[Representative],calls[[#This Row],[Representative]],calls[Satisfaction Rating])&lt;3.5,"Needs Training","OK")</f>
        <v>OK</v>
      </c>
      <c r="I982">
        <v>2.8</v>
      </c>
      <c r="J982">
        <f>IF(MONTH(calls[[#This Row],[Date of Call]])&lt;=6, YEAR(calls[[#This Row],[Date of Call]]), YEAR(calls[[#This Row],[Date of Call]])+1)</f>
        <v>2024</v>
      </c>
      <c r="K982" t="str">
        <f>TEXT(calls[[#This Row],[Date of Call]],"DDDD")</f>
        <v>Sunday</v>
      </c>
      <c r="L982" t="str" cm="1">
        <f t="array" ref="L982">_xlfn.IFS(calls[[#This Row],[Duration]]&lt;=10,"under 10 mins",calls[[#This Row],[Duration]]&lt;=30,"10 to 30mins",calls[[#This Row],[Duration]]&lt;=60,"60 to 30mins",calls[[#This Row],[Duration]]&lt;=120,"1 to 2hrs",TRUE,"More than 2 hrs")</f>
        <v>1 to 2hrs</v>
      </c>
      <c r="M982">
        <f>ROUND(calls[[#This Row],[Satisfaction Rating]],0)</f>
        <v>3</v>
      </c>
      <c r="N982">
        <f>COUNTIF(calls[Customer ID], calls[[#This Row],[Customer ID]])</f>
        <v>59</v>
      </c>
      <c r="O982">
        <f>SUMIF(calls[Customer ID], calls[[#This Row],[Customer ID]], calls[Purchase Amount])</f>
        <v>5009</v>
      </c>
      <c r="P982">
        <f>calls[[#This Row],[call count]]/calls[[#This Row],[Purchase Amount]]</f>
        <v>0.67045454545454541</v>
      </c>
      <c r="Q982">
        <f>COUNTIF(calls[Customer ID],calls[[#This Row],[Customer ID]])</f>
        <v>59</v>
      </c>
      <c r="R982">
        <f>calls[[#This Row],[call count]]/calls[[#This Row],[Purchase Amount]]</f>
        <v>0.67045454545454541</v>
      </c>
    </row>
    <row r="983" spans="1:18" x14ac:dyDescent="0.4">
      <c r="A983" t="s">
        <v>1013</v>
      </c>
      <c r="B983" t="s">
        <v>11</v>
      </c>
      <c r="C983">
        <v>91</v>
      </c>
      <c r="D983" s="4" t="s">
        <v>27</v>
      </c>
      <c r="E983" s="5">
        <v>45284</v>
      </c>
      <c r="F983">
        <v>42</v>
      </c>
      <c r="G983">
        <f>AVERAGEIF(calls[Representative], calls[[#This Row],[Representative]], calls[Satisfaction Rating])</f>
        <v>3.8589371980676304</v>
      </c>
      <c r="H983" t="str">
        <f>IF(AVERAGEIF(calls[Representative],calls[[#This Row],[Representative]],calls[Satisfaction Rating])&lt;3.5,"Needs Training","OK")</f>
        <v>OK</v>
      </c>
      <c r="I983">
        <v>4.0999999999999996</v>
      </c>
      <c r="J983">
        <f>IF(MONTH(calls[[#This Row],[Date of Call]])&lt;=6, YEAR(calls[[#This Row],[Date of Call]]), YEAR(calls[[#This Row],[Date of Call]])+1)</f>
        <v>2024</v>
      </c>
      <c r="K983" t="str">
        <f>TEXT(calls[[#This Row],[Date of Call]],"DDDD")</f>
        <v>Sunday</v>
      </c>
      <c r="L983" t="str" cm="1">
        <f t="array" ref="L983">_xlfn.IFS(calls[[#This Row],[Duration]]&lt;=10,"under 10 mins",calls[[#This Row],[Duration]]&lt;=30,"10 to 30mins",calls[[#This Row],[Duration]]&lt;=60,"60 to 30mins",calls[[#This Row],[Duration]]&lt;=120,"1 to 2hrs",TRUE,"More than 2 hrs")</f>
        <v>1 to 2hrs</v>
      </c>
      <c r="M983">
        <f>ROUND(calls[[#This Row],[Satisfaction Rating]],0)</f>
        <v>4</v>
      </c>
      <c r="N983">
        <f>COUNTIF(calls[Customer ID], calls[[#This Row],[Customer ID]])</f>
        <v>60</v>
      </c>
      <c r="O983">
        <f>SUMIF(calls[Customer ID], calls[[#This Row],[Customer ID]], calls[Purchase Amount])</f>
        <v>5404</v>
      </c>
      <c r="P983">
        <f>calls[[#This Row],[call count]]/calls[[#This Row],[Purchase Amount]]</f>
        <v>1.4285714285714286</v>
      </c>
      <c r="Q983">
        <f>COUNTIF(calls[Customer ID],calls[[#This Row],[Customer ID]])</f>
        <v>60</v>
      </c>
      <c r="R983">
        <f>calls[[#This Row],[call count]]/calls[[#This Row],[Purchase Amount]]</f>
        <v>1.4285714285714286</v>
      </c>
    </row>
    <row r="984" spans="1:18" x14ac:dyDescent="0.4">
      <c r="A984" t="s">
        <v>1014</v>
      </c>
      <c r="B984" t="s">
        <v>44</v>
      </c>
      <c r="C984">
        <v>7</v>
      </c>
      <c r="D984" s="4" t="s">
        <v>2</v>
      </c>
      <c r="E984" s="5">
        <v>45285</v>
      </c>
      <c r="F984">
        <v>64</v>
      </c>
      <c r="G984">
        <f>AVERAGEIF(calls[Representative], calls[[#This Row],[Representative]], calls[Satisfaction Rating])</f>
        <v>3.8824999999999998</v>
      </c>
      <c r="H984" t="str">
        <f>IF(AVERAGEIF(calls[Representative],calls[[#This Row],[Representative]],calls[Satisfaction Rating])&lt;3.5,"Needs Training","OK")</f>
        <v>OK</v>
      </c>
      <c r="I984">
        <v>3.3</v>
      </c>
      <c r="J984">
        <f>IF(MONTH(calls[[#This Row],[Date of Call]])&lt;=6, YEAR(calls[[#This Row],[Date of Call]]), YEAR(calls[[#This Row],[Date of Call]])+1)</f>
        <v>2024</v>
      </c>
      <c r="K984" t="str">
        <f>TEXT(calls[[#This Row],[Date of Call]],"DDDD")</f>
        <v>Monday</v>
      </c>
      <c r="L984" t="str" cm="1">
        <f t="array" ref="L984">_xlfn.IFS(calls[[#This Row],[Duration]]&lt;=10,"under 10 mins",calls[[#This Row],[Duration]]&lt;=30,"10 to 30mins",calls[[#This Row],[Duration]]&lt;=60,"60 to 30mins",calls[[#This Row],[Duration]]&lt;=120,"1 to 2hrs",TRUE,"More than 2 hrs")</f>
        <v>under 10 mins</v>
      </c>
      <c r="M984">
        <f>ROUND(calls[[#This Row],[Satisfaction Rating]],0)</f>
        <v>3</v>
      </c>
      <c r="N984">
        <f>COUNTIF(calls[Customer ID], calls[[#This Row],[Customer ID]])</f>
        <v>62</v>
      </c>
      <c r="O984">
        <f>SUMIF(calls[Customer ID], calls[[#This Row],[Customer ID]], calls[Purchase Amount])</f>
        <v>6176</v>
      </c>
      <c r="P984">
        <f>calls[[#This Row],[call count]]/calls[[#This Row],[Purchase Amount]]</f>
        <v>0.96875</v>
      </c>
      <c r="Q984">
        <f>COUNTIF(calls[Customer ID],calls[[#This Row],[Customer ID]])</f>
        <v>62</v>
      </c>
      <c r="R984">
        <f>calls[[#This Row],[call count]]/calls[[#This Row],[Purchase Amount]]</f>
        <v>0.96875</v>
      </c>
    </row>
    <row r="985" spans="1:18" x14ac:dyDescent="0.4">
      <c r="A985" t="s">
        <v>1015</v>
      </c>
      <c r="B985" t="s">
        <v>30</v>
      </c>
      <c r="C985">
        <v>140</v>
      </c>
      <c r="D985" s="4" t="s">
        <v>2</v>
      </c>
      <c r="E985" s="5">
        <v>45285</v>
      </c>
      <c r="F985">
        <v>105</v>
      </c>
      <c r="G985">
        <f>AVERAGEIF(calls[Representative], calls[[#This Row],[Representative]], calls[Satisfaction Rating])</f>
        <v>3.8824999999999998</v>
      </c>
      <c r="H985" t="str">
        <f>IF(AVERAGEIF(calls[Representative],calls[[#This Row],[Representative]],calls[Satisfaction Rating])&lt;3.5,"Needs Training","OK")</f>
        <v>OK</v>
      </c>
      <c r="I985">
        <v>1.7</v>
      </c>
      <c r="J985">
        <f>IF(MONTH(calls[[#This Row],[Date of Call]])&lt;=6, YEAR(calls[[#This Row],[Date of Call]]), YEAR(calls[[#This Row],[Date of Call]])+1)</f>
        <v>2024</v>
      </c>
      <c r="K985" t="str">
        <f>TEXT(calls[[#This Row],[Date of Call]],"DDDD")</f>
        <v>Monday</v>
      </c>
      <c r="L985" t="str" cm="1">
        <f t="array" ref="L985">_xlfn.IFS(calls[[#This Row],[Duration]]&lt;=10,"under 10 mins",calls[[#This Row],[Duration]]&lt;=30,"10 to 30mins",calls[[#This Row],[Duration]]&lt;=60,"60 to 30mins",calls[[#This Row],[Duration]]&lt;=120,"1 to 2hrs",TRUE,"More than 2 hrs")</f>
        <v>More than 2 hrs</v>
      </c>
      <c r="M985">
        <f>ROUND(calls[[#This Row],[Satisfaction Rating]],0)</f>
        <v>2</v>
      </c>
      <c r="N985">
        <f>COUNTIF(calls[Customer ID], calls[[#This Row],[Customer ID]])</f>
        <v>69</v>
      </c>
      <c r="O985">
        <f>SUMIF(calls[Customer ID], calls[[#This Row],[Customer ID]], calls[Purchase Amount])</f>
        <v>7230</v>
      </c>
      <c r="P985">
        <f>calls[[#This Row],[call count]]/calls[[#This Row],[Purchase Amount]]</f>
        <v>0.65714285714285714</v>
      </c>
      <c r="Q985">
        <f>COUNTIF(calls[Customer ID],calls[[#This Row],[Customer ID]])</f>
        <v>69</v>
      </c>
      <c r="R985">
        <f>calls[[#This Row],[call count]]/calls[[#This Row],[Purchase Amount]]</f>
        <v>0.65714285714285714</v>
      </c>
    </row>
    <row r="986" spans="1:18" x14ac:dyDescent="0.4">
      <c r="A986" t="s">
        <v>1016</v>
      </c>
      <c r="B986" t="s">
        <v>6</v>
      </c>
      <c r="C986">
        <v>58</v>
      </c>
      <c r="D986" s="4" t="s">
        <v>14</v>
      </c>
      <c r="E986" s="5">
        <v>45285</v>
      </c>
      <c r="F986">
        <v>25</v>
      </c>
      <c r="G986">
        <f>AVERAGEIF(calls[Representative], calls[[#This Row],[Representative]], calls[Satisfaction Rating])</f>
        <v>3.9227513227513247</v>
      </c>
      <c r="H986" t="str">
        <f>IF(AVERAGEIF(calls[Representative],calls[[#This Row],[Representative]],calls[Satisfaction Rating])&lt;3.5,"Needs Training","OK")</f>
        <v>OK</v>
      </c>
      <c r="I986">
        <v>3.6</v>
      </c>
      <c r="J986">
        <f>IF(MONTH(calls[[#This Row],[Date of Call]])&lt;=6, YEAR(calls[[#This Row],[Date of Call]]), YEAR(calls[[#This Row],[Date of Call]])+1)</f>
        <v>2024</v>
      </c>
      <c r="K986" t="str">
        <f>TEXT(calls[[#This Row],[Date of Call]],"DDDD")</f>
        <v>Monday</v>
      </c>
      <c r="L986" t="str" cm="1">
        <f t="array" ref="L986">_xlfn.IFS(calls[[#This Row],[Duration]]&lt;=10,"under 10 mins",calls[[#This Row],[Duration]]&lt;=30,"10 to 30mins",calls[[#This Row],[Duration]]&lt;=60,"60 to 30mins",calls[[#This Row],[Duration]]&lt;=120,"1 to 2hrs",TRUE,"More than 2 hrs")</f>
        <v>60 to 30mins</v>
      </c>
      <c r="M986">
        <f>ROUND(calls[[#This Row],[Satisfaction Rating]],0)</f>
        <v>4</v>
      </c>
      <c r="N986">
        <f>COUNTIF(calls[Customer ID], calls[[#This Row],[Customer ID]])</f>
        <v>82</v>
      </c>
      <c r="O986">
        <f>SUMIF(calls[Customer ID], calls[[#This Row],[Customer ID]], calls[Purchase Amount])</f>
        <v>7689</v>
      </c>
      <c r="P986">
        <f>calls[[#This Row],[call count]]/calls[[#This Row],[Purchase Amount]]</f>
        <v>3.28</v>
      </c>
      <c r="Q986">
        <f>COUNTIF(calls[Customer ID],calls[[#This Row],[Customer ID]])</f>
        <v>82</v>
      </c>
      <c r="R986">
        <f>calls[[#This Row],[call count]]/calls[[#This Row],[Purchase Amount]]</f>
        <v>3.28</v>
      </c>
    </row>
    <row r="987" spans="1:18" x14ac:dyDescent="0.4">
      <c r="A987" t="s">
        <v>1017</v>
      </c>
      <c r="B987" t="s">
        <v>1</v>
      </c>
      <c r="C987">
        <v>90</v>
      </c>
      <c r="D987" s="4" t="s">
        <v>9</v>
      </c>
      <c r="E987" s="5">
        <v>45286</v>
      </c>
      <c r="F987">
        <v>176</v>
      </c>
      <c r="G987">
        <f>AVERAGEIF(calls[Representative], calls[[#This Row],[Representative]], calls[Satisfaction Rating])</f>
        <v>3.8706422018348627</v>
      </c>
      <c r="H987" t="str">
        <f>IF(AVERAGEIF(calls[Representative],calls[[#This Row],[Representative]],calls[Satisfaction Rating])&lt;3.5,"Needs Training","OK")</f>
        <v>OK</v>
      </c>
      <c r="I987">
        <v>3.6</v>
      </c>
      <c r="J987">
        <f>IF(MONTH(calls[[#This Row],[Date of Call]])&lt;=6, YEAR(calls[[#This Row],[Date of Call]]), YEAR(calls[[#This Row],[Date of Call]])+1)</f>
        <v>2024</v>
      </c>
      <c r="K987" t="str">
        <f>TEXT(calls[[#This Row],[Date of Call]],"DDDD")</f>
        <v>Tuesday</v>
      </c>
      <c r="L987" t="str" cm="1">
        <f t="array" ref="L987">_xlfn.IFS(calls[[#This Row],[Duration]]&lt;=10,"under 10 mins",calls[[#This Row],[Duration]]&lt;=30,"10 to 30mins",calls[[#This Row],[Duration]]&lt;=60,"60 to 30mins",calls[[#This Row],[Duration]]&lt;=120,"1 to 2hrs",TRUE,"More than 2 hrs")</f>
        <v>1 to 2hrs</v>
      </c>
      <c r="M987">
        <f>ROUND(calls[[#This Row],[Satisfaction Rating]],0)</f>
        <v>4</v>
      </c>
      <c r="N987">
        <f>COUNTIF(calls[Customer ID], calls[[#This Row],[Customer ID]])</f>
        <v>50</v>
      </c>
      <c r="O987">
        <f>SUMIF(calls[Customer ID], calls[[#This Row],[Customer ID]], calls[Purchase Amount])</f>
        <v>4804</v>
      </c>
      <c r="P987">
        <f>calls[[#This Row],[call count]]/calls[[#This Row],[Purchase Amount]]</f>
        <v>0.28409090909090912</v>
      </c>
      <c r="Q987">
        <f>COUNTIF(calls[Customer ID],calls[[#This Row],[Customer ID]])</f>
        <v>50</v>
      </c>
      <c r="R987">
        <f>calls[[#This Row],[call count]]/calls[[#This Row],[Purchase Amount]]</f>
        <v>0.28409090909090912</v>
      </c>
    </row>
    <row r="988" spans="1:18" x14ac:dyDescent="0.4">
      <c r="A988" t="s">
        <v>1018</v>
      </c>
      <c r="B988" t="s">
        <v>1</v>
      </c>
      <c r="C988">
        <v>106</v>
      </c>
      <c r="D988" s="4" t="s">
        <v>23</v>
      </c>
      <c r="E988" s="5">
        <v>45287</v>
      </c>
      <c r="F988">
        <v>46</v>
      </c>
      <c r="G988">
        <f>AVERAGEIF(calls[Representative], calls[[#This Row],[Representative]], calls[Satisfaction Rating])</f>
        <v>3.8973118279569863</v>
      </c>
      <c r="H988" t="str">
        <f>IF(AVERAGEIF(calls[Representative],calls[[#This Row],[Representative]],calls[Satisfaction Rating])&lt;3.5,"Needs Training","OK")</f>
        <v>OK</v>
      </c>
      <c r="I988">
        <v>4.5999999999999996</v>
      </c>
      <c r="J988">
        <f>IF(MONTH(calls[[#This Row],[Date of Call]])&lt;=6, YEAR(calls[[#This Row],[Date of Call]]), YEAR(calls[[#This Row],[Date of Call]])+1)</f>
        <v>2024</v>
      </c>
      <c r="K988" t="str">
        <f>TEXT(calls[[#This Row],[Date of Call]],"DDDD")</f>
        <v>Wednesday</v>
      </c>
      <c r="L988" t="str" cm="1">
        <f t="array" ref="L988">_xlfn.IFS(calls[[#This Row],[Duration]]&lt;=10,"under 10 mins",calls[[#This Row],[Duration]]&lt;=30,"10 to 30mins",calls[[#This Row],[Duration]]&lt;=60,"60 to 30mins",calls[[#This Row],[Duration]]&lt;=120,"1 to 2hrs",TRUE,"More than 2 hrs")</f>
        <v>1 to 2hrs</v>
      </c>
      <c r="M988">
        <f>ROUND(calls[[#This Row],[Satisfaction Rating]],0)</f>
        <v>5</v>
      </c>
      <c r="N988">
        <f>COUNTIF(calls[Customer ID], calls[[#This Row],[Customer ID]])</f>
        <v>50</v>
      </c>
      <c r="O988">
        <f>SUMIF(calls[Customer ID], calls[[#This Row],[Customer ID]], calls[Purchase Amount])</f>
        <v>4804</v>
      </c>
      <c r="P988">
        <f>calls[[#This Row],[call count]]/calls[[#This Row],[Purchase Amount]]</f>
        <v>1.0869565217391304</v>
      </c>
      <c r="Q988">
        <f>COUNTIF(calls[Customer ID],calls[[#This Row],[Customer ID]])</f>
        <v>50</v>
      </c>
      <c r="R988">
        <f>calls[[#This Row],[call count]]/calls[[#This Row],[Purchase Amount]]</f>
        <v>1.0869565217391304</v>
      </c>
    </row>
    <row r="989" spans="1:18" x14ac:dyDescent="0.4">
      <c r="A989" t="s">
        <v>1019</v>
      </c>
      <c r="B989" t="s">
        <v>40</v>
      </c>
      <c r="C989">
        <v>72</v>
      </c>
      <c r="D989" s="4" t="s">
        <v>2</v>
      </c>
      <c r="E989" s="5">
        <v>45287</v>
      </c>
      <c r="F989">
        <v>164</v>
      </c>
      <c r="G989">
        <f>AVERAGEIF(calls[Representative], calls[[#This Row],[Representative]], calls[Satisfaction Rating])</f>
        <v>3.8824999999999998</v>
      </c>
      <c r="H989" t="str">
        <f>IF(AVERAGEIF(calls[Representative],calls[[#This Row],[Representative]],calls[Satisfaction Rating])&lt;3.5,"Needs Training","OK")</f>
        <v>OK</v>
      </c>
      <c r="I989">
        <v>4.8</v>
      </c>
      <c r="J989">
        <f>IF(MONTH(calls[[#This Row],[Date of Call]])&lt;=6, YEAR(calls[[#This Row],[Date of Call]]), YEAR(calls[[#This Row],[Date of Call]])+1)</f>
        <v>2024</v>
      </c>
      <c r="K989" t="str">
        <f>TEXT(calls[[#This Row],[Date of Call]],"DDDD")</f>
        <v>Wednesday</v>
      </c>
      <c r="L989" t="str" cm="1">
        <f t="array" ref="L989">_xlfn.IFS(calls[[#This Row],[Duration]]&lt;=10,"under 10 mins",calls[[#This Row],[Duration]]&lt;=30,"10 to 30mins",calls[[#This Row],[Duration]]&lt;=60,"60 to 30mins",calls[[#This Row],[Duration]]&lt;=120,"1 to 2hrs",TRUE,"More than 2 hrs")</f>
        <v>1 to 2hrs</v>
      </c>
      <c r="M989">
        <f>ROUND(calls[[#This Row],[Satisfaction Rating]],0)</f>
        <v>5</v>
      </c>
      <c r="N989">
        <f>COUNTIF(calls[Customer ID], calls[[#This Row],[Customer ID]])</f>
        <v>69</v>
      </c>
      <c r="O989">
        <f>SUMIF(calls[Customer ID], calls[[#This Row],[Customer ID]], calls[Purchase Amount])</f>
        <v>6601</v>
      </c>
      <c r="P989">
        <f>calls[[#This Row],[call count]]/calls[[#This Row],[Purchase Amount]]</f>
        <v>0.42073170731707316</v>
      </c>
      <c r="Q989">
        <f>COUNTIF(calls[Customer ID],calls[[#This Row],[Customer ID]])</f>
        <v>69</v>
      </c>
      <c r="R989">
        <f>calls[[#This Row],[call count]]/calls[[#This Row],[Purchase Amount]]</f>
        <v>0.42073170731707316</v>
      </c>
    </row>
    <row r="990" spans="1:18" x14ac:dyDescent="0.4">
      <c r="A990" t="s">
        <v>1020</v>
      </c>
      <c r="B990" t="s">
        <v>44</v>
      </c>
      <c r="C990">
        <v>124</v>
      </c>
      <c r="D990" s="4" t="s">
        <v>2</v>
      </c>
      <c r="E990" s="5">
        <v>45288</v>
      </c>
      <c r="F990">
        <v>64</v>
      </c>
      <c r="G990">
        <f>AVERAGEIF(calls[Representative], calls[[#This Row],[Representative]], calls[Satisfaction Rating])</f>
        <v>3.8824999999999998</v>
      </c>
      <c r="H990" t="str">
        <f>IF(AVERAGEIF(calls[Representative],calls[[#This Row],[Representative]],calls[Satisfaction Rating])&lt;3.5,"Needs Training","OK")</f>
        <v>OK</v>
      </c>
      <c r="I990">
        <v>4.5</v>
      </c>
      <c r="J990">
        <f>IF(MONTH(calls[[#This Row],[Date of Call]])&lt;=6, YEAR(calls[[#This Row],[Date of Call]]), YEAR(calls[[#This Row],[Date of Call]])+1)</f>
        <v>2024</v>
      </c>
      <c r="K990" t="str">
        <f>TEXT(calls[[#This Row],[Date of Call]],"DDDD")</f>
        <v>Thursday</v>
      </c>
      <c r="L990" t="str" cm="1">
        <f t="array" ref="L990">_xlfn.IFS(calls[[#This Row],[Duration]]&lt;=10,"under 10 mins",calls[[#This Row],[Duration]]&lt;=30,"10 to 30mins",calls[[#This Row],[Duration]]&lt;=60,"60 to 30mins",calls[[#This Row],[Duration]]&lt;=120,"1 to 2hrs",TRUE,"More than 2 hrs")</f>
        <v>More than 2 hrs</v>
      </c>
      <c r="M990">
        <f>ROUND(calls[[#This Row],[Satisfaction Rating]],0)</f>
        <v>5</v>
      </c>
      <c r="N990">
        <f>COUNTIF(calls[Customer ID], calls[[#This Row],[Customer ID]])</f>
        <v>62</v>
      </c>
      <c r="O990">
        <f>SUMIF(calls[Customer ID], calls[[#This Row],[Customer ID]], calls[Purchase Amount])</f>
        <v>6176</v>
      </c>
      <c r="P990">
        <f>calls[[#This Row],[call count]]/calls[[#This Row],[Purchase Amount]]</f>
        <v>0.96875</v>
      </c>
      <c r="Q990">
        <f>COUNTIF(calls[Customer ID],calls[[#This Row],[Customer ID]])</f>
        <v>62</v>
      </c>
      <c r="R990">
        <f>calls[[#This Row],[call count]]/calls[[#This Row],[Purchase Amount]]</f>
        <v>0.96875</v>
      </c>
    </row>
    <row r="991" spans="1:18" x14ac:dyDescent="0.4">
      <c r="A991" t="s">
        <v>1021</v>
      </c>
      <c r="B991" t="s">
        <v>32</v>
      </c>
      <c r="C991">
        <v>86</v>
      </c>
      <c r="D991" s="4" t="s">
        <v>27</v>
      </c>
      <c r="E991" s="5">
        <v>45288</v>
      </c>
      <c r="F991">
        <v>205</v>
      </c>
      <c r="G991">
        <f>AVERAGEIF(calls[Representative], calls[[#This Row],[Representative]], calls[Satisfaction Rating])</f>
        <v>3.8589371980676304</v>
      </c>
      <c r="H991" t="str">
        <f>IF(AVERAGEIF(calls[Representative],calls[[#This Row],[Representative]],calls[Satisfaction Rating])&lt;3.5,"Needs Training","OK")</f>
        <v>OK</v>
      </c>
      <c r="I991">
        <v>4.5</v>
      </c>
      <c r="J991">
        <f>IF(MONTH(calls[[#This Row],[Date of Call]])&lt;=6, YEAR(calls[[#This Row],[Date of Call]]), YEAR(calls[[#This Row],[Date of Call]])+1)</f>
        <v>2024</v>
      </c>
      <c r="K991" t="str">
        <f>TEXT(calls[[#This Row],[Date of Call]],"DDDD")</f>
        <v>Thursday</v>
      </c>
      <c r="L991" t="str" cm="1">
        <f t="array" ref="L991">_xlfn.IFS(calls[[#This Row],[Duration]]&lt;=10,"under 10 mins",calls[[#This Row],[Duration]]&lt;=30,"10 to 30mins",calls[[#This Row],[Duration]]&lt;=60,"60 to 30mins",calls[[#This Row],[Duration]]&lt;=120,"1 to 2hrs",TRUE,"More than 2 hrs")</f>
        <v>1 to 2hrs</v>
      </c>
      <c r="M991">
        <f>ROUND(calls[[#This Row],[Satisfaction Rating]],0)</f>
        <v>5</v>
      </c>
      <c r="N991">
        <f>COUNTIF(calls[Customer ID], calls[[#This Row],[Customer ID]])</f>
        <v>63</v>
      </c>
      <c r="O991">
        <f>SUMIF(calls[Customer ID], calls[[#This Row],[Customer ID]], calls[Purchase Amount])</f>
        <v>5634</v>
      </c>
      <c r="P991">
        <f>calls[[#This Row],[call count]]/calls[[#This Row],[Purchase Amount]]</f>
        <v>0.3073170731707317</v>
      </c>
      <c r="Q991">
        <f>COUNTIF(calls[Customer ID],calls[[#This Row],[Customer ID]])</f>
        <v>63</v>
      </c>
      <c r="R991">
        <f>calls[[#This Row],[call count]]/calls[[#This Row],[Purchase Amount]]</f>
        <v>0.3073170731707317</v>
      </c>
    </row>
    <row r="992" spans="1:18" x14ac:dyDescent="0.4">
      <c r="A992" t="s">
        <v>1022</v>
      </c>
      <c r="B992" t="s">
        <v>8</v>
      </c>
      <c r="C992">
        <v>164</v>
      </c>
      <c r="D992" s="4" t="s">
        <v>27</v>
      </c>
      <c r="E992" s="5">
        <v>45289</v>
      </c>
      <c r="F992">
        <v>100</v>
      </c>
      <c r="G992">
        <f>AVERAGEIF(calls[Representative], calls[[#This Row],[Representative]], calls[Satisfaction Rating])</f>
        <v>3.8589371980676304</v>
      </c>
      <c r="H992" t="str">
        <f>IF(AVERAGEIF(calls[Representative],calls[[#This Row],[Representative]],calls[Satisfaction Rating])&lt;3.5,"Needs Training","OK")</f>
        <v>OK</v>
      </c>
      <c r="I992">
        <v>4.5999999999999996</v>
      </c>
      <c r="J992">
        <f>IF(MONTH(calls[[#This Row],[Date of Call]])&lt;=6, YEAR(calls[[#This Row],[Date of Call]]), YEAR(calls[[#This Row],[Date of Call]])+1)</f>
        <v>2024</v>
      </c>
      <c r="K992" t="str">
        <f>TEXT(calls[[#This Row],[Date of Call]],"DDDD")</f>
        <v>Friday</v>
      </c>
      <c r="L992" t="str" cm="1">
        <f t="array" ref="L992">_xlfn.IFS(calls[[#This Row],[Duration]]&lt;=10,"under 10 mins",calls[[#This Row],[Duration]]&lt;=30,"10 to 30mins",calls[[#This Row],[Duration]]&lt;=60,"60 to 30mins",calls[[#This Row],[Duration]]&lt;=120,"1 to 2hrs",TRUE,"More than 2 hrs")</f>
        <v>More than 2 hrs</v>
      </c>
      <c r="M992">
        <f>ROUND(calls[[#This Row],[Satisfaction Rating]],0)</f>
        <v>5</v>
      </c>
      <c r="N992">
        <f>COUNTIF(calls[Customer ID], calls[[#This Row],[Customer ID]])</f>
        <v>79</v>
      </c>
      <c r="O992">
        <f>SUMIF(calls[Customer ID], calls[[#This Row],[Customer ID]], calls[Purchase Amount])</f>
        <v>7747</v>
      </c>
      <c r="P992">
        <f>calls[[#This Row],[call count]]/calls[[#This Row],[Purchase Amount]]</f>
        <v>0.79</v>
      </c>
      <c r="Q992">
        <f>COUNTIF(calls[Customer ID],calls[[#This Row],[Customer ID]])</f>
        <v>79</v>
      </c>
      <c r="R992">
        <f>calls[[#This Row],[call count]]/calls[[#This Row],[Purchase Amount]]</f>
        <v>0.79</v>
      </c>
    </row>
    <row r="993" spans="1:18" x14ac:dyDescent="0.4">
      <c r="A993" t="s">
        <v>1023</v>
      </c>
      <c r="B993" t="s">
        <v>13</v>
      </c>
      <c r="C993">
        <v>40</v>
      </c>
      <c r="D993" s="4" t="s">
        <v>9</v>
      </c>
      <c r="E993" s="5">
        <v>45289</v>
      </c>
      <c r="F993">
        <v>111</v>
      </c>
      <c r="G993">
        <f>AVERAGEIF(calls[Representative], calls[[#This Row],[Representative]], calls[Satisfaction Rating])</f>
        <v>3.8706422018348627</v>
      </c>
      <c r="H993" t="str">
        <f>IF(AVERAGEIF(calls[Representative],calls[[#This Row],[Representative]],calls[Satisfaction Rating])&lt;3.5,"Needs Training","OK")</f>
        <v>OK</v>
      </c>
      <c r="I993">
        <v>4.5999999999999996</v>
      </c>
      <c r="J993">
        <f>IF(MONTH(calls[[#This Row],[Date of Call]])&lt;=6, YEAR(calls[[#This Row],[Date of Call]]), YEAR(calls[[#This Row],[Date of Call]])+1)</f>
        <v>2024</v>
      </c>
      <c r="K993" t="str">
        <f>TEXT(calls[[#This Row],[Date of Call]],"DDDD")</f>
        <v>Friday</v>
      </c>
      <c r="L993" t="str" cm="1">
        <f t="array" ref="L993">_xlfn.IFS(calls[[#This Row],[Duration]]&lt;=10,"under 10 mins",calls[[#This Row],[Duration]]&lt;=30,"10 to 30mins",calls[[#This Row],[Duration]]&lt;=60,"60 to 30mins",calls[[#This Row],[Duration]]&lt;=120,"1 to 2hrs",TRUE,"More than 2 hrs")</f>
        <v>60 to 30mins</v>
      </c>
      <c r="M993">
        <f>ROUND(calls[[#This Row],[Satisfaction Rating]],0)</f>
        <v>5</v>
      </c>
      <c r="N993">
        <f>COUNTIF(calls[Customer ID], calls[[#This Row],[Customer ID]])</f>
        <v>74</v>
      </c>
      <c r="O993">
        <f>SUMIF(calls[Customer ID], calls[[#This Row],[Customer ID]], calls[Purchase Amount])</f>
        <v>6749</v>
      </c>
      <c r="P993">
        <f>calls[[#This Row],[call count]]/calls[[#This Row],[Purchase Amount]]</f>
        <v>0.66666666666666663</v>
      </c>
      <c r="Q993">
        <f>COUNTIF(calls[Customer ID],calls[[#This Row],[Customer ID]])</f>
        <v>74</v>
      </c>
      <c r="R993">
        <f>calls[[#This Row],[call count]]/calls[[#This Row],[Purchase Amount]]</f>
        <v>0.66666666666666663</v>
      </c>
    </row>
    <row r="994" spans="1:18" x14ac:dyDescent="0.4">
      <c r="A994" t="s">
        <v>1024</v>
      </c>
      <c r="B994" t="s">
        <v>11</v>
      </c>
      <c r="C994">
        <v>76</v>
      </c>
      <c r="D994" s="4" t="s">
        <v>14</v>
      </c>
      <c r="E994" s="5">
        <v>45289</v>
      </c>
      <c r="F994">
        <v>80</v>
      </c>
      <c r="G994">
        <f>AVERAGEIF(calls[Representative], calls[[#This Row],[Representative]], calls[Satisfaction Rating])</f>
        <v>3.9227513227513247</v>
      </c>
      <c r="H994" t="str">
        <f>IF(AVERAGEIF(calls[Representative],calls[[#This Row],[Representative]],calls[Satisfaction Rating])&lt;3.5,"Needs Training","OK")</f>
        <v>OK</v>
      </c>
      <c r="I994">
        <v>3.5</v>
      </c>
      <c r="J994">
        <f>IF(MONTH(calls[[#This Row],[Date of Call]])&lt;=6, YEAR(calls[[#This Row],[Date of Call]]), YEAR(calls[[#This Row],[Date of Call]])+1)</f>
        <v>2024</v>
      </c>
      <c r="K994" t="str">
        <f>TEXT(calls[[#This Row],[Date of Call]],"DDDD")</f>
        <v>Friday</v>
      </c>
      <c r="L994" t="str" cm="1">
        <f t="array" ref="L994">_xlfn.IFS(calls[[#This Row],[Duration]]&lt;=10,"under 10 mins",calls[[#This Row],[Duration]]&lt;=30,"10 to 30mins",calls[[#This Row],[Duration]]&lt;=60,"60 to 30mins",calls[[#This Row],[Duration]]&lt;=120,"1 to 2hrs",TRUE,"More than 2 hrs")</f>
        <v>1 to 2hrs</v>
      </c>
      <c r="M994">
        <f>ROUND(calls[[#This Row],[Satisfaction Rating]],0)</f>
        <v>4</v>
      </c>
      <c r="N994">
        <f>COUNTIF(calls[Customer ID], calls[[#This Row],[Customer ID]])</f>
        <v>60</v>
      </c>
      <c r="O994">
        <f>SUMIF(calls[Customer ID], calls[[#This Row],[Customer ID]], calls[Purchase Amount])</f>
        <v>5404</v>
      </c>
      <c r="P994">
        <f>calls[[#This Row],[call count]]/calls[[#This Row],[Purchase Amount]]</f>
        <v>0.75</v>
      </c>
      <c r="Q994">
        <f>COUNTIF(calls[Customer ID],calls[[#This Row],[Customer ID]])</f>
        <v>60</v>
      </c>
      <c r="R994">
        <f>calls[[#This Row],[call count]]/calls[[#This Row],[Purchase Amount]]</f>
        <v>0.75</v>
      </c>
    </row>
    <row r="995" spans="1:18" x14ac:dyDescent="0.4">
      <c r="A995" t="s">
        <v>1025</v>
      </c>
      <c r="B995" t="s">
        <v>44</v>
      </c>
      <c r="C995">
        <v>95</v>
      </c>
      <c r="D995" s="4" t="s">
        <v>23</v>
      </c>
      <c r="E995" s="5">
        <v>45289</v>
      </c>
      <c r="F995">
        <v>50</v>
      </c>
      <c r="G995">
        <f>AVERAGEIF(calls[Representative], calls[[#This Row],[Representative]], calls[Satisfaction Rating])</f>
        <v>3.8973118279569863</v>
      </c>
      <c r="H995" t="str">
        <f>IF(AVERAGEIF(calls[Representative],calls[[#This Row],[Representative]],calls[Satisfaction Rating])&lt;3.5,"Needs Training","OK")</f>
        <v>OK</v>
      </c>
      <c r="I995">
        <v>2.9</v>
      </c>
      <c r="J995">
        <f>IF(MONTH(calls[[#This Row],[Date of Call]])&lt;=6, YEAR(calls[[#This Row],[Date of Call]]), YEAR(calls[[#This Row],[Date of Call]])+1)</f>
        <v>2024</v>
      </c>
      <c r="K995" t="str">
        <f>TEXT(calls[[#This Row],[Date of Call]],"DDDD")</f>
        <v>Friday</v>
      </c>
      <c r="L995" t="str" cm="1">
        <f t="array" ref="L995">_xlfn.IFS(calls[[#This Row],[Duration]]&lt;=10,"under 10 mins",calls[[#This Row],[Duration]]&lt;=30,"10 to 30mins",calls[[#This Row],[Duration]]&lt;=60,"60 to 30mins",calls[[#This Row],[Duration]]&lt;=120,"1 to 2hrs",TRUE,"More than 2 hrs")</f>
        <v>1 to 2hrs</v>
      </c>
      <c r="M995">
        <f>ROUND(calls[[#This Row],[Satisfaction Rating]],0)</f>
        <v>3</v>
      </c>
      <c r="N995">
        <f>COUNTIF(calls[Customer ID], calls[[#This Row],[Customer ID]])</f>
        <v>62</v>
      </c>
      <c r="O995">
        <f>SUMIF(calls[Customer ID], calls[[#This Row],[Customer ID]], calls[Purchase Amount])</f>
        <v>6176</v>
      </c>
      <c r="P995">
        <f>calls[[#This Row],[call count]]/calls[[#This Row],[Purchase Amount]]</f>
        <v>1.24</v>
      </c>
      <c r="Q995">
        <f>COUNTIF(calls[Customer ID],calls[[#This Row],[Customer ID]])</f>
        <v>62</v>
      </c>
      <c r="R995">
        <f>calls[[#This Row],[call count]]/calls[[#This Row],[Purchase Amount]]</f>
        <v>1.24</v>
      </c>
    </row>
    <row r="996" spans="1:18" x14ac:dyDescent="0.4">
      <c r="A996" t="s">
        <v>1026</v>
      </c>
      <c r="B996" t="s">
        <v>11</v>
      </c>
      <c r="C996">
        <v>113</v>
      </c>
      <c r="D996" s="4" t="s">
        <v>2</v>
      </c>
      <c r="E996" s="5">
        <v>45290</v>
      </c>
      <c r="F996">
        <v>165</v>
      </c>
      <c r="G996">
        <f>AVERAGEIF(calls[Representative], calls[[#This Row],[Representative]], calls[Satisfaction Rating])</f>
        <v>3.8824999999999998</v>
      </c>
      <c r="H996" t="str">
        <f>IF(AVERAGEIF(calls[Representative],calls[[#This Row],[Representative]],calls[Satisfaction Rating])&lt;3.5,"Needs Training","OK")</f>
        <v>OK</v>
      </c>
      <c r="I996">
        <v>4.7</v>
      </c>
      <c r="J996">
        <f>IF(MONTH(calls[[#This Row],[Date of Call]])&lt;=6, YEAR(calls[[#This Row],[Date of Call]]), YEAR(calls[[#This Row],[Date of Call]])+1)</f>
        <v>2024</v>
      </c>
      <c r="K996" t="str">
        <f>TEXT(calls[[#This Row],[Date of Call]],"DDDD")</f>
        <v>Saturday</v>
      </c>
      <c r="L996" t="str" cm="1">
        <f t="array" ref="L996">_xlfn.IFS(calls[[#This Row],[Duration]]&lt;=10,"under 10 mins",calls[[#This Row],[Duration]]&lt;=30,"10 to 30mins",calls[[#This Row],[Duration]]&lt;=60,"60 to 30mins",calls[[#This Row],[Duration]]&lt;=120,"1 to 2hrs",TRUE,"More than 2 hrs")</f>
        <v>1 to 2hrs</v>
      </c>
      <c r="M996">
        <f>ROUND(calls[[#This Row],[Satisfaction Rating]],0)</f>
        <v>5</v>
      </c>
      <c r="N996">
        <f>COUNTIF(calls[Customer ID], calls[[#This Row],[Customer ID]])</f>
        <v>60</v>
      </c>
      <c r="O996">
        <f>SUMIF(calls[Customer ID], calls[[#This Row],[Customer ID]], calls[Purchase Amount])</f>
        <v>5404</v>
      </c>
      <c r="P996">
        <f>calls[[#This Row],[call count]]/calls[[#This Row],[Purchase Amount]]</f>
        <v>0.36363636363636365</v>
      </c>
      <c r="Q996">
        <f>COUNTIF(calls[Customer ID],calls[[#This Row],[Customer ID]])</f>
        <v>60</v>
      </c>
      <c r="R996">
        <f>calls[[#This Row],[call count]]/calls[[#This Row],[Purchase Amount]]</f>
        <v>0.36363636363636365</v>
      </c>
    </row>
    <row r="997" spans="1:18" x14ac:dyDescent="0.4">
      <c r="A997" t="s">
        <v>1027</v>
      </c>
      <c r="B997" t="s">
        <v>32</v>
      </c>
      <c r="C997">
        <v>81</v>
      </c>
      <c r="D997" s="4" t="s">
        <v>2</v>
      </c>
      <c r="E997" s="5">
        <v>45290</v>
      </c>
      <c r="F997">
        <v>28</v>
      </c>
      <c r="G997">
        <f>AVERAGEIF(calls[Representative], calls[[#This Row],[Representative]], calls[Satisfaction Rating])</f>
        <v>3.8824999999999998</v>
      </c>
      <c r="H997" t="str">
        <f>IF(AVERAGEIF(calls[Representative],calls[[#This Row],[Representative]],calls[Satisfaction Rating])&lt;3.5,"Needs Training","OK")</f>
        <v>OK</v>
      </c>
      <c r="I997">
        <v>3.9</v>
      </c>
      <c r="J997">
        <f>IF(MONTH(calls[[#This Row],[Date of Call]])&lt;=6, YEAR(calls[[#This Row],[Date of Call]]), YEAR(calls[[#This Row],[Date of Call]])+1)</f>
        <v>2024</v>
      </c>
      <c r="K997" t="str">
        <f>TEXT(calls[[#This Row],[Date of Call]],"DDDD")</f>
        <v>Saturday</v>
      </c>
      <c r="L997" t="str" cm="1">
        <f t="array" ref="L997">_xlfn.IFS(calls[[#This Row],[Duration]]&lt;=10,"under 10 mins",calls[[#This Row],[Duration]]&lt;=30,"10 to 30mins",calls[[#This Row],[Duration]]&lt;=60,"60 to 30mins",calls[[#This Row],[Duration]]&lt;=120,"1 to 2hrs",TRUE,"More than 2 hrs")</f>
        <v>1 to 2hrs</v>
      </c>
      <c r="M997">
        <f>ROUND(calls[[#This Row],[Satisfaction Rating]],0)</f>
        <v>4</v>
      </c>
      <c r="N997">
        <f>COUNTIF(calls[Customer ID], calls[[#This Row],[Customer ID]])</f>
        <v>63</v>
      </c>
      <c r="O997">
        <f>SUMIF(calls[Customer ID], calls[[#This Row],[Customer ID]], calls[Purchase Amount])</f>
        <v>5634</v>
      </c>
      <c r="P997">
        <f>calls[[#This Row],[call count]]/calls[[#This Row],[Purchase Amount]]</f>
        <v>2.25</v>
      </c>
      <c r="Q997">
        <f>COUNTIF(calls[Customer ID],calls[[#This Row],[Customer ID]])</f>
        <v>63</v>
      </c>
      <c r="R997">
        <f>calls[[#This Row],[call count]]/calls[[#This Row],[Purchase Amount]]</f>
        <v>2.25</v>
      </c>
    </row>
    <row r="998" spans="1:18" x14ac:dyDescent="0.4">
      <c r="A998" t="s">
        <v>1028</v>
      </c>
      <c r="B998" t="s">
        <v>21</v>
      </c>
      <c r="C998">
        <v>127</v>
      </c>
      <c r="D998" s="4" t="s">
        <v>23</v>
      </c>
      <c r="E998" s="5">
        <v>45290</v>
      </c>
      <c r="F998">
        <v>215</v>
      </c>
      <c r="G998">
        <f>AVERAGEIF(calls[Representative], calls[[#This Row],[Representative]], calls[Satisfaction Rating])</f>
        <v>3.8973118279569863</v>
      </c>
      <c r="H998" t="str">
        <f>IF(AVERAGEIF(calls[Representative],calls[[#This Row],[Representative]],calls[Satisfaction Rating])&lt;3.5,"Needs Training","OK")</f>
        <v>OK</v>
      </c>
      <c r="I998">
        <v>3.8</v>
      </c>
      <c r="J998">
        <f>IF(MONTH(calls[[#This Row],[Date of Call]])&lt;=6, YEAR(calls[[#This Row],[Date of Call]]), YEAR(calls[[#This Row],[Date of Call]])+1)</f>
        <v>2024</v>
      </c>
      <c r="K998" t="str">
        <f>TEXT(calls[[#This Row],[Date of Call]],"DDDD")</f>
        <v>Saturday</v>
      </c>
      <c r="L998" t="str" cm="1">
        <f t="array" ref="L998">_xlfn.IFS(calls[[#This Row],[Duration]]&lt;=10,"under 10 mins",calls[[#This Row],[Duration]]&lt;=30,"10 to 30mins",calls[[#This Row],[Duration]]&lt;=60,"60 to 30mins",calls[[#This Row],[Duration]]&lt;=120,"1 to 2hrs",TRUE,"More than 2 hrs")</f>
        <v>More than 2 hrs</v>
      </c>
      <c r="M998">
        <f>ROUND(calls[[#This Row],[Satisfaction Rating]],0)</f>
        <v>4</v>
      </c>
      <c r="N998">
        <f>COUNTIF(calls[Customer ID], calls[[#This Row],[Customer ID]])</f>
        <v>67</v>
      </c>
      <c r="O998">
        <f>SUMIF(calls[Customer ID], calls[[#This Row],[Customer ID]], calls[Purchase Amount])</f>
        <v>7216</v>
      </c>
      <c r="P998">
        <f>calls[[#This Row],[call count]]/calls[[#This Row],[Purchase Amount]]</f>
        <v>0.3116279069767442</v>
      </c>
      <c r="Q998">
        <f>COUNTIF(calls[Customer ID],calls[[#This Row],[Customer ID]])</f>
        <v>67</v>
      </c>
      <c r="R998">
        <f>calls[[#This Row],[call count]]/calls[[#This Row],[Purchase Amount]]</f>
        <v>0.3116279069767442</v>
      </c>
    </row>
    <row r="999" spans="1:18" x14ac:dyDescent="0.4">
      <c r="A999" t="s">
        <v>1029</v>
      </c>
      <c r="B999" t="s">
        <v>30</v>
      </c>
      <c r="C999">
        <v>146</v>
      </c>
      <c r="D999" s="4" t="s">
        <v>2</v>
      </c>
      <c r="E999" s="5">
        <v>45291</v>
      </c>
      <c r="F999">
        <v>115</v>
      </c>
      <c r="G999">
        <f>AVERAGEIF(calls[Representative], calls[[#This Row],[Representative]], calls[Satisfaction Rating])</f>
        <v>3.8824999999999998</v>
      </c>
      <c r="H999" t="str">
        <f>IF(AVERAGEIF(calls[Representative],calls[[#This Row],[Representative]],calls[Satisfaction Rating])&lt;3.5,"Needs Training","OK")</f>
        <v>OK</v>
      </c>
      <c r="I999">
        <v>2.2999999999999998</v>
      </c>
      <c r="J999">
        <f>IF(MONTH(calls[[#This Row],[Date of Call]])&lt;=6, YEAR(calls[[#This Row],[Date of Call]]), YEAR(calls[[#This Row],[Date of Call]])+1)</f>
        <v>2024</v>
      </c>
      <c r="K999" t="str">
        <f>TEXT(calls[[#This Row],[Date of Call]],"DDDD")</f>
        <v>Sunday</v>
      </c>
      <c r="L999" t="str" cm="1">
        <f t="array" ref="L999">_xlfn.IFS(calls[[#This Row],[Duration]]&lt;=10,"under 10 mins",calls[[#This Row],[Duration]]&lt;=30,"10 to 30mins",calls[[#This Row],[Duration]]&lt;=60,"60 to 30mins",calls[[#This Row],[Duration]]&lt;=120,"1 to 2hrs",TRUE,"More than 2 hrs")</f>
        <v>More than 2 hrs</v>
      </c>
      <c r="M999">
        <f>ROUND(calls[[#This Row],[Satisfaction Rating]],0)</f>
        <v>2</v>
      </c>
      <c r="N999">
        <f>COUNTIF(calls[Customer ID], calls[[#This Row],[Customer ID]])</f>
        <v>69</v>
      </c>
      <c r="O999">
        <f>SUMIF(calls[Customer ID], calls[[#This Row],[Customer ID]], calls[Purchase Amount])</f>
        <v>7230</v>
      </c>
      <c r="P999">
        <f>calls[[#This Row],[call count]]/calls[[#This Row],[Purchase Amount]]</f>
        <v>0.6</v>
      </c>
      <c r="Q999">
        <f>COUNTIF(calls[Customer ID],calls[[#This Row],[Customer ID]])</f>
        <v>69</v>
      </c>
      <c r="R999">
        <f>calls[[#This Row],[call count]]/calls[[#This Row],[Purchase Amount]]</f>
        <v>0.6</v>
      </c>
    </row>
    <row r="1000" spans="1:18" x14ac:dyDescent="0.4">
      <c r="A1000" t="s">
        <v>1030</v>
      </c>
      <c r="B1000" t="s">
        <v>26</v>
      </c>
      <c r="C1000">
        <v>123</v>
      </c>
      <c r="D1000" s="4" t="s">
        <v>2</v>
      </c>
      <c r="E1000" s="5">
        <v>45291</v>
      </c>
      <c r="F1000">
        <v>64</v>
      </c>
      <c r="G1000">
        <f>AVERAGEIF(calls[Representative], calls[[#This Row],[Representative]], calls[Satisfaction Rating])</f>
        <v>3.8824999999999998</v>
      </c>
      <c r="H1000" t="str">
        <f>IF(AVERAGEIF(calls[Representative],calls[[#This Row],[Representative]],calls[Satisfaction Rating])&lt;3.5,"Needs Training","OK")</f>
        <v>OK</v>
      </c>
      <c r="I1000">
        <v>3.7</v>
      </c>
      <c r="J1000">
        <f>IF(MONTH(calls[[#This Row],[Date of Call]])&lt;=6, YEAR(calls[[#This Row],[Date of Call]]), YEAR(calls[[#This Row],[Date of Call]])+1)</f>
        <v>2024</v>
      </c>
      <c r="K1000" t="str">
        <f>TEXT(calls[[#This Row],[Date of Call]],"DDDD")</f>
        <v>Sunday</v>
      </c>
      <c r="L1000" t="str" cm="1">
        <f t="array" ref="L1000">_xlfn.IFS(calls[[#This Row],[Duration]]&lt;=10,"under 10 mins",calls[[#This Row],[Duration]]&lt;=30,"10 to 30mins",calls[[#This Row],[Duration]]&lt;=60,"60 to 30mins",calls[[#This Row],[Duration]]&lt;=120,"1 to 2hrs",TRUE,"More than 2 hrs")</f>
        <v>More than 2 hrs</v>
      </c>
      <c r="M1000">
        <f>ROUND(calls[[#This Row],[Satisfaction Rating]],0)</f>
        <v>4</v>
      </c>
      <c r="N1000">
        <f>COUNTIF(calls[Customer ID], calls[[#This Row],[Customer ID]])</f>
        <v>72</v>
      </c>
      <c r="O1000">
        <f>SUMIF(calls[Customer ID], calls[[#This Row],[Customer ID]], calls[Purchase Amount])</f>
        <v>6242</v>
      </c>
      <c r="P1000">
        <f>calls[[#This Row],[call count]]/calls[[#This Row],[Purchase Amount]]</f>
        <v>1.125</v>
      </c>
      <c r="Q1000">
        <f>COUNTIF(calls[Customer ID],calls[[#This Row],[Customer ID]])</f>
        <v>72</v>
      </c>
      <c r="R1000">
        <f>calls[[#This Row],[call count]]/calls[[#This Row],[Purchase Amount]]</f>
        <v>1.125</v>
      </c>
    </row>
    <row r="1001" spans="1:18" x14ac:dyDescent="0.4">
      <c r="A1001" t="s">
        <v>1031</v>
      </c>
      <c r="B1001" t="s">
        <v>40</v>
      </c>
      <c r="C1001">
        <v>114</v>
      </c>
      <c r="D1001" s="4" t="s">
        <v>14</v>
      </c>
      <c r="E1001" s="5">
        <v>45291</v>
      </c>
      <c r="F1001">
        <v>40</v>
      </c>
      <c r="G1001">
        <f>AVERAGEIF(calls[Representative], calls[[#This Row],[Representative]], calls[Satisfaction Rating])</f>
        <v>3.9227513227513247</v>
      </c>
      <c r="H1001" t="str">
        <f>IF(AVERAGEIF(calls[Representative],calls[[#This Row],[Representative]],calls[Satisfaction Rating])&lt;3.5,"Needs Training","OK")</f>
        <v>OK</v>
      </c>
      <c r="I1001">
        <v>3.9</v>
      </c>
      <c r="J1001">
        <f>IF(MONTH(calls[[#This Row],[Date of Call]])&lt;=6, YEAR(calls[[#This Row],[Date of Call]]), YEAR(calls[[#This Row],[Date of Call]])+1)</f>
        <v>2024</v>
      </c>
      <c r="K1001" t="str">
        <f>TEXT(calls[[#This Row],[Date of Call]],"DDDD")</f>
        <v>Sunday</v>
      </c>
      <c r="L1001" t="str" cm="1">
        <f t="array" ref="L1001">_xlfn.IFS(calls[[#This Row],[Duration]]&lt;=10,"under 10 mins",calls[[#This Row],[Duration]]&lt;=30,"10 to 30mins",calls[[#This Row],[Duration]]&lt;=60,"60 to 30mins",calls[[#This Row],[Duration]]&lt;=120,"1 to 2hrs",TRUE,"More than 2 hrs")</f>
        <v>1 to 2hrs</v>
      </c>
      <c r="M1001">
        <f>ROUND(calls[[#This Row],[Satisfaction Rating]],0)</f>
        <v>4</v>
      </c>
      <c r="N1001">
        <f>COUNTIF(calls[Customer ID], calls[[#This Row],[Customer ID]])</f>
        <v>69</v>
      </c>
      <c r="O1001">
        <f>SUMIF(calls[Customer ID], calls[[#This Row],[Customer ID]], calls[Purchase Amount])</f>
        <v>6601</v>
      </c>
      <c r="P1001">
        <f>calls[[#This Row],[call count]]/calls[[#This Row],[Purchase Amount]]</f>
        <v>1.7250000000000001</v>
      </c>
      <c r="Q1001">
        <f>COUNTIF(calls[Customer ID],calls[[#This Row],[Customer ID]])</f>
        <v>69</v>
      </c>
      <c r="R1001">
        <f>calls[[#This Row],[call count]]/calls[[#This Row],[Purchase Amount]]</f>
        <v>1.7250000000000001</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AF62-C445-4D57-A1C3-D4126C156C5D}">
  <dimension ref="C1:X39"/>
  <sheetViews>
    <sheetView zoomScale="44" zoomScaleNormal="85" workbookViewId="0">
      <selection activeCell="Y17" sqref="Y17"/>
    </sheetView>
  </sheetViews>
  <sheetFormatPr defaultRowHeight="15" x14ac:dyDescent="0.4"/>
  <cols>
    <col min="1" max="4" width="9.06640625" style="19"/>
    <col min="5" max="5" width="9.06640625" style="19" customWidth="1"/>
    <col min="6" max="6" width="9.06640625" style="19"/>
    <col min="7" max="8" width="9.06640625" style="19" customWidth="1"/>
    <col min="9" max="9" width="6.06640625" style="19" customWidth="1"/>
    <col min="10" max="10" width="9.265625" style="19" customWidth="1"/>
    <col min="11" max="11" width="14.1328125" style="19" customWidth="1"/>
    <col min="12" max="16384" width="9.06640625" style="19"/>
  </cols>
  <sheetData>
    <row r="1" spans="3:6" ht="19.5" customHeight="1" x14ac:dyDescent="0.45">
      <c r="C1" s="39" t="s">
        <v>1136</v>
      </c>
      <c r="D1" s="39" t="s">
        <v>1137</v>
      </c>
      <c r="E1" s="36"/>
      <c r="F1" s="36"/>
    </row>
    <row r="2" spans="3:6" ht="19.5" customHeight="1" x14ac:dyDescent="0.45">
      <c r="C2" s="39"/>
      <c r="D2" s="39"/>
      <c r="E2" s="36"/>
      <c r="F2" s="36"/>
    </row>
    <row r="19" spans="10:24" x14ac:dyDescent="0.4">
      <c r="L19" s="31"/>
      <c r="M19" s="32" t="s">
        <v>14</v>
      </c>
      <c r="N19" s="32" t="s">
        <v>9</v>
      </c>
      <c r="O19" s="32" t="s">
        <v>27</v>
      </c>
      <c r="P19" s="32" t="s">
        <v>23</v>
      </c>
      <c r="Q19" s="32" t="s">
        <v>2</v>
      </c>
      <c r="R19" s="33" t="s">
        <v>1135</v>
      </c>
    </row>
    <row r="20" spans="10:24" x14ac:dyDescent="0.4">
      <c r="L20" s="34" t="str" cm="1">
        <f t="array" ref="L20:X36">IF(pivots!A135:M151="","",pivots!A135:M151)</f>
        <v>Cincinnati</v>
      </c>
      <c r="M20" s="26" t="str">
        <v/>
      </c>
      <c r="N20" s="26" t="str">
        <v/>
      </c>
      <c r="O20" s="26" t="str">
        <v/>
      </c>
      <c r="P20" s="26" t="str">
        <v/>
      </c>
      <c r="Q20" s="26" t="str">
        <v/>
      </c>
      <c r="R20" s="27" t="str">
        <v/>
      </c>
      <c r="S20" s="19" t="str">
        <v/>
      </c>
      <c r="T20" s="19" t="str">
        <v/>
      </c>
      <c r="U20" s="19" t="str">
        <v/>
      </c>
      <c r="V20" s="19" t="str">
        <v/>
      </c>
      <c r="W20" s="19" t="str">
        <v/>
      </c>
      <c r="X20" s="19" t="str">
        <v/>
      </c>
    </row>
    <row r="21" spans="10:24" x14ac:dyDescent="0.4">
      <c r="L21" s="28" t="str">
        <v>C0003</v>
      </c>
      <c r="M21" s="29">
        <v>891</v>
      </c>
      <c r="N21" s="29">
        <v>1332</v>
      </c>
      <c r="O21" s="29">
        <v>1282</v>
      </c>
      <c r="P21" s="29">
        <v>739</v>
      </c>
      <c r="Q21" s="29">
        <v>560</v>
      </c>
      <c r="R21" s="30">
        <v>4804</v>
      </c>
      <c r="S21" s="19" t="str">
        <v/>
      </c>
      <c r="T21" s="19" t="str">
        <v/>
      </c>
      <c r="U21" s="19" t="str">
        <v/>
      </c>
      <c r="V21" s="19" t="str">
        <v/>
      </c>
      <c r="W21" s="19" t="str">
        <v/>
      </c>
      <c r="X21" s="19" t="str">
        <v/>
      </c>
    </row>
    <row r="22" spans="10:24" x14ac:dyDescent="0.4">
      <c r="L22" s="28" t="str">
        <v>C0004</v>
      </c>
      <c r="M22" s="29">
        <v>1991</v>
      </c>
      <c r="N22" s="29">
        <v>1886</v>
      </c>
      <c r="O22" s="29">
        <v>1206</v>
      </c>
      <c r="P22" s="29">
        <v>884</v>
      </c>
      <c r="Q22" s="29">
        <v>1722</v>
      </c>
      <c r="R22" s="30">
        <v>7689</v>
      </c>
      <c r="S22" s="19" t="str">
        <v/>
      </c>
      <c r="T22" s="19" t="str">
        <v/>
      </c>
      <c r="U22" s="19" t="str">
        <v/>
      </c>
      <c r="V22" s="19" t="str">
        <v/>
      </c>
      <c r="W22" s="19" t="str">
        <v/>
      </c>
      <c r="X22" s="19" t="str">
        <v/>
      </c>
    </row>
    <row r="23" spans="10:24" x14ac:dyDescent="0.4">
      <c r="L23" s="28" t="str">
        <v>C0011</v>
      </c>
      <c r="M23" s="29">
        <v>1163</v>
      </c>
      <c r="N23" s="29">
        <v>1180</v>
      </c>
      <c r="O23" s="29">
        <v>1616</v>
      </c>
      <c r="P23" s="29">
        <v>1043</v>
      </c>
      <c r="Q23" s="29">
        <v>1747</v>
      </c>
      <c r="R23" s="30">
        <v>6749</v>
      </c>
      <c r="S23" s="19" t="str">
        <v/>
      </c>
      <c r="T23" s="19" t="str">
        <v/>
      </c>
      <c r="U23" s="19" t="str">
        <v/>
      </c>
      <c r="V23" s="19" t="str">
        <v/>
      </c>
      <c r="W23" s="19" t="str">
        <v/>
      </c>
      <c r="X23" s="19" t="str">
        <v/>
      </c>
    </row>
    <row r="24" spans="10:24" x14ac:dyDescent="0.4">
      <c r="L24" s="28" t="str">
        <v>C0012</v>
      </c>
      <c r="M24" s="29">
        <v>1438</v>
      </c>
      <c r="N24" s="29">
        <v>1616</v>
      </c>
      <c r="O24" s="29">
        <v>866</v>
      </c>
      <c r="P24" s="29">
        <v>829</v>
      </c>
      <c r="Q24" s="29">
        <v>2070</v>
      </c>
      <c r="R24" s="30">
        <v>6819</v>
      </c>
      <c r="S24" s="19" t="str">
        <v/>
      </c>
      <c r="T24" s="19" t="str">
        <v/>
      </c>
      <c r="U24" s="19" t="str">
        <v/>
      </c>
      <c r="V24" s="19" t="str">
        <v/>
      </c>
      <c r="W24" s="19" t="str">
        <v/>
      </c>
      <c r="X24" s="19" t="str">
        <v/>
      </c>
    </row>
    <row r="25" spans="10:24" x14ac:dyDescent="0.4">
      <c r="L25" s="34" t="str">
        <v>Cleveland</v>
      </c>
      <c r="M25" s="29" t="str">
        <v/>
      </c>
      <c r="N25" s="29" t="str">
        <v/>
      </c>
      <c r="O25" s="29" t="str">
        <v/>
      </c>
      <c r="P25" s="29" t="str">
        <v/>
      </c>
      <c r="Q25" s="29" t="str">
        <v/>
      </c>
      <c r="R25" s="30" t="str">
        <v/>
      </c>
      <c r="S25" s="19" t="str">
        <v/>
      </c>
      <c r="T25" s="19" t="str">
        <v/>
      </c>
      <c r="U25" s="19" t="str">
        <v/>
      </c>
      <c r="V25" s="19" t="str">
        <v/>
      </c>
      <c r="W25" s="19" t="str">
        <v/>
      </c>
      <c r="X25" s="19" t="str">
        <v/>
      </c>
    </row>
    <row r="26" spans="10:24" x14ac:dyDescent="0.4">
      <c r="L26" s="28" t="str">
        <v>C0002</v>
      </c>
      <c r="M26" s="29">
        <v>1233</v>
      </c>
      <c r="N26" s="29">
        <v>223</v>
      </c>
      <c r="O26" s="29">
        <v>1680</v>
      </c>
      <c r="P26" s="29">
        <v>990</v>
      </c>
      <c r="Q26" s="29">
        <v>1508</v>
      </c>
      <c r="R26" s="30">
        <v>5634</v>
      </c>
      <c r="S26" s="19" t="str">
        <v/>
      </c>
      <c r="T26" s="19" t="str">
        <v/>
      </c>
      <c r="U26" s="19" t="str">
        <v/>
      </c>
      <c r="V26" s="19" t="str">
        <v/>
      </c>
      <c r="W26" s="19" t="str">
        <v/>
      </c>
      <c r="X26" s="19" t="str">
        <v/>
      </c>
    </row>
    <row r="27" spans="10:24" x14ac:dyDescent="0.4">
      <c r="L27" s="28" t="str">
        <v>C0007</v>
      </c>
      <c r="M27" s="29">
        <v>1598</v>
      </c>
      <c r="N27" s="29">
        <v>1907</v>
      </c>
      <c r="O27" s="29">
        <v>869</v>
      </c>
      <c r="P27" s="29">
        <v>1426</v>
      </c>
      <c r="Q27" s="29">
        <v>1416</v>
      </c>
      <c r="R27" s="30">
        <v>7216</v>
      </c>
      <c r="S27" s="19" t="str">
        <v/>
      </c>
      <c r="T27" s="19" t="str">
        <v/>
      </c>
      <c r="U27" s="19" t="str">
        <v/>
      </c>
      <c r="V27" s="19" t="str">
        <v/>
      </c>
      <c r="W27" s="19" t="str">
        <v/>
      </c>
      <c r="X27" s="19" t="str">
        <v/>
      </c>
    </row>
    <row r="28" spans="10:24" x14ac:dyDescent="0.4">
      <c r="L28" s="28" t="str">
        <v>C0008</v>
      </c>
      <c r="M28" s="29">
        <v>900</v>
      </c>
      <c r="N28" s="29">
        <v>1016</v>
      </c>
      <c r="O28" s="29">
        <v>960</v>
      </c>
      <c r="P28" s="29">
        <v>940</v>
      </c>
      <c r="Q28" s="29">
        <v>1193</v>
      </c>
      <c r="R28" s="30">
        <v>5009</v>
      </c>
      <c r="S28" s="19" t="str">
        <v/>
      </c>
      <c r="T28" s="19" t="str">
        <v/>
      </c>
      <c r="U28" s="19" t="str">
        <v/>
      </c>
      <c r="V28" s="19" t="str">
        <v/>
      </c>
      <c r="W28" s="19" t="str">
        <v/>
      </c>
      <c r="X28" s="19" t="str">
        <v/>
      </c>
    </row>
    <row r="29" spans="10:24" x14ac:dyDescent="0.4">
      <c r="J29" s="37"/>
      <c r="K29" s="38"/>
      <c r="L29" s="28" t="str">
        <v>C0010</v>
      </c>
      <c r="M29" s="29">
        <v>900</v>
      </c>
      <c r="N29" s="29">
        <v>1470</v>
      </c>
      <c r="O29" s="29">
        <v>1617</v>
      </c>
      <c r="P29" s="29">
        <v>1314</v>
      </c>
      <c r="Q29" s="29">
        <v>941</v>
      </c>
      <c r="R29" s="30">
        <v>6242</v>
      </c>
      <c r="S29" s="19" t="str">
        <v/>
      </c>
      <c r="T29" s="19" t="str">
        <v/>
      </c>
      <c r="U29" s="19" t="str">
        <v/>
      </c>
      <c r="V29" s="19" t="str">
        <v/>
      </c>
      <c r="W29" s="19" t="str">
        <v/>
      </c>
      <c r="X29" s="19" t="str">
        <v/>
      </c>
    </row>
    <row r="30" spans="10:24" x14ac:dyDescent="0.4">
      <c r="J30" s="37"/>
      <c r="K30" s="38"/>
      <c r="L30" s="28" t="str">
        <v>C0013</v>
      </c>
      <c r="M30" s="29">
        <v>1255</v>
      </c>
      <c r="N30" s="29">
        <v>516</v>
      </c>
      <c r="O30" s="29">
        <v>1874</v>
      </c>
      <c r="P30" s="29">
        <v>1863</v>
      </c>
      <c r="Q30" s="29">
        <v>1722</v>
      </c>
      <c r="R30" s="30">
        <v>7230</v>
      </c>
      <c r="S30" s="19" t="str">
        <v/>
      </c>
      <c r="T30" s="19" t="str">
        <v/>
      </c>
      <c r="U30" s="19" t="str">
        <v/>
      </c>
      <c r="V30" s="19" t="str">
        <v/>
      </c>
      <c r="W30" s="19" t="str">
        <v/>
      </c>
      <c r="X30" s="19" t="str">
        <v/>
      </c>
    </row>
    <row r="31" spans="10:24" x14ac:dyDescent="0.4">
      <c r="J31" s="37"/>
      <c r="K31" s="38"/>
      <c r="L31" s="34" t="str">
        <v>Columbus</v>
      </c>
      <c r="M31" s="29" t="str">
        <v/>
      </c>
      <c r="N31" s="29" t="str">
        <v/>
      </c>
      <c r="O31" s="29" t="str">
        <v/>
      </c>
      <c r="P31" s="29" t="str">
        <v/>
      </c>
      <c r="Q31" s="29" t="str">
        <v/>
      </c>
      <c r="R31" s="30" t="str">
        <v/>
      </c>
      <c r="S31" s="19" t="str">
        <v/>
      </c>
      <c r="T31" s="19" t="str">
        <v/>
      </c>
      <c r="U31" s="19" t="str">
        <v/>
      </c>
      <c r="V31" s="19" t="str">
        <v/>
      </c>
      <c r="W31" s="19" t="str">
        <v/>
      </c>
      <c r="X31" s="19" t="str">
        <v/>
      </c>
    </row>
    <row r="32" spans="10:24" x14ac:dyDescent="0.4">
      <c r="J32" s="37"/>
      <c r="K32" s="38"/>
      <c r="L32" s="28" t="str">
        <v>C0001</v>
      </c>
      <c r="M32" s="29">
        <v>1655</v>
      </c>
      <c r="N32" s="29">
        <v>805</v>
      </c>
      <c r="O32" s="29">
        <v>2263</v>
      </c>
      <c r="P32" s="29">
        <v>987</v>
      </c>
      <c r="Q32" s="29">
        <v>1075</v>
      </c>
      <c r="R32" s="30">
        <v>6785</v>
      </c>
      <c r="S32" s="19" t="str">
        <v/>
      </c>
      <c r="T32" s="19" t="str">
        <v/>
      </c>
      <c r="U32" s="19" t="str">
        <v/>
      </c>
      <c r="V32" s="19" t="str">
        <v/>
      </c>
      <c r="W32" s="19" t="str">
        <v/>
      </c>
      <c r="X32" s="19" t="str">
        <v/>
      </c>
    </row>
    <row r="33" spans="10:24" x14ac:dyDescent="0.4">
      <c r="J33" s="37"/>
      <c r="K33" s="38"/>
      <c r="L33" s="28" t="str">
        <v>C0005</v>
      </c>
      <c r="M33" s="29">
        <v>1104</v>
      </c>
      <c r="N33" s="29">
        <v>2280</v>
      </c>
      <c r="O33" s="29">
        <v>1445</v>
      </c>
      <c r="P33" s="29">
        <v>1722</v>
      </c>
      <c r="Q33" s="29">
        <v>1196</v>
      </c>
      <c r="R33" s="30">
        <v>7747</v>
      </c>
      <c r="S33" s="19" t="str">
        <v/>
      </c>
      <c r="T33" s="19" t="str">
        <v/>
      </c>
      <c r="U33" s="19" t="str">
        <v/>
      </c>
      <c r="V33" s="19" t="str">
        <v/>
      </c>
      <c r="W33" s="19" t="str">
        <v/>
      </c>
      <c r="X33" s="19" t="str">
        <v/>
      </c>
    </row>
    <row r="34" spans="10:24" x14ac:dyDescent="0.4">
      <c r="J34" s="37"/>
      <c r="K34" s="38"/>
      <c r="L34" s="28" t="str">
        <v>C0006</v>
      </c>
      <c r="M34" s="29">
        <v>372</v>
      </c>
      <c r="N34" s="29">
        <v>1818</v>
      </c>
      <c r="O34" s="29">
        <v>1346</v>
      </c>
      <c r="P34" s="29">
        <v>1156</v>
      </c>
      <c r="Q34" s="29">
        <v>1484</v>
      </c>
      <c r="R34" s="30">
        <v>6176</v>
      </c>
      <c r="S34" s="19" t="str">
        <v/>
      </c>
      <c r="T34" s="19" t="str">
        <v/>
      </c>
      <c r="U34" s="19" t="str">
        <v/>
      </c>
      <c r="V34" s="19" t="str">
        <v/>
      </c>
      <c r="W34" s="19" t="str">
        <v/>
      </c>
      <c r="X34" s="19" t="str">
        <v/>
      </c>
    </row>
    <row r="35" spans="10:24" x14ac:dyDescent="0.4">
      <c r="L35" s="28" t="str">
        <v>C0009</v>
      </c>
      <c r="M35" s="29">
        <v>1415</v>
      </c>
      <c r="N35" s="29">
        <v>1271</v>
      </c>
      <c r="O35" s="29">
        <v>1214</v>
      </c>
      <c r="P35" s="29">
        <v>1135</v>
      </c>
      <c r="Q35" s="29">
        <v>1566</v>
      </c>
      <c r="R35" s="30">
        <v>6601</v>
      </c>
      <c r="S35" s="19" t="str">
        <v/>
      </c>
      <c r="T35" s="19" t="str">
        <v/>
      </c>
      <c r="U35" s="19" t="str">
        <v/>
      </c>
      <c r="V35" s="19" t="str">
        <v/>
      </c>
      <c r="W35" s="19" t="str">
        <v/>
      </c>
      <c r="X35" s="19" t="str">
        <v/>
      </c>
    </row>
    <row r="36" spans="10:24" x14ac:dyDescent="0.4">
      <c r="L36" s="28" t="str">
        <v>C0014</v>
      </c>
      <c r="M36" s="29">
        <v>1362</v>
      </c>
      <c r="N36" s="29">
        <v>1363</v>
      </c>
      <c r="O36" s="29">
        <v>1152</v>
      </c>
      <c r="P36" s="29">
        <v>777</v>
      </c>
      <c r="Q36" s="29">
        <v>750</v>
      </c>
      <c r="R36" s="30">
        <v>5404</v>
      </c>
      <c r="S36" s="19" t="str">
        <v/>
      </c>
      <c r="T36" s="19" t="str">
        <v/>
      </c>
      <c r="U36" s="19" t="str">
        <v/>
      </c>
      <c r="V36" s="19" t="str">
        <v/>
      </c>
      <c r="W36" s="19" t="str">
        <v/>
      </c>
      <c r="X36" s="19" t="str">
        <v/>
      </c>
    </row>
    <row r="37" spans="10:24" x14ac:dyDescent="0.4">
      <c r="K37" s="19" t="str">
        <f>pivots!G177</f>
        <v>% of calls:21%</v>
      </c>
    </row>
    <row r="38" spans="10:24" x14ac:dyDescent="0.4">
      <c r="K38" s="19" t="str">
        <f>pivots!G178</f>
        <v>calls:2</v>
      </c>
    </row>
    <row r="39" spans="10:24" x14ac:dyDescent="0.4">
      <c r="K39" s="19" t="str">
        <f>pivots!G179</f>
        <v>amount:1</v>
      </c>
    </row>
  </sheetData>
  <mergeCells count="3">
    <mergeCell ref="J29:K34"/>
    <mergeCell ref="C1:C2"/>
    <mergeCell ref="D1:D2"/>
  </mergeCells>
  <phoneticPr fontId="2" type="noConversion"/>
  <conditionalFormatting sqref="M21:Q36">
    <cfRule type="dataBar" priority="2">
      <dataBar>
        <cfvo type="num" val="0"/>
        <cfvo type="formula" val="MAX($M$21:$Q$36)*2"/>
        <color theme="1"/>
      </dataBar>
      <extLst>
        <ext xmlns:x14="http://schemas.microsoft.com/office/spreadsheetml/2009/9/main" uri="{B025F937-C7B1-47D3-B67F-A62EFF666E3E}">
          <x14:id>{76138883-B5ED-4CA2-9FED-101943A01479}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1516E6D-5B78-4B55-8BDE-CA3D045A008B}">
            <xm:f>M$19=pivots!$A$89</xm:f>
            <x14:dxf>
              <fill>
                <patternFill>
                  <bgColor theme="8" tint="0.59996337778862885"/>
                </patternFill>
              </fill>
              <border>
                <left style="thin">
                  <color theme="1" tint="0.499984740745262"/>
                </left>
                <right style="thin">
                  <color theme="1" tint="0.499984740745262"/>
                </right>
                <vertical/>
                <horizontal/>
              </border>
            </x14:dxf>
          </x14:cfRule>
          <xm:sqref>M19:Q36</xm:sqref>
        </x14:conditionalFormatting>
        <x14:conditionalFormatting xmlns:xm="http://schemas.microsoft.com/office/excel/2006/main">
          <x14:cfRule type="dataBar" id="{76138883-B5ED-4CA2-9FED-101943A01479}">
            <x14:dataBar minLength="0" maxLength="100" gradient="0">
              <x14:cfvo type="num">
                <xm:f>0</xm:f>
              </x14:cfvo>
              <x14:cfvo type="formula">
                <xm:f>MAX($M$21:$Q$36)*2</xm:f>
              </x14:cfvo>
              <x14:negativeFillColor rgb="FFFF0000"/>
              <x14:axisColor rgb="FF000000"/>
            </x14:dataBar>
          </x14:cfRule>
          <xm:sqref>M21:Q36</xm:sqref>
        </x14:conditionalFormatting>
      </x14:conditionalFormattings>
    </ex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7000-8F7D-4063-A92E-1E805F570700}">
  <dimension ref="A3:C19"/>
  <sheetViews>
    <sheetView topLeftCell="A19" workbookViewId="0">
      <selection activeCell="C28" sqref="C28"/>
    </sheetView>
  </sheetViews>
  <sheetFormatPr defaultRowHeight="15" x14ac:dyDescent="0.4"/>
  <cols>
    <col min="1" max="1" width="12.33203125" customWidth="1"/>
    <col min="2" max="2" width="25.9296875" customWidth="1"/>
    <col min="3" max="3" width="18.796875" customWidth="1"/>
    <col min="4" max="4" width="15.265625" customWidth="1"/>
    <col min="5" max="15" width="11.19921875" bestFit="1" customWidth="1"/>
    <col min="16" max="16" width="7.86328125" bestFit="1" customWidth="1"/>
  </cols>
  <sheetData>
    <row r="3" spans="1:3" x14ac:dyDescent="0.4">
      <c r="A3" s="6" t="s">
        <v>1043</v>
      </c>
      <c r="B3" t="s">
        <v>1046</v>
      </c>
      <c r="C3" t="s">
        <v>1045</v>
      </c>
    </row>
    <row r="4" spans="1:3" x14ac:dyDescent="0.4">
      <c r="A4" s="7" t="s">
        <v>64</v>
      </c>
      <c r="B4" s="8">
        <v>3.8307692307692309</v>
      </c>
      <c r="C4">
        <v>65</v>
      </c>
    </row>
    <row r="5" spans="1:3" x14ac:dyDescent="0.4">
      <c r="A5" s="7" t="s">
        <v>32</v>
      </c>
      <c r="B5" s="8">
        <v>4.0730158730158736</v>
      </c>
      <c r="C5">
        <v>63</v>
      </c>
    </row>
    <row r="6" spans="1:3" x14ac:dyDescent="0.4">
      <c r="A6" s="7" t="s">
        <v>1</v>
      </c>
      <c r="B6" s="8">
        <v>4.0179999999999998</v>
      </c>
      <c r="C6">
        <v>50</v>
      </c>
    </row>
    <row r="7" spans="1:3" x14ac:dyDescent="0.4">
      <c r="A7" s="7" t="s">
        <v>6</v>
      </c>
      <c r="B7" s="8">
        <v>3.976829268292684</v>
      </c>
      <c r="C7">
        <v>82</v>
      </c>
    </row>
    <row r="8" spans="1:3" x14ac:dyDescent="0.4">
      <c r="A8" s="7" t="s">
        <v>8</v>
      </c>
      <c r="B8" s="8">
        <v>3.9797468354430396</v>
      </c>
      <c r="C8">
        <v>79</v>
      </c>
    </row>
    <row r="9" spans="1:3" x14ac:dyDescent="0.4">
      <c r="A9" s="7" t="s">
        <v>44</v>
      </c>
      <c r="B9" s="8">
        <v>3.7774193548387092</v>
      </c>
      <c r="C9">
        <v>62</v>
      </c>
    </row>
    <row r="10" spans="1:3" x14ac:dyDescent="0.4">
      <c r="A10" s="7" t="s">
        <v>21</v>
      </c>
      <c r="B10" s="8">
        <v>3.8522388059701487</v>
      </c>
      <c r="C10">
        <v>67</v>
      </c>
    </row>
    <row r="11" spans="1:3" x14ac:dyDescent="0.4">
      <c r="A11" s="7" t="s">
        <v>84</v>
      </c>
      <c r="B11" s="8">
        <v>3.901694915254236</v>
      </c>
      <c r="C11">
        <v>59</v>
      </c>
    </row>
    <row r="12" spans="1:3" x14ac:dyDescent="0.4">
      <c r="A12" s="7" t="s">
        <v>40</v>
      </c>
      <c r="B12" s="8">
        <v>3.62608695652174</v>
      </c>
      <c r="C12">
        <v>69</v>
      </c>
    </row>
    <row r="13" spans="1:3" x14ac:dyDescent="0.4">
      <c r="A13" s="7" t="s">
        <v>26</v>
      </c>
      <c r="B13" s="8">
        <v>3.863888888888888</v>
      </c>
      <c r="C13">
        <v>72</v>
      </c>
    </row>
    <row r="14" spans="1:3" x14ac:dyDescent="0.4">
      <c r="A14" s="7" t="s">
        <v>13</v>
      </c>
      <c r="B14" s="8">
        <v>3.9837837837837853</v>
      </c>
      <c r="C14">
        <v>74</v>
      </c>
    </row>
    <row r="15" spans="1:3" x14ac:dyDescent="0.4">
      <c r="A15" s="7" t="s">
        <v>54</v>
      </c>
      <c r="B15" s="8">
        <v>4.1300000000000008</v>
      </c>
      <c r="C15">
        <v>70</v>
      </c>
    </row>
    <row r="16" spans="1:3" x14ac:dyDescent="0.4">
      <c r="A16" s="7" t="s">
        <v>30</v>
      </c>
      <c r="B16" s="8">
        <v>3.7753623188405814</v>
      </c>
      <c r="C16">
        <v>69</v>
      </c>
    </row>
    <row r="17" spans="1:3" x14ac:dyDescent="0.4">
      <c r="A17" s="7" t="s">
        <v>11</v>
      </c>
      <c r="B17" s="8">
        <v>3.609999999999999</v>
      </c>
      <c r="C17">
        <v>60</v>
      </c>
    </row>
    <row r="18" spans="1:3" x14ac:dyDescent="0.4">
      <c r="A18" s="7" t="s">
        <v>51</v>
      </c>
      <c r="B18" s="8">
        <v>3.8389830508474563</v>
      </c>
      <c r="C18">
        <v>59</v>
      </c>
    </row>
    <row r="19" spans="1:3" x14ac:dyDescent="0.4">
      <c r="A19" s="7" t="s">
        <v>1044</v>
      </c>
      <c r="B19" s="8">
        <v>3.8854000000000029</v>
      </c>
      <c r="C19">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656E-BA73-4024-BD4F-EA51B8AB6A56}">
  <dimension ref="A3:B26"/>
  <sheetViews>
    <sheetView workbookViewId="0">
      <selection activeCell="A15" sqref="A15"/>
    </sheetView>
  </sheetViews>
  <sheetFormatPr defaultRowHeight="15" x14ac:dyDescent="0.4"/>
  <cols>
    <col min="1" max="1" width="12.33203125" customWidth="1"/>
    <col min="2" max="2" width="22.265625" customWidth="1"/>
  </cols>
  <sheetData>
    <row r="3" spans="1:2" x14ac:dyDescent="0.4">
      <c r="A3" s="6" t="s">
        <v>1043</v>
      </c>
      <c r="B3" t="s">
        <v>1047</v>
      </c>
    </row>
    <row r="4" spans="1:2" x14ac:dyDescent="0.4">
      <c r="A4" s="7">
        <v>2023</v>
      </c>
      <c r="B4" s="9">
        <v>7440</v>
      </c>
    </row>
    <row r="5" spans="1:2" x14ac:dyDescent="0.4">
      <c r="A5" s="10" t="s">
        <v>8</v>
      </c>
      <c r="B5" s="9">
        <v>1256</v>
      </c>
    </row>
    <row r="6" spans="1:2" x14ac:dyDescent="0.4">
      <c r="A6" s="10" t="s">
        <v>30</v>
      </c>
      <c r="B6" s="9">
        <v>777</v>
      </c>
    </row>
    <row r="7" spans="1:2" x14ac:dyDescent="0.4">
      <c r="A7" s="10" t="s">
        <v>40</v>
      </c>
      <c r="B7" s="9">
        <v>773</v>
      </c>
    </row>
    <row r="8" spans="1:2" x14ac:dyDescent="0.4">
      <c r="A8" s="10" t="s">
        <v>26</v>
      </c>
      <c r="B8" s="9">
        <v>762</v>
      </c>
    </row>
    <row r="9" spans="1:2" x14ac:dyDescent="0.4">
      <c r="A9" s="10" t="s">
        <v>84</v>
      </c>
      <c r="B9" s="9">
        <v>732</v>
      </c>
    </row>
    <row r="10" spans="1:2" x14ac:dyDescent="0.4">
      <c r="A10" s="10" t="s">
        <v>21</v>
      </c>
      <c r="B10" s="9">
        <v>710</v>
      </c>
    </row>
    <row r="11" spans="1:2" x14ac:dyDescent="0.4">
      <c r="A11" s="10" t="s">
        <v>6</v>
      </c>
      <c r="B11" s="9">
        <v>649</v>
      </c>
    </row>
    <row r="12" spans="1:2" x14ac:dyDescent="0.4">
      <c r="A12" s="10" t="s">
        <v>1</v>
      </c>
      <c r="B12" s="9">
        <v>615</v>
      </c>
    </row>
    <row r="13" spans="1:2" x14ac:dyDescent="0.4">
      <c r="A13" s="10" t="s">
        <v>32</v>
      </c>
      <c r="B13" s="9">
        <v>609</v>
      </c>
    </row>
    <row r="14" spans="1:2" x14ac:dyDescent="0.4">
      <c r="A14" s="10" t="s">
        <v>64</v>
      </c>
      <c r="B14" s="9">
        <v>557</v>
      </c>
    </row>
    <row r="15" spans="1:2" x14ac:dyDescent="0.4">
      <c r="A15" s="7">
        <v>2024</v>
      </c>
      <c r="B15" s="9">
        <v>6143</v>
      </c>
    </row>
    <row r="16" spans="1:2" x14ac:dyDescent="0.4">
      <c r="A16" s="10" t="s">
        <v>30</v>
      </c>
      <c r="B16" s="9">
        <v>1086</v>
      </c>
    </row>
    <row r="17" spans="1:2" x14ac:dyDescent="0.4">
      <c r="A17" s="10" t="s">
        <v>21</v>
      </c>
      <c r="B17" s="9">
        <v>716</v>
      </c>
    </row>
    <row r="18" spans="1:2" x14ac:dyDescent="0.4">
      <c r="A18" s="10" t="s">
        <v>13</v>
      </c>
      <c r="B18" s="9">
        <v>686</v>
      </c>
    </row>
    <row r="19" spans="1:2" x14ac:dyDescent="0.4">
      <c r="A19" s="10" t="s">
        <v>44</v>
      </c>
      <c r="B19" s="9">
        <v>675</v>
      </c>
    </row>
    <row r="20" spans="1:2" x14ac:dyDescent="0.4">
      <c r="A20" s="10" t="s">
        <v>11</v>
      </c>
      <c r="B20" s="9">
        <v>576</v>
      </c>
    </row>
    <row r="21" spans="1:2" x14ac:dyDescent="0.4">
      <c r="A21" s="10" t="s">
        <v>26</v>
      </c>
      <c r="B21" s="9">
        <v>552</v>
      </c>
    </row>
    <row r="22" spans="1:2" x14ac:dyDescent="0.4">
      <c r="A22" s="10" t="s">
        <v>54</v>
      </c>
      <c r="B22" s="9">
        <v>513</v>
      </c>
    </row>
    <row r="23" spans="1:2" x14ac:dyDescent="0.4">
      <c r="A23" s="10" t="s">
        <v>8</v>
      </c>
      <c r="B23" s="9">
        <v>466</v>
      </c>
    </row>
    <row r="24" spans="1:2" x14ac:dyDescent="0.4">
      <c r="A24" s="10" t="s">
        <v>51</v>
      </c>
      <c r="B24" s="9">
        <v>443</v>
      </c>
    </row>
    <row r="25" spans="1:2" x14ac:dyDescent="0.4">
      <c r="A25" s="10" t="s">
        <v>64</v>
      </c>
      <c r="B25" s="9">
        <v>430</v>
      </c>
    </row>
    <row r="26" spans="1:2" x14ac:dyDescent="0.4">
      <c r="A26" s="7" t="s">
        <v>1044</v>
      </c>
      <c r="B26" s="9">
        <v>13583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1047-648A-4EBA-9506-5C89AF4DECCA}">
  <dimension ref="B2:C165"/>
  <sheetViews>
    <sheetView topLeftCell="A2" workbookViewId="0">
      <selection activeCell="F19" sqref="F19"/>
    </sheetView>
  </sheetViews>
  <sheetFormatPr defaultRowHeight="15" x14ac:dyDescent="0.4"/>
  <cols>
    <col min="2" max="2" width="12.33203125" customWidth="1"/>
    <col min="3" max="3" width="18.796875" customWidth="1"/>
  </cols>
  <sheetData>
    <row r="2" spans="2:3" x14ac:dyDescent="0.4">
      <c r="B2" s="6" t="s">
        <v>1043</v>
      </c>
      <c r="C2" t="s">
        <v>1045</v>
      </c>
    </row>
    <row r="3" spans="2:3" x14ac:dyDescent="0.4">
      <c r="B3" s="7" t="s">
        <v>1048</v>
      </c>
      <c r="C3">
        <v>9</v>
      </c>
    </row>
    <row r="4" spans="2:3" x14ac:dyDescent="0.4">
      <c r="B4" s="10">
        <v>2</v>
      </c>
      <c r="C4">
        <v>1</v>
      </c>
    </row>
    <row r="5" spans="2:3" x14ac:dyDescent="0.4">
      <c r="B5" s="10">
        <v>4</v>
      </c>
      <c r="C5">
        <v>1</v>
      </c>
    </row>
    <row r="6" spans="2:3" x14ac:dyDescent="0.4">
      <c r="B6" s="10">
        <v>6</v>
      </c>
      <c r="C6">
        <v>3</v>
      </c>
    </row>
    <row r="7" spans="2:3" x14ac:dyDescent="0.4">
      <c r="B7" s="10">
        <v>7</v>
      </c>
      <c r="C7">
        <v>1</v>
      </c>
    </row>
    <row r="8" spans="2:3" x14ac:dyDescent="0.4">
      <c r="B8" s="10">
        <v>8</v>
      </c>
      <c r="C8">
        <v>2</v>
      </c>
    </row>
    <row r="9" spans="2:3" x14ac:dyDescent="0.4">
      <c r="B9" s="10">
        <v>10</v>
      </c>
      <c r="C9">
        <v>1</v>
      </c>
    </row>
    <row r="10" spans="2:3" x14ac:dyDescent="0.4">
      <c r="B10" s="7" t="s">
        <v>1049</v>
      </c>
      <c r="C10">
        <v>17</v>
      </c>
    </row>
    <row r="11" spans="2:3" x14ac:dyDescent="0.4">
      <c r="B11" s="7" t="s">
        <v>1050</v>
      </c>
      <c r="C11">
        <v>212</v>
      </c>
    </row>
    <row r="12" spans="2:3" x14ac:dyDescent="0.4">
      <c r="B12" s="10">
        <v>21</v>
      </c>
      <c r="C12">
        <v>4</v>
      </c>
    </row>
    <row r="13" spans="2:3" x14ac:dyDescent="0.4">
      <c r="B13" s="10">
        <v>23</v>
      </c>
      <c r="C13">
        <v>4</v>
      </c>
    </row>
    <row r="14" spans="2:3" x14ac:dyDescent="0.4">
      <c r="B14" s="10">
        <v>24</v>
      </c>
      <c r="C14">
        <v>1</v>
      </c>
    </row>
    <row r="15" spans="2:3" x14ac:dyDescent="0.4">
      <c r="B15" s="10">
        <v>25</v>
      </c>
      <c r="C15">
        <v>5</v>
      </c>
    </row>
    <row r="16" spans="2:3" x14ac:dyDescent="0.4">
      <c r="B16" s="10">
        <v>26</v>
      </c>
      <c r="C16">
        <v>3</v>
      </c>
    </row>
    <row r="17" spans="2:3" x14ac:dyDescent="0.4">
      <c r="B17" s="10">
        <v>27</v>
      </c>
      <c r="C17">
        <v>2</v>
      </c>
    </row>
    <row r="18" spans="2:3" x14ac:dyDescent="0.4">
      <c r="B18" s="10">
        <v>28</v>
      </c>
      <c r="C18">
        <v>6</v>
      </c>
    </row>
    <row r="19" spans="2:3" x14ac:dyDescent="0.4">
      <c r="B19" s="10">
        <v>29</v>
      </c>
      <c r="C19">
        <v>2</v>
      </c>
    </row>
    <row r="20" spans="2:3" x14ac:dyDescent="0.4">
      <c r="B20" s="10">
        <v>30</v>
      </c>
      <c r="C20">
        <v>6</v>
      </c>
    </row>
    <row r="21" spans="2:3" x14ac:dyDescent="0.4">
      <c r="B21" s="10">
        <v>31</v>
      </c>
      <c r="C21">
        <v>9</v>
      </c>
    </row>
    <row r="22" spans="2:3" x14ac:dyDescent="0.4">
      <c r="B22" s="10">
        <v>32</v>
      </c>
      <c r="C22">
        <v>3</v>
      </c>
    </row>
    <row r="23" spans="2:3" x14ac:dyDescent="0.4">
      <c r="B23" s="10">
        <v>33</v>
      </c>
      <c r="C23">
        <v>3</v>
      </c>
    </row>
    <row r="24" spans="2:3" x14ac:dyDescent="0.4">
      <c r="B24" s="10">
        <v>34</v>
      </c>
      <c r="C24">
        <v>2</v>
      </c>
    </row>
    <row r="25" spans="2:3" x14ac:dyDescent="0.4">
      <c r="B25" s="10">
        <v>35</v>
      </c>
      <c r="C25">
        <v>2</v>
      </c>
    </row>
    <row r="26" spans="2:3" x14ac:dyDescent="0.4">
      <c r="B26" s="10">
        <v>36</v>
      </c>
      <c r="C26">
        <v>4</v>
      </c>
    </row>
    <row r="27" spans="2:3" x14ac:dyDescent="0.4">
      <c r="B27" s="10">
        <v>37</v>
      </c>
      <c r="C27">
        <v>4</v>
      </c>
    </row>
    <row r="28" spans="2:3" x14ac:dyDescent="0.4">
      <c r="B28" s="10">
        <v>38</v>
      </c>
      <c r="C28">
        <v>5</v>
      </c>
    </row>
    <row r="29" spans="2:3" x14ac:dyDescent="0.4">
      <c r="B29" s="10">
        <v>39</v>
      </c>
      <c r="C29">
        <v>4</v>
      </c>
    </row>
    <row r="30" spans="2:3" x14ac:dyDescent="0.4">
      <c r="B30" s="10">
        <v>40</v>
      </c>
      <c r="C30">
        <v>8</v>
      </c>
    </row>
    <row r="31" spans="2:3" x14ac:dyDescent="0.4">
      <c r="B31" s="10">
        <v>41</v>
      </c>
      <c r="C31">
        <v>6</v>
      </c>
    </row>
    <row r="32" spans="2:3" x14ac:dyDescent="0.4">
      <c r="B32" s="10">
        <v>42</v>
      </c>
      <c r="C32">
        <v>3</v>
      </c>
    </row>
    <row r="33" spans="2:3" x14ac:dyDescent="0.4">
      <c r="B33" s="10">
        <v>43</v>
      </c>
      <c r="C33">
        <v>7</v>
      </c>
    </row>
    <row r="34" spans="2:3" x14ac:dyDescent="0.4">
      <c r="B34" s="10">
        <v>44</v>
      </c>
      <c r="C34">
        <v>4</v>
      </c>
    </row>
    <row r="35" spans="2:3" x14ac:dyDescent="0.4">
      <c r="B35" s="10">
        <v>45</v>
      </c>
      <c r="C35">
        <v>7</v>
      </c>
    </row>
    <row r="36" spans="2:3" x14ac:dyDescent="0.4">
      <c r="B36" s="10">
        <v>46</v>
      </c>
      <c r="C36">
        <v>2</v>
      </c>
    </row>
    <row r="37" spans="2:3" x14ac:dyDescent="0.4">
      <c r="B37" s="10">
        <v>47</v>
      </c>
      <c r="C37">
        <v>4</v>
      </c>
    </row>
    <row r="38" spans="2:3" x14ac:dyDescent="0.4">
      <c r="B38" s="10">
        <v>48</v>
      </c>
      <c r="C38">
        <v>5</v>
      </c>
    </row>
    <row r="39" spans="2:3" x14ac:dyDescent="0.4">
      <c r="B39" s="10">
        <v>49</v>
      </c>
      <c r="C39">
        <v>8</v>
      </c>
    </row>
    <row r="40" spans="2:3" x14ac:dyDescent="0.4">
      <c r="B40" s="10">
        <v>50</v>
      </c>
      <c r="C40">
        <v>9</v>
      </c>
    </row>
    <row r="41" spans="2:3" x14ac:dyDescent="0.4">
      <c r="B41" s="10">
        <v>51</v>
      </c>
      <c r="C41">
        <v>4</v>
      </c>
    </row>
    <row r="42" spans="2:3" x14ac:dyDescent="0.4">
      <c r="B42" s="10">
        <v>52</v>
      </c>
      <c r="C42">
        <v>8</v>
      </c>
    </row>
    <row r="43" spans="2:3" x14ac:dyDescent="0.4">
      <c r="B43" s="10">
        <v>53</v>
      </c>
      <c r="C43">
        <v>6</v>
      </c>
    </row>
    <row r="44" spans="2:3" x14ac:dyDescent="0.4">
      <c r="B44" s="10">
        <v>54</v>
      </c>
      <c r="C44">
        <v>8</v>
      </c>
    </row>
    <row r="45" spans="2:3" x14ac:dyDescent="0.4">
      <c r="B45" s="10">
        <v>55</v>
      </c>
      <c r="C45">
        <v>10</v>
      </c>
    </row>
    <row r="46" spans="2:3" x14ac:dyDescent="0.4">
      <c r="B46" s="10">
        <v>56</v>
      </c>
      <c r="C46">
        <v>13</v>
      </c>
    </row>
    <row r="47" spans="2:3" x14ac:dyDescent="0.4">
      <c r="B47" s="10">
        <v>57</v>
      </c>
      <c r="C47">
        <v>4</v>
      </c>
    </row>
    <row r="48" spans="2:3" x14ac:dyDescent="0.4">
      <c r="B48" s="10">
        <v>58</v>
      </c>
      <c r="C48">
        <v>8</v>
      </c>
    </row>
    <row r="49" spans="2:3" x14ac:dyDescent="0.4">
      <c r="B49" s="10">
        <v>59</v>
      </c>
      <c r="C49">
        <v>9</v>
      </c>
    </row>
    <row r="50" spans="2:3" x14ac:dyDescent="0.4">
      <c r="B50" s="10">
        <v>60</v>
      </c>
      <c r="C50">
        <v>10</v>
      </c>
    </row>
    <row r="51" spans="2:3" x14ac:dyDescent="0.4">
      <c r="B51" s="7" t="s">
        <v>1051</v>
      </c>
      <c r="C51">
        <v>524</v>
      </c>
    </row>
    <row r="52" spans="2:3" x14ac:dyDescent="0.4">
      <c r="B52" s="10">
        <v>61</v>
      </c>
      <c r="C52">
        <v>10</v>
      </c>
    </row>
    <row r="53" spans="2:3" x14ac:dyDescent="0.4">
      <c r="B53" s="10">
        <v>62</v>
      </c>
      <c r="C53">
        <v>8</v>
      </c>
    </row>
    <row r="54" spans="2:3" x14ac:dyDescent="0.4">
      <c r="B54" s="10">
        <v>63</v>
      </c>
      <c r="C54">
        <v>15</v>
      </c>
    </row>
    <row r="55" spans="2:3" x14ac:dyDescent="0.4">
      <c r="B55" s="10">
        <v>64</v>
      </c>
      <c r="C55">
        <v>12</v>
      </c>
    </row>
    <row r="56" spans="2:3" x14ac:dyDescent="0.4">
      <c r="B56" s="10">
        <v>65</v>
      </c>
      <c r="C56">
        <v>6</v>
      </c>
    </row>
    <row r="57" spans="2:3" x14ac:dyDescent="0.4">
      <c r="B57" s="10">
        <v>66</v>
      </c>
      <c r="C57">
        <v>5</v>
      </c>
    </row>
    <row r="58" spans="2:3" x14ac:dyDescent="0.4">
      <c r="B58" s="10">
        <v>67</v>
      </c>
      <c r="C58">
        <v>12</v>
      </c>
    </row>
    <row r="59" spans="2:3" x14ac:dyDescent="0.4">
      <c r="B59" s="10">
        <v>68</v>
      </c>
      <c r="C59">
        <v>5</v>
      </c>
    </row>
    <row r="60" spans="2:3" x14ac:dyDescent="0.4">
      <c r="B60" s="10">
        <v>69</v>
      </c>
      <c r="C60">
        <v>13</v>
      </c>
    </row>
    <row r="61" spans="2:3" x14ac:dyDescent="0.4">
      <c r="B61" s="10">
        <v>70</v>
      </c>
      <c r="C61">
        <v>8</v>
      </c>
    </row>
    <row r="62" spans="2:3" x14ac:dyDescent="0.4">
      <c r="B62" s="10">
        <v>71</v>
      </c>
      <c r="C62">
        <v>10</v>
      </c>
    </row>
    <row r="63" spans="2:3" x14ac:dyDescent="0.4">
      <c r="B63" s="10">
        <v>72</v>
      </c>
      <c r="C63">
        <v>8</v>
      </c>
    </row>
    <row r="64" spans="2:3" x14ac:dyDescent="0.4">
      <c r="B64" s="10">
        <v>73</v>
      </c>
      <c r="C64">
        <v>11</v>
      </c>
    </row>
    <row r="65" spans="2:3" x14ac:dyDescent="0.4">
      <c r="B65" s="10">
        <v>74</v>
      </c>
      <c r="C65">
        <v>10</v>
      </c>
    </row>
    <row r="66" spans="2:3" x14ac:dyDescent="0.4">
      <c r="B66" s="10">
        <v>75</v>
      </c>
      <c r="C66">
        <v>13</v>
      </c>
    </row>
    <row r="67" spans="2:3" x14ac:dyDescent="0.4">
      <c r="B67" s="10">
        <v>76</v>
      </c>
      <c r="C67">
        <v>11</v>
      </c>
    </row>
    <row r="68" spans="2:3" x14ac:dyDescent="0.4">
      <c r="B68" s="10">
        <v>77</v>
      </c>
      <c r="C68">
        <v>3</v>
      </c>
    </row>
    <row r="69" spans="2:3" x14ac:dyDescent="0.4">
      <c r="B69" s="10">
        <v>78</v>
      </c>
      <c r="C69">
        <v>11</v>
      </c>
    </row>
    <row r="70" spans="2:3" x14ac:dyDescent="0.4">
      <c r="B70" s="10">
        <v>79</v>
      </c>
      <c r="C70">
        <v>6</v>
      </c>
    </row>
    <row r="71" spans="2:3" x14ac:dyDescent="0.4">
      <c r="B71" s="10">
        <v>80</v>
      </c>
      <c r="C71">
        <v>11</v>
      </c>
    </row>
    <row r="72" spans="2:3" x14ac:dyDescent="0.4">
      <c r="B72" s="10">
        <v>81</v>
      </c>
      <c r="C72">
        <v>14</v>
      </c>
    </row>
    <row r="73" spans="2:3" x14ac:dyDescent="0.4">
      <c r="B73" s="10">
        <v>82</v>
      </c>
      <c r="C73">
        <v>6</v>
      </c>
    </row>
    <row r="74" spans="2:3" x14ac:dyDescent="0.4">
      <c r="B74" s="10">
        <v>83</v>
      </c>
      <c r="C74">
        <v>3</v>
      </c>
    </row>
    <row r="75" spans="2:3" x14ac:dyDescent="0.4">
      <c r="B75" s="10">
        <v>84</v>
      </c>
      <c r="C75">
        <v>11</v>
      </c>
    </row>
    <row r="76" spans="2:3" x14ac:dyDescent="0.4">
      <c r="B76" s="10">
        <v>85</v>
      </c>
      <c r="C76">
        <v>5</v>
      </c>
    </row>
    <row r="77" spans="2:3" x14ac:dyDescent="0.4">
      <c r="B77" s="10">
        <v>86</v>
      </c>
      <c r="C77">
        <v>6</v>
      </c>
    </row>
    <row r="78" spans="2:3" x14ac:dyDescent="0.4">
      <c r="B78" s="10">
        <v>87</v>
      </c>
      <c r="C78">
        <v>6</v>
      </c>
    </row>
    <row r="79" spans="2:3" x14ac:dyDescent="0.4">
      <c r="B79" s="10">
        <v>88</v>
      </c>
      <c r="C79">
        <v>9</v>
      </c>
    </row>
    <row r="80" spans="2:3" x14ac:dyDescent="0.4">
      <c r="B80" s="10">
        <v>89</v>
      </c>
      <c r="C80">
        <v>14</v>
      </c>
    </row>
    <row r="81" spans="2:3" x14ac:dyDescent="0.4">
      <c r="B81" s="10">
        <v>90</v>
      </c>
      <c r="C81">
        <v>10</v>
      </c>
    </row>
    <row r="82" spans="2:3" x14ac:dyDescent="0.4">
      <c r="B82" s="10">
        <v>91</v>
      </c>
      <c r="C82">
        <v>6</v>
      </c>
    </row>
    <row r="83" spans="2:3" x14ac:dyDescent="0.4">
      <c r="B83" s="10">
        <v>92</v>
      </c>
      <c r="C83">
        <v>3</v>
      </c>
    </row>
    <row r="84" spans="2:3" x14ac:dyDescent="0.4">
      <c r="B84" s="10">
        <v>93</v>
      </c>
      <c r="C84">
        <v>8</v>
      </c>
    </row>
    <row r="85" spans="2:3" x14ac:dyDescent="0.4">
      <c r="B85" s="10">
        <v>94</v>
      </c>
      <c r="C85">
        <v>10</v>
      </c>
    </row>
    <row r="86" spans="2:3" x14ac:dyDescent="0.4">
      <c r="B86" s="10">
        <v>95</v>
      </c>
      <c r="C86">
        <v>15</v>
      </c>
    </row>
    <row r="87" spans="2:3" x14ac:dyDescent="0.4">
      <c r="B87" s="10">
        <v>96</v>
      </c>
      <c r="C87">
        <v>15</v>
      </c>
    </row>
    <row r="88" spans="2:3" x14ac:dyDescent="0.4">
      <c r="B88" s="10">
        <v>97</v>
      </c>
      <c r="C88">
        <v>4</v>
      </c>
    </row>
    <row r="89" spans="2:3" x14ac:dyDescent="0.4">
      <c r="B89" s="10">
        <v>98</v>
      </c>
      <c r="C89">
        <v>5</v>
      </c>
    </row>
    <row r="90" spans="2:3" x14ac:dyDescent="0.4">
      <c r="B90" s="10">
        <v>99</v>
      </c>
      <c r="C90">
        <v>8</v>
      </c>
    </row>
    <row r="91" spans="2:3" x14ac:dyDescent="0.4">
      <c r="B91" s="10">
        <v>100</v>
      </c>
      <c r="C91">
        <v>8</v>
      </c>
    </row>
    <row r="92" spans="2:3" x14ac:dyDescent="0.4">
      <c r="B92" s="10">
        <v>101</v>
      </c>
      <c r="C92">
        <v>9</v>
      </c>
    </row>
    <row r="93" spans="2:3" x14ac:dyDescent="0.4">
      <c r="B93" s="10">
        <v>102</v>
      </c>
      <c r="C93">
        <v>9</v>
      </c>
    </row>
    <row r="94" spans="2:3" x14ac:dyDescent="0.4">
      <c r="B94" s="10">
        <v>103</v>
      </c>
      <c r="C94">
        <v>15</v>
      </c>
    </row>
    <row r="95" spans="2:3" x14ac:dyDescent="0.4">
      <c r="B95" s="10">
        <v>104</v>
      </c>
      <c r="C95">
        <v>9</v>
      </c>
    </row>
    <row r="96" spans="2:3" x14ac:dyDescent="0.4">
      <c r="B96" s="10">
        <v>105</v>
      </c>
      <c r="C96">
        <v>9</v>
      </c>
    </row>
    <row r="97" spans="2:3" x14ac:dyDescent="0.4">
      <c r="B97" s="10">
        <v>106</v>
      </c>
      <c r="C97">
        <v>9</v>
      </c>
    </row>
    <row r="98" spans="2:3" x14ac:dyDescent="0.4">
      <c r="B98" s="10">
        <v>107</v>
      </c>
      <c r="C98">
        <v>11</v>
      </c>
    </row>
    <row r="99" spans="2:3" x14ac:dyDescent="0.4">
      <c r="B99" s="10">
        <v>108</v>
      </c>
      <c r="C99">
        <v>10</v>
      </c>
    </row>
    <row r="100" spans="2:3" x14ac:dyDescent="0.4">
      <c r="B100" s="10">
        <v>109</v>
      </c>
      <c r="C100">
        <v>8</v>
      </c>
    </row>
    <row r="101" spans="2:3" x14ac:dyDescent="0.4">
      <c r="B101" s="10">
        <v>110</v>
      </c>
      <c r="C101">
        <v>12</v>
      </c>
    </row>
    <row r="102" spans="2:3" x14ac:dyDescent="0.4">
      <c r="B102" s="10">
        <v>111</v>
      </c>
      <c r="C102">
        <v>11</v>
      </c>
    </row>
    <row r="103" spans="2:3" x14ac:dyDescent="0.4">
      <c r="B103" s="10">
        <v>112</v>
      </c>
      <c r="C103">
        <v>2</v>
      </c>
    </row>
    <row r="104" spans="2:3" x14ac:dyDescent="0.4">
      <c r="B104" s="10">
        <v>113</v>
      </c>
      <c r="C104">
        <v>10</v>
      </c>
    </row>
    <row r="105" spans="2:3" x14ac:dyDescent="0.4">
      <c r="B105" s="10">
        <v>114</v>
      </c>
      <c r="C105">
        <v>10</v>
      </c>
    </row>
    <row r="106" spans="2:3" x14ac:dyDescent="0.4">
      <c r="B106" s="10">
        <v>115</v>
      </c>
      <c r="C106">
        <v>7</v>
      </c>
    </row>
    <row r="107" spans="2:3" x14ac:dyDescent="0.4">
      <c r="B107" s="10">
        <v>116</v>
      </c>
      <c r="C107">
        <v>6</v>
      </c>
    </row>
    <row r="108" spans="2:3" x14ac:dyDescent="0.4">
      <c r="B108" s="10">
        <v>117</v>
      </c>
      <c r="C108">
        <v>6</v>
      </c>
    </row>
    <row r="109" spans="2:3" x14ac:dyDescent="0.4">
      <c r="B109" s="10">
        <v>118</v>
      </c>
      <c r="C109">
        <v>3</v>
      </c>
    </row>
    <row r="110" spans="2:3" x14ac:dyDescent="0.4">
      <c r="B110" s="10">
        <v>119</v>
      </c>
      <c r="C110">
        <v>7</v>
      </c>
    </row>
    <row r="111" spans="2:3" x14ac:dyDescent="0.4">
      <c r="B111" s="10">
        <v>120</v>
      </c>
      <c r="C111">
        <v>7</v>
      </c>
    </row>
    <row r="112" spans="2:3" x14ac:dyDescent="0.4">
      <c r="B112" s="7" t="s">
        <v>1052</v>
      </c>
      <c r="C112">
        <v>237</v>
      </c>
    </row>
    <row r="113" spans="2:3" x14ac:dyDescent="0.4">
      <c r="B113" s="10">
        <v>121</v>
      </c>
      <c r="C113">
        <v>3</v>
      </c>
    </row>
    <row r="114" spans="2:3" x14ac:dyDescent="0.4">
      <c r="B114" s="10">
        <v>122</v>
      </c>
      <c r="C114">
        <v>2</v>
      </c>
    </row>
    <row r="115" spans="2:3" x14ac:dyDescent="0.4">
      <c r="B115" s="10">
        <v>123</v>
      </c>
      <c r="C115">
        <v>7</v>
      </c>
    </row>
    <row r="116" spans="2:3" x14ac:dyDescent="0.4">
      <c r="B116" s="10">
        <v>124</v>
      </c>
      <c r="C116">
        <v>11</v>
      </c>
    </row>
    <row r="117" spans="2:3" x14ac:dyDescent="0.4">
      <c r="B117" s="10">
        <v>125</v>
      </c>
      <c r="C117">
        <v>5</v>
      </c>
    </row>
    <row r="118" spans="2:3" x14ac:dyDescent="0.4">
      <c r="B118" s="10">
        <v>126</v>
      </c>
      <c r="C118">
        <v>11</v>
      </c>
    </row>
    <row r="119" spans="2:3" x14ac:dyDescent="0.4">
      <c r="B119" s="10">
        <v>127</v>
      </c>
      <c r="C119">
        <v>9</v>
      </c>
    </row>
    <row r="120" spans="2:3" x14ac:dyDescent="0.4">
      <c r="B120" s="10">
        <v>128</v>
      </c>
      <c r="C120">
        <v>8</v>
      </c>
    </row>
    <row r="121" spans="2:3" x14ac:dyDescent="0.4">
      <c r="B121" s="10">
        <v>129</v>
      </c>
      <c r="C121">
        <v>4</v>
      </c>
    </row>
    <row r="122" spans="2:3" x14ac:dyDescent="0.4">
      <c r="B122" s="10">
        <v>130</v>
      </c>
      <c r="C122">
        <v>6</v>
      </c>
    </row>
    <row r="123" spans="2:3" x14ac:dyDescent="0.4">
      <c r="B123" s="10">
        <v>131</v>
      </c>
      <c r="C123">
        <v>11</v>
      </c>
    </row>
    <row r="124" spans="2:3" x14ac:dyDescent="0.4">
      <c r="B124" s="10">
        <v>132</v>
      </c>
      <c r="C124">
        <v>7</v>
      </c>
    </row>
    <row r="125" spans="2:3" x14ac:dyDescent="0.4">
      <c r="B125" s="10">
        <v>133</v>
      </c>
      <c r="C125">
        <v>8</v>
      </c>
    </row>
    <row r="126" spans="2:3" x14ac:dyDescent="0.4">
      <c r="B126" s="10">
        <v>134</v>
      </c>
      <c r="C126">
        <v>6</v>
      </c>
    </row>
    <row r="127" spans="2:3" x14ac:dyDescent="0.4">
      <c r="B127" s="10">
        <v>135</v>
      </c>
      <c r="C127">
        <v>7</v>
      </c>
    </row>
    <row r="128" spans="2:3" x14ac:dyDescent="0.4">
      <c r="B128" s="10">
        <v>136</v>
      </c>
      <c r="C128">
        <v>2</v>
      </c>
    </row>
    <row r="129" spans="2:3" x14ac:dyDescent="0.4">
      <c r="B129" s="10">
        <v>137</v>
      </c>
      <c r="C129">
        <v>9</v>
      </c>
    </row>
    <row r="130" spans="2:3" x14ac:dyDescent="0.4">
      <c r="B130" s="10">
        <v>138</v>
      </c>
      <c r="C130">
        <v>6</v>
      </c>
    </row>
    <row r="131" spans="2:3" x14ac:dyDescent="0.4">
      <c r="B131" s="10">
        <v>139</v>
      </c>
      <c r="C131">
        <v>8</v>
      </c>
    </row>
    <row r="132" spans="2:3" x14ac:dyDescent="0.4">
      <c r="B132" s="10">
        <v>140</v>
      </c>
      <c r="C132">
        <v>3</v>
      </c>
    </row>
    <row r="133" spans="2:3" x14ac:dyDescent="0.4">
      <c r="B133" s="10">
        <v>141</v>
      </c>
      <c r="C133">
        <v>5</v>
      </c>
    </row>
    <row r="134" spans="2:3" x14ac:dyDescent="0.4">
      <c r="B134" s="10">
        <v>142</v>
      </c>
      <c r="C134">
        <v>6</v>
      </c>
    </row>
    <row r="135" spans="2:3" x14ac:dyDescent="0.4">
      <c r="B135" s="10">
        <v>143</v>
      </c>
      <c r="C135">
        <v>5</v>
      </c>
    </row>
    <row r="136" spans="2:3" x14ac:dyDescent="0.4">
      <c r="B136" s="10">
        <v>144</v>
      </c>
      <c r="C136">
        <v>8</v>
      </c>
    </row>
    <row r="137" spans="2:3" x14ac:dyDescent="0.4">
      <c r="B137" s="10">
        <v>145</v>
      </c>
      <c r="C137">
        <v>3</v>
      </c>
    </row>
    <row r="138" spans="2:3" x14ac:dyDescent="0.4">
      <c r="B138" s="10">
        <v>146</v>
      </c>
      <c r="C138">
        <v>4</v>
      </c>
    </row>
    <row r="139" spans="2:3" x14ac:dyDescent="0.4">
      <c r="B139" s="10">
        <v>147</v>
      </c>
      <c r="C139">
        <v>6</v>
      </c>
    </row>
    <row r="140" spans="2:3" x14ac:dyDescent="0.4">
      <c r="B140" s="10">
        <v>148</v>
      </c>
      <c r="C140">
        <v>1</v>
      </c>
    </row>
    <row r="141" spans="2:3" x14ac:dyDescent="0.4">
      <c r="B141" s="10">
        <v>149</v>
      </c>
      <c r="C141">
        <v>5</v>
      </c>
    </row>
    <row r="142" spans="2:3" x14ac:dyDescent="0.4">
      <c r="B142" s="10">
        <v>150</v>
      </c>
      <c r="C142">
        <v>3</v>
      </c>
    </row>
    <row r="143" spans="2:3" x14ac:dyDescent="0.4">
      <c r="B143" s="10">
        <v>151</v>
      </c>
      <c r="C143">
        <v>5</v>
      </c>
    </row>
    <row r="144" spans="2:3" x14ac:dyDescent="0.4">
      <c r="B144" s="10">
        <v>152</v>
      </c>
      <c r="C144">
        <v>4</v>
      </c>
    </row>
    <row r="145" spans="2:3" x14ac:dyDescent="0.4">
      <c r="B145" s="10">
        <v>153</v>
      </c>
      <c r="C145">
        <v>3</v>
      </c>
    </row>
    <row r="146" spans="2:3" x14ac:dyDescent="0.4">
      <c r="B146" s="10">
        <v>154</v>
      </c>
      <c r="C146">
        <v>5</v>
      </c>
    </row>
    <row r="147" spans="2:3" x14ac:dyDescent="0.4">
      <c r="B147" s="10">
        <v>155</v>
      </c>
      <c r="C147">
        <v>9</v>
      </c>
    </row>
    <row r="148" spans="2:3" x14ac:dyDescent="0.4">
      <c r="B148" s="10">
        <v>156</v>
      </c>
      <c r="C148">
        <v>3</v>
      </c>
    </row>
    <row r="149" spans="2:3" x14ac:dyDescent="0.4">
      <c r="B149" s="10">
        <v>157</v>
      </c>
      <c r="C149">
        <v>2</v>
      </c>
    </row>
    <row r="150" spans="2:3" x14ac:dyDescent="0.4">
      <c r="B150" s="10">
        <v>158</v>
      </c>
      <c r="C150">
        <v>6</v>
      </c>
    </row>
    <row r="151" spans="2:3" x14ac:dyDescent="0.4">
      <c r="B151" s="10">
        <v>159</v>
      </c>
      <c r="C151">
        <v>3</v>
      </c>
    </row>
    <row r="152" spans="2:3" x14ac:dyDescent="0.4">
      <c r="B152" s="10">
        <v>160</v>
      </c>
      <c r="C152">
        <v>2</v>
      </c>
    </row>
    <row r="153" spans="2:3" x14ac:dyDescent="0.4">
      <c r="B153" s="10">
        <v>162</v>
      </c>
      <c r="C153">
        <v>1</v>
      </c>
    </row>
    <row r="154" spans="2:3" x14ac:dyDescent="0.4">
      <c r="B154" s="10">
        <v>163</v>
      </c>
      <c r="C154">
        <v>2</v>
      </c>
    </row>
    <row r="155" spans="2:3" x14ac:dyDescent="0.4">
      <c r="B155" s="10">
        <v>164</v>
      </c>
      <c r="C155">
        <v>2</v>
      </c>
    </row>
    <row r="156" spans="2:3" x14ac:dyDescent="0.4">
      <c r="B156" s="10">
        <v>165</v>
      </c>
      <c r="C156">
        <v>3</v>
      </c>
    </row>
    <row r="157" spans="2:3" x14ac:dyDescent="0.4">
      <c r="B157" s="10">
        <v>166</v>
      </c>
      <c r="C157">
        <v>2</v>
      </c>
    </row>
    <row r="158" spans="2:3" x14ac:dyDescent="0.4">
      <c r="B158" s="10">
        <v>168</v>
      </c>
      <c r="C158">
        <v>2</v>
      </c>
    </row>
    <row r="159" spans="2:3" x14ac:dyDescent="0.4">
      <c r="B159" s="10">
        <v>171</v>
      </c>
      <c r="C159">
        <v>1</v>
      </c>
    </row>
    <row r="160" spans="2:3" x14ac:dyDescent="0.4">
      <c r="B160" s="10">
        <v>172</v>
      </c>
      <c r="C160">
        <v>1</v>
      </c>
    </row>
    <row r="161" spans="2:3" x14ac:dyDescent="0.4">
      <c r="B161" s="10">
        <v>173</v>
      </c>
      <c r="C161">
        <v>1</v>
      </c>
    </row>
    <row r="162" spans="2:3" x14ac:dyDescent="0.4">
      <c r="B162" s="10">
        <v>176</v>
      </c>
      <c r="C162">
        <v>1</v>
      </c>
    </row>
    <row r="163" spans="2:3" x14ac:dyDescent="0.4">
      <c r="B163" s="7">
        <v>9</v>
      </c>
      <c r="C163">
        <v>1</v>
      </c>
    </row>
    <row r="164" spans="2:3" x14ac:dyDescent="0.4">
      <c r="B164" s="10">
        <v>9</v>
      </c>
      <c r="C164">
        <v>1</v>
      </c>
    </row>
    <row r="165" spans="2:3" x14ac:dyDescent="0.4">
      <c r="B165" s="7" t="s">
        <v>1044</v>
      </c>
      <c r="C165">
        <v>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5845-F9CD-4774-A870-BC7B457C699E}">
  <dimension ref="A3:B38"/>
  <sheetViews>
    <sheetView topLeftCell="A21" zoomScale="61" zoomScaleNormal="121" workbookViewId="0">
      <selection activeCell="B30" sqref="B30"/>
    </sheetView>
  </sheetViews>
  <sheetFormatPr defaultRowHeight="15" x14ac:dyDescent="0.4"/>
  <cols>
    <col min="1" max="1" width="13.796875" customWidth="1"/>
    <col min="2" max="2" width="18.796875" customWidth="1"/>
  </cols>
  <sheetData>
    <row r="3" spans="1:2" x14ac:dyDescent="0.4">
      <c r="A3" s="6" t="s">
        <v>1043</v>
      </c>
      <c r="B3" t="s">
        <v>1045</v>
      </c>
    </row>
    <row r="4" spans="1:2" x14ac:dyDescent="0.4">
      <c r="A4" s="7" t="s">
        <v>1053</v>
      </c>
      <c r="B4">
        <v>79</v>
      </c>
    </row>
    <row r="5" spans="1:2" x14ac:dyDescent="0.4">
      <c r="A5" s="7" t="s">
        <v>1054</v>
      </c>
      <c r="B5">
        <v>66</v>
      </c>
    </row>
    <row r="6" spans="1:2" x14ac:dyDescent="0.4">
      <c r="A6" s="7" t="s">
        <v>1055</v>
      </c>
      <c r="B6">
        <v>155</v>
      </c>
    </row>
    <row r="7" spans="1:2" x14ac:dyDescent="0.4">
      <c r="A7" s="7" t="s">
        <v>1056</v>
      </c>
      <c r="B7">
        <v>136</v>
      </c>
    </row>
    <row r="8" spans="1:2" x14ac:dyDescent="0.4">
      <c r="A8" s="7" t="s">
        <v>1057</v>
      </c>
      <c r="B8">
        <v>83</v>
      </c>
    </row>
    <row r="9" spans="1:2" x14ac:dyDescent="0.4">
      <c r="A9" s="7" t="s">
        <v>1058</v>
      </c>
      <c r="B9">
        <v>67</v>
      </c>
    </row>
    <row r="10" spans="1:2" x14ac:dyDescent="0.4">
      <c r="A10" s="7" t="s">
        <v>1059</v>
      </c>
      <c r="B10">
        <v>64</v>
      </c>
    </row>
    <row r="11" spans="1:2" x14ac:dyDescent="0.4">
      <c r="A11" s="7" t="s">
        <v>1060</v>
      </c>
      <c r="B11">
        <v>50</v>
      </c>
    </row>
    <row r="12" spans="1:2" x14ac:dyDescent="0.4">
      <c r="A12" s="7" t="s">
        <v>1061</v>
      </c>
      <c r="B12">
        <v>76</v>
      </c>
    </row>
    <row r="13" spans="1:2" x14ac:dyDescent="0.4">
      <c r="A13" s="7" t="s">
        <v>1062</v>
      </c>
      <c r="B13">
        <v>114</v>
      </c>
    </row>
    <row r="14" spans="1:2" x14ac:dyDescent="0.4">
      <c r="A14" s="7" t="s">
        <v>1063</v>
      </c>
      <c r="B14">
        <v>57</v>
      </c>
    </row>
    <row r="15" spans="1:2" x14ac:dyDescent="0.4">
      <c r="A15" s="7" t="s">
        <v>1064</v>
      </c>
      <c r="B15">
        <v>53</v>
      </c>
    </row>
    <row r="16" spans="1:2" x14ac:dyDescent="0.4">
      <c r="A16" s="7" t="s">
        <v>1044</v>
      </c>
      <c r="B16">
        <v>1000</v>
      </c>
    </row>
    <row r="25" spans="1:2" x14ac:dyDescent="0.4">
      <c r="A25" s="6" t="s">
        <v>1043</v>
      </c>
      <c r="B25" t="s">
        <v>1047</v>
      </c>
    </row>
    <row r="26" spans="1:2" x14ac:dyDescent="0.4">
      <c r="A26" s="7" t="s">
        <v>1053</v>
      </c>
      <c r="B26">
        <v>7790</v>
      </c>
    </row>
    <row r="27" spans="1:2" x14ac:dyDescent="0.4">
      <c r="A27" s="7" t="s">
        <v>1054</v>
      </c>
      <c r="B27">
        <v>13912</v>
      </c>
    </row>
    <row r="28" spans="1:2" x14ac:dyDescent="0.4">
      <c r="A28" s="7" t="s">
        <v>1055</v>
      </c>
      <c r="B28">
        <v>28475</v>
      </c>
    </row>
    <row r="29" spans="1:2" x14ac:dyDescent="0.4">
      <c r="A29" s="7" t="s">
        <v>1056</v>
      </c>
      <c r="B29">
        <v>42011</v>
      </c>
    </row>
    <row r="30" spans="1:2" x14ac:dyDescent="0.4">
      <c r="A30" s="7" t="s">
        <v>1057</v>
      </c>
      <c r="B30">
        <v>50182</v>
      </c>
    </row>
    <row r="31" spans="1:2" x14ac:dyDescent="0.4">
      <c r="A31" s="7" t="s">
        <v>1058</v>
      </c>
      <c r="B31">
        <v>56075</v>
      </c>
    </row>
    <row r="32" spans="1:2" x14ac:dyDescent="0.4">
      <c r="A32" s="7" t="s">
        <v>1059</v>
      </c>
      <c r="B32">
        <v>62082</v>
      </c>
    </row>
    <row r="33" spans="1:2" x14ac:dyDescent="0.4">
      <c r="A33" s="7" t="s">
        <v>1060</v>
      </c>
      <c r="B33">
        <v>67032</v>
      </c>
    </row>
    <row r="34" spans="1:2" x14ac:dyDescent="0.4">
      <c r="A34" s="7" t="s">
        <v>1061</v>
      </c>
      <c r="B34">
        <v>73721</v>
      </c>
    </row>
    <row r="35" spans="1:2" x14ac:dyDescent="0.4">
      <c r="A35" s="7" t="s">
        <v>1062</v>
      </c>
      <c r="B35">
        <v>84596</v>
      </c>
    </row>
    <row r="36" spans="1:2" x14ac:dyDescent="0.4">
      <c r="A36" s="7" t="s">
        <v>1063</v>
      </c>
      <c r="B36">
        <v>91371</v>
      </c>
    </row>
    <row r="37" spans="1:2" x14ac:dyDescent="0.4">
      <c r="A37" s="7" t="s">
        <v>1064</v>
      </c>
      <c r="B37">
        <v>96623</v>
      </c>
    </row>
    <row r="38" spans="1:2" x14ac:dyDescent="0.4">
      <c r="A38" s="7" t="s">
        <v>1044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DD10-D5F5-4D13-A45B-BC0ED0319522}">
  <dimension ref="A3:I10"/>
  <sheetViews>
    <sheetView workbookViewId="0">
      <selection activeCell="E8" sqref="E8"/>
    </sheetView>
  </sheetViews>
  <sheetFormatPr defaultRowHeight="15" x14ac:dyDescent="0.4"/>
  <cols>
    <col min="1" max="1" width="18.796875" customWidth="1"/>
    <col min="2" max="2" width="15.265625" customWidth="1"/>
    <col min="3" max="4" width="7.6640625" customWidth="1"/>
    <col min="5" max="5" width="10.59765625" customWidth="1"/>
    <col min="6" max="6" width="8.53125" customWidth="1"/>
    <col min="7" max="7" width="6.796875" customWidth="1"/>
    <col min="8" max="8" width="8.265625" customWidth="1"/>
    <col min="9" max="9" width="10.6640625" customWidth="1"/>
    <col min="10" max="10" width="13.59765625" customWidth="1"/>
    <col min="11" max="11" width="7.796875" bestFit="1" customWidth="1"/>
    <col min="12" max="12" width="10" bestFit="1" customWidth="1"/>
    <col min="13" max="13" width="7.796875" bestFit="1" customWidth="1"/>
    <col min="14" max="14" width="10" bestFit="1" customWidth="1"/>
    <col min="15" max="15" width="7.796875" bestFit="1" customWidth="1"/>
    <col min="16" max="16" width="10" bestFit="1" customWidth="1"/>
    <col min="17" max="17" width="7.796875" bestFit="1" customWidth="1"/>
    <col min="18" max="18" width="10" bestFit="1" customWidth="1"/>
    <col min="19" max="19" width="7.796875" bestFit="1" customWidth="1"/>
    <col min="20" max="20" width="10" bestFit="1" customWidth="1"/>
    <col min="21" max="21" width="7.796875" bestFit="1" customWidth="1"/>
    <col min="22" max="22" width="10" bestFit="1" customWidth="1"/>
    <col min="23" max="23" width="7.796875" bestFit="1" customWidth="1"/>
    <col min="24" max="24" width="10" bestFit="1" customWidth="1"/>
    <col min="25" max="25" width="7.796875" bestFit="1" customWidth="1"/>
    <col min="26" max="26" width="10" bestFit="1" customWidth="1"/>
    <col min="27" max="27" width="7.796875" bestFit="1" customWidth="1"/>
    <col min="28" max="28" width="10" bestFit="1" customWidth="1"/>
    <col min="29" max="29" width="7.796875" bestFit="1" customWidth="1"/>
    <col min="30" max="30" width="10" bestFit="1" customWidth="1"/>
    <col min="31" max="31" width="7.796875" bestFit="1" customWidth="1"/>
    <col min="32" max="32" width="10" bestFit="1" customWidth="1"/>
    <col min="33" max="33" width="7.796875" bestFit="1" customWidth="1"/>
    <col min="34" max="34" width="10" bestFit="1" customWidth="1"/>
    <col min="35" max="35" width="7.796875" bestFit="1" customWidth="1"/>
    <col min="36" max="36" width="10" bestFit="1" customWidth="1"/>
    <col min="37" max="37" width="7.796875" bestFit="1" customWidth="1"/>
    <col min="38" max="38" width="10" bestFit="1" customWidth="1"/>
    <col min="39" max="39" width="7.796875" bestFit="1" customWidth="1"/>
    <col min="40" max="40" width="10" bestFit="1" customWidth="1"/>
    <col min="41" max="41" width="7.796875" bestFit="1" customWidth="1"/>
    <col min="42" max="42" width="10" bestFit="1" customWidth="1"/>
    <col min="43" max="43" width="7.796875" bestFit="1" customWidth="1"/>
    <col min="44" max="44" width="10" bestFit="1" customWidth="1"/>
    <col min="45" max="45" width="7.796875" bestFit="1" customWidth="1"/>
    <col min="46" max="46" width="10" bestFit="1" customWidth="1"/>
    <col min="47" max="47" width="7.796875" bestFit="1" customWidth="1"/>
    <col min="48" max="48" width="10" bestFit="1" customWidth="1"/>
    <col min="49" max="49" width="7.796875" bestFit="1" customWidth="1"/>
    <col min="50" max="50" width="10" bestFit="1" customWidth="1"/>
    <col min="51" max="51" width="7.796875" bestFit="1" customWidth="1"/>
    <col min="52" max="52" width="10" bestFit="1" customWidth="1"/>
    <col min="53" max="53" width="7.796875" bestFit="1" customWidth="1"/>
    <col min="54" max="54" width="10" bestFit="1" customWidth="1"/>
    <col min="55" max="55" width="7.796875" bestFit="1" customWidth="1"/>
    <col min="56" max="56" width="10" bestFit="1" customWidth="1"/>
    <col min="57" max="57" width="7.796875" bestFit="1" customWidth="1"/>
    <col min="58" max="58" width="10" bestFit="1" customWidth="1"/>
    <col min="59" max="59" width="7.796875" bestFit="1" customWidth="1"/>
    <col min="60" max="60" width="10" bestFit="1" customWidth="1"/>
    <col min="61" max="61" width="7.796875" bestFit="1" customWidth="1"/>
    <col min="62" max="62" width="10" bestFit="1" customWidth="1"/>
    <col min="63" max="63" width="7.796875" bestFit="1" customWidth="1"/>
    <col min="64" max="64" width="10" bestFit="1" customWidth="1"/>
    <col min="65" max="65" width="7.796875" bestFit="1" customWidth="1"/>
    <col min="66" max="66" width="10" bestFit="1" customWidth="1"/>
    <col min="67" max="67" width="7.796875" bestFit="1" customWidth="1"/>
    <col min="68" max="68" width="10" bestFit="1" customWidth="1"/>
    <col min="69" max="69" width="7.796875" bestFit="1" customWidth="1"/>
    <col min="70" max="70" width="10" bestFit="1" customWidth="1"/>
    <col min="71" max="71" width="7.796875" bestFit="1" customWidth="1"/>
    <col min="72" max="72" width="10" bestFit="1" customWidth="1"/>
    <col min="73" max="73" width="7.796875" bestFit="1" customWidth="1"/>
    <col min="74" max="74" width="10" bestFit="1" customWidth="1"/>
    <col min="75" max="75" width="7.796875" bestFit="1" customWidth="1"/>
    <col min="76" max="76" width="10" bestFit="1" customWidth="1"/>
    <col min="77" max="77" width="7.796875" bestFit="1" customWidth="1"/>
    <col min="78" max="78" width="10" bestFit="1" customWidth="1"/>
    <col min="79" max="79" width="7.796875" bestFit="1" customWidth="1"/>
    <col min="80" max="80" width="10" bestFit="1" customWidth="1"/>
    <col min="81" max="81" width="7.796875" bestFit="1" customWidth="1"/>
    <col min="82" max="82" width="10" bestFit="1" customWidth="1"/>
    <col min="83" max="83" width="7.796875" bestFit="1" customWidth="1"/>
    <col min="84" max="84" width="10" bestFit="1" customWidth="1"/>
    <col min="85" max="85" width="7.796875" bestFit="1" customWidth="1"/>
    <col min="86" max="86" width="10" bestFit="1" customWidth="1"/>
    <col min="87" max="87" width="7.796875" bestFit="1" customWidth="1"/>
    <col min="88" max="88" width="10" bestFit="1" customWidth="1"/>
    <col min="89" max="89" width="7.796875" bestFit="1" customWidth="1"/>
    <col min="90" max="90" width="10" bestFit="1" customWidth="1"/>
    <col min="91" max="91" width="7.796875" bestFit="1" customWidth="1"/>
    <col min="92" max="92" width="10" bestFit="1" customWidth="1"/>
    <col min="93" max="93" width="7.796875" bestFit="1" customWidth="1"/>
    <col min="94" max="94" width="10" bestFit="1" customWidth="1"/>
    <col min="95" max="95" width="7.796875" bestFit="1" customWidth="1"/>
    <col min="96" max="96" width="10" bestFit="1" customWidth="1"/>
    <col min="97" max="97" width="7.796875" bestFit="1" customWidth="1"/>
    <col min="98" max="98" width="10" bestFit="1" customWidth="1"/>
    <col min="99" max="99" width="7.796875" bestFit="1" customWidth="1"/>
    <col min="100" max="100" width="10" bestFit="1" customWidth="1"/>
    <col min="101" max="101" width="7.796875" bestFit="1" customWidth="1"/>
    <col min="102" max="102" width="10" bestFit="1" customWidth="1"/>
    <col min="103" max="103" width="7.796875" bestFit="1" customWidth="1"/>
    <col min="104" max="104" width="10" bestFit="1" customWidth="1"/>
    <col min="105" max="105" width="7.796875" bestFit="1" customWidth="1"/>
    <col min="106" max="106" width="10" bestFit="1" customWidth="1"/>
    <col min="107" max="107" width="7.796875" bestFit="1" customWidth="1"/>
    <col min="108" max="108" width="10" bestFit="1" customWidth="1"/>
    <col min="109" max="109" width="7.796875" bestFit="1" customWidth="1"/>
    <col min="110" max="110" width="10" bestFit="1" customWidth="1"/>
    <col min="111" max="111" width="7.796875" bestFit="1" customWidth="1"/>
    <col min="112" max="112" width="10" bestFit="1" customWidth="1"/>
    <col min="113" max="113" width="7.796875" bestFit="1" customWidth="1"/>
    <col min="114" max="114" width="10" bestFit="1" customWidth="1"/>
    <col min="115" max="115" width="7.796875" bestFit="1" customWidth="1"/>
    <col min="116" max="116" width="10" bestFit="1" customWidth="1"/>
    <col min="117" max="117" width="7.796875" bestFit="1" customWidth="1"/>
    <col min="118" max="118" width="10" bestFit="1" customWidth="1"/>
    <col min="119" max="119" width="7.796875" bestFit="1" customWidth="1"/>
    <col min="120" max="120" width="10" bestFit="1" customWidth="1"/>
    <col min="121" max="121" width="7.796875" bestFit="1" customWidth="1"/>
    <col min="122" max="122" width="10" bestFit="1" customWidth="1"/>
    <col min="123" max="123" width="7.796875" bestFit="1" customWidth="1"/>
    <col min="124" max="124" width="10" bestFit="1" customWidth="1"/>
    <col min="125" max="125" width="7.796875" bestFit="1" customWidth="1"/>
    <col min="126" max="126" width="10" bestFit="1" customWidth="1"/>
    <col min="127" max="127" width="7.796875" bestFit="1" customWidth="1"/>
    <col min="128" max="128" width="10" bestFit="1" customWidth="1"/>
    <col min="129" max="129" width="7.796875" bestFit="1" customWidth="1"/>
    <col min="130" max="130" width="10" bestFit="1" customWidth="1"/>
    <col min="131" max="131" width="7.796875" bestFit="1" customWidth="1"/>
    <col min="132" max="132" width="10" bestFit="1" customWidth="1"/>
    <col min="133" max="133" width="7.796875" bestFit="1" customWidth="1"/>
    <col min="134" max="134" width="10" bestFit="1" customWidth="1"/>
    <col min="135" max="135" width="7.796875" bestFit="1" customWidth="1"/>
    <col min="136" max="136" width="10" bestFit="1" customWidth="1"/>
    <col min="137" max="137" width="7.796875" bestFit="1" customWidth="1"/>
    <col min="138" max="138" width="10" bestFit="1" customWidth="1"/>
    <col min="139" max="139" width="7.796875" bestFit="1" customWidth="1"/>
    <col min="140" max="140" width="10" bestFit="1" customWidth="1"/>
    <col min="141" max="141" width="7.796875" bestFit="1" customWidth="1"/>
    <col min="142" max="142" width="10" bestFit="1" customWidth="1"/>
    <col min="143" max="143" width="7.796875" bestFit="1" customWidth="1"/>
    <col min="144" max="144" width="10" bestFit="1" customWidth="1"/>
    <col min="145" max="145" width="7.796875" bestFit="1" customWidth="1"/>
    <col min="146" max="146" width="10" bestFit="1" customWidth="1"/>
    <col min="147" max="147" width="7.796875" bestFit="1" customWidth="1"/>
    <col min="148" max="148" width="10" bestFit="1" customWidth="1"/>
    <col min="149" max="149" width="7.796875" bestFit="1" customWidth="1"/>
    <col min="150" max="150" width="10" bestFit="1" customWidth="1"/>
    <col min="151" max="151" width="7.796875" bestFit="1" customWidth="1"/>
    <col min="152" max="152" width="10" bestFit="1" customWidth="1"/>
    <col min="153" max="153" width="7.796875" bestFit="1" customWidth="1"/>
    <col min="154" max="154" width="10" bestFit="1" customWidth="1"/>
    <col min="155" max="155" width="7.796875" bestFit="1" customWidth="1"/>
    <col min="156" max="156" width="10" bestFit="1" customWidth="1"/>
    <col min="157" max="157" width="7.796875" bestFit="1" customWidth="1"/>
    <col min="158" max="158" width="10" bestFit="1" customWidth="1"/>
    <col min="159" max="159" width="7.796875" bestFit="1" customWidth="1"/>
    <col min="160" max="160" width="10" bestFit="1" customWidth="1"/>
    <col min="161" max="161" width="7.796875" bestFit="1" customWidth="1"/>
    <col min="162" max="162" width="10" bestFit="1" customWidth="1"/>
    <col min="163" max="163" width="7.796875" bestFit="1" customWidth="1"/>
    <col min="164" max="164" width="10" bestFit="1" customWidth="1"/>
    <col min="165" max="165" width="7.796875" bestFit="1" customWidth="1"/>
    <col min="166" max="166" width="10" bestFit="1" customWidth="1"/>
    <col min="167" max="167" width="7.796875" bestFit="1" customWidth="1"/>
    <col min="168" max="168" width="10" bestFit="1" customWidth="1"/>
    <col min="169" max="169" width="7.796875" bestFit="1" customWidth="1"/>
    <col min="170" max="170" width="10" bestFit="1" customWidth="1"/>
    <col min="171" max="171" width="7.796875" bestFit="1" customWidth="1"/>
    <col min="172" max="172" width="10" bestFit="1" customWidth="1"/>
    <col min="173" max="173" width="7.796875" bestFit="1" customWidth="1"/>
    <col min="174" max="174" width="10" bestFit="1" customWidth="1"/>
    <col min="175" max="175" width="7.796875" bestFit="1" customWidth="1"/>
    <col min="176" max="176" width="10" bestFit="1" customWidth="1"/>
    <col min="177" max="177" width="7.796875" bestFit="1" customWidth="1"/>
    <col min="178" max="178" width="10" bestFit="1" customWidth="1"/>
    <col min="179" max="179" width="7.796875" bestFit="1" customWidth="1"/>
    <col min="180" max="180" width="10" bestFit="1" customWidth="1"/>
    <col min="181" max="181" width="7.796875" bestFit="1" customWidth="1"/>
    <col min="182" max="182" width="10" bestFit="1" customWidth="1"/>
    <col min="183" max="183" width="7.796875" bestFit="1" customWidth="1"/>
    <col min="184" max="184" width="10" bestFit="1" customWidth="1"/>
    <col min="185" max="185" width="7.796875" bestFit="1" customWidth="1"/>
    <col min="186" max="186" width="10" bestFit="1" customWidth="1"/>
    <col min="187" max="187" width="7.796875" bestFit="1" customWidth="1"/>
    <col min="188" max="188" width="10" bestFit="1" customWidth="1"/>
    <col min="189" max="189" width="7.796875" bestFit="1" customWidth="1"/>
    <col min="190" max="190" width="10" bestFit="1" customWidth="1"/>
    <col min="191" max="191" width="7.796875" bestFit="1" customWidth="1"/>
    <col min="192" max="192" width="10" bestFit="1" customWidth="1"/>
    <col min="193" max="193" width="7.796875" bestFit="1" customWidth="1"/>
    <col min="194" max="194" width="10" bestFit="1" customWidth="1"/>
    <col min="195" max="195" width="7.796875" bestFit="1" customWidth="1"/>
    <col min="196" max="196" width="10" bestFit="1" customWidth="1"/>
    <col min="197" max="197" width="7.796875" bestFit="1" customWidth="1"/>
    <col min="198" max="198" width="10" bestFit="1" customWidth="1"/>
    <col min="199" max="199" width="7.796875" bestFit="1" customWidth="1"/>
    <col min="200" max="200" width="10" bestFit="1" customWidth="1"/>
    <col min="201" max="201" width="7.796875" bestFit="1" customWidth="1"/>
    <col min="202" max="202" width="10" bestFit="1" customWidth="1"/>
    <col min="203" max="203" width="7.796875" bestFit="1" customWidth="1"/>
    <col min="204" max="204" width="10" bestFit="1" customWidth="1"/>
    <col min="205" max="205" width="7.796875" bestFit="1" customWidth="1"/>
    <col min="206" max="206" width="10" bestFit="1" customWidth="1"/>
    <col min="207" max="207" width="7.796875" bestFit="1" customWidth="1"/>
    <col min="208" max="208" width="10" bestFit="1" customWidth="1"/>
    <col min="209" max="209" width="7.796875" bestFit="1" customWidth="1"/>
    <col min="210" max="210" width="10" bestFit="1" customWidth="1"/>
    <col min="211" max="211" width="7.796875" bestFit="1" customWidth="1"/>
    <col min="212" max="212" width="10" bestFit="1" customWidth="1"/>
    <col min="213" max="213" width="7.796875" bestFit="1" customWidth="1"/>
    <col min="214" max="214" width="10" bestFit="1" customWidth="1"/>
    <col min="215" max="215" width="7.796875" bestFit="1" customWidth="1"/>
    <col min="216" max="216" width="10" bestFit="1" customWidth="1"/>
    <col min="217" max="217" width="7.796875" bestFit="1" customWidth="1"/>
    <col min="218" max="218" width="10" bestFit="1" customWidth="1"/>
    <col min="219" max="219" width="7.796875" bestFit="1" customWidth="1"/>
    <col min="220" max="220" width="10" bestFit="1" customWidth="1"/>
    <col min="221" max="221" width="7.796875" bestFit="1" customWidth="1"/>
    <col min="222" max="222" width="10" bestFit="1" customWidth="1"/>
    <col min="223" max="223" width="7.796875" bestFit="1" customWidth="1"/>
    <col min="224" max="224" width="10" bestFit="1" customWidth="1"/>
    <col min="225" max="225" width="7.796875" bestFit="1" customWidth="1"/>
    <col min="226" max="226" width="10" bestFit="1" customWidth="1"/>
    <col min="227" max="227" width="7.796875" bestFit="1" customWidth="1"/>
    <col min="228" max="228" width="10" bestFit="1" customWidth="1"/>
    <col min="229" max="229" width="7.796875" bestFit="1" customWidth="1"/>
    <col min="230" max="230" width="10" bestFit="1" customWidth="1"/>
    <col min="231" max="231" width="7.796875" bestFit="1" customWidth="1"/>
    <col min="232" max="232" width="10" bestFit="1" customWidth="1"/>
    <col min="233" max="233" width="7.796875" bestFit="1" customWidth="1"/>
    <col min="234" max="234" width="10" bestFit="1" customWidth="1"/>
    <col min="235" max="235" width="7.796875" bestFit="1" customWidth="1"/>
    <col min="236" max="236" width="10" bestFit="1" customWidth="1"/>
    <col min="237" max="237" width="7.796875" bestFit="1" customWidth="1"/>
    <col min="238" max="238" width="10" bestFit="1" customWidth="1"/>
    <col min="239" max="239" width="7.796875" bestFit="1" customWidth="1"/>
    <col min="240" max="240" width="10" bestFit="1" customWidth="1"/>
    <col min="241" max="241" width="7.796875" bestFit="1" customWidth="1"/>
    <col min="242" max="242" width="10" bestFit="1" customWidth="1"/>
    <col min="243" max="243" width="7.796875" bestFit="1" customWidth="1"/>
    <col min="244" max="244" width="10" bestFit="1" customWidth="1"/>
    <col min="245" max="245" width="7.796875" bestFit="1" customWidth="1"/>
    <col min="246" max="246" width="10" bestFit="1" customWidth="1"/>
    <col min="247" max="247" width="7.796875" bestFit="1" customWidth="1"/>
    <col min="248" max="248" width="10" bestFit="1" customWidth="1"/>
    <col min="249" max="249" width="7.796875" bestFit="1" customWidth="1"/>
    <col min="250" max="250" width="10" bestFit="1" customWidth="1"/>
    <col min="251" max="251" width="7.796875" bestFit="1" customWidth="1"/>
    <col min="252" max="252" width="10" bestFit="1" customWidth="1"/>
    <col min="253" max="253" width="7.796875" bestFit="1" customWidth="1"/>
    <col min="254" max="254" width="10" bestFit="1" customWidth="1"/>
    <col min="255" max="255" width="7.796875" bestFit="1" customWidth="1"/>
    <col min="256" max="256" width="10" bestFit="1" customWidth="1"/>
    <col min="257" max="257" width="7.796875" bestFit="1" customWidth="1"/>
    <col min="258" max="258" width="10" bestFit="1" customWidth="1"/>
    <col min="259" max="259" width="7.796875" bestFit="1" customWidth="1"/>
    <col min="260" max="260" width="10" bestFit="1" customWidth="1"/>
    <col min="261" max="261" width="7.796875" bestFit="1" customWidth="1"/>
    <col min="262" max="262" width="10" bestFit="1" customWidth="1"/>
    <col min="263" max="263" width="7.796875" bestFit="1" customWidth="1"/>
    <col min="264" max="264" width="10" bestFit="1" customWidth="1"/>
    <col min="265" max="265" width="7.796875" bestFit="1" customWidth="1"/>
    <col min="266" max="266" width="10" bestFit="1" customWidth="1"/>
    <col min="267" max="267" width="7.796875" bestFit="1" customWidth="1"/>
    <col min="268" max="268" width="10" bestFit="1" customWidth="1"/>
    <col min="269" max="269" width="7.796875" bestFit="1" customWidth="1"/>
    <col min="270" max="270" width="10" bestFit="1" customWidth="1"/>
    <col min="271" max="271" width="7.796875" bestFit="1" customWidth="1"/>
    <col min="272" max="272" width="10" bestFit="1" customWidth="1"/>
    <col min="273" max="273" width="7.796875" bestFit="1" customWidth="1"/>
    <col min="274" max="274" width="10" bestFit="1" customWidth="1"/>
    <col min="275" max="275" width="7.796875" bestFit="1" customWidth="1"/>
    <col min="276" max="276" width="10" bestFit="1" customWidth="1"/>
    <col min="277" max="277" width="7.796875" bestFit="1" customWidth="1"/>
    <col min="278" max="278" width="10" bestFit="1" customWidth="1"/>
    <col min="279" max="279" width="7.796875" bestFit="1" customWidth="1"/>
    <col min="280" max="280" width="10" bestFit="1" customWidth="1"/>
    <col min="281" max="281" width="7.796875" bestFit="1" customWidth="1"/>
    <col min="282" max="282" width="10" bestFit="1" customWidth="1"/>
    <col min="283" max="283" width="7.796875" bestFit="1" customWidth="1"/>
    <col min="284" max="284" width="10" bestFit="1" customWidth="1"/>
    <col min="285" max="285" width="7.796875" bestFit="1" customWidth="1"/>
    <col min="286" max="286" width="10" bestFit="1" customWidth="1"/>
    <col min="287" max="287" width="7.796875" bestFit="1" customWidth="1"/>
    <col min="288" max="288" width="10" bestFit="1" customWidth="1"/>
    <col min="289" max="289" width="7.796875" bestFit="1" customWidth="1"/>
    <col min="290" max="290" width="10" bestFit="1" customWidth="1"/>
    <col min="291" max="291" width="7.796875" bestFit="1" customWidth="1"/>
    <col min="292" max="292" width="10" bestFit="1" customWidth="1"/>
    <col min="293" max="293" width="7.796875" bestFit="1" customWidth="1"/>
    <col min="294" max="294" width="10" bestFit="1" customWidth="1"/>
    <col min="295" max="295" width="7.796875" bestFit="1" customWidth="1"/>
    <col min="296" max="296" width="10" bestFit="1" customWidth="1"/>
    <col min="297" max="297" width="7.796875" bestFit="1" customWidth="1"/>
    <col min="298" max="298" width="10" bestFit="1" customWidth="1"/>
    <col min="299" max="299" width="7.796875" bestFit="1" customWidth="1"/>
    <col min="300" max="300" width="10" bestFit="1" customWidth="1"/>
    <col min="301" max="301" width="7.796875" bestFit="1" customWidth="1"/>
    <col min="302" max="302" width="10" bestFit="1" customWidth="1"/>
    <col min="303" max="303" width="7.796875" bestFit="1" customWidth="1"/>
    <col min="304" max="304" width="10" bestFit="1" customWidth="1"/>
    <col min="305" max="305" width="7.796875" bestFit="1" customWidth="1"/>
    <col min="306" max="306" width="10" bestFit="1" customWidth="1"/>
    <col min="307" max="307" width="7.796875" bestFit="1" customWidth="1"/>
    <col min="308" max="308" width="10" bestFit="1" customWidth="1"/>
    <col min="309" max="309" width="7.796875" bestFit="1" customWidth="1"/>
    <col min="310" max="310" width="10" bestFit="1" customWidth="1"/>
    <col min="311" max="311" width="7.796875" bestFit="1" customWidth="1"/>
    <col min="312" max="312" width="10" bestFit="1" customWidth="1"/>
    <col min="313" max="313" width="7.796875" bestFit="1" customWidth="1"/>
    <col min="314" max="314" width="10" bestFit="1" customWidth="1"/>
    <col min="315" max="315" width="7.796875" bestFit="1" customWidth="1"/>
    <col min="316" max="316" width="10" bestFit="1" customWidth="1"/>
    <col min="317" max="317" width="7.796875" bestFit="1" customWidth="1"/>
    <col min="318" max="318" width="10" bestFit="1" customWidth="1"/>
    <col min="319" max="319" width="7.796875" bestFit="1" customWidth="1"/>
    <col min="320" max="320" width="10" bestFit="1" customWidth="1"/>
    <col min="321" max="321" width="7.796875" bestFit="1" customWidth="1"/>
    <col min="322" max="322" width="10" bestFit="1" customWidth="1"/>
    <col min="323" max="323" width="7.796875" bestFit="1" customWidth="1"/>
    <col min="324" max="324" width="10" bestFit="1" customWidth="1"/>
    <col min="325" max="325" width="7.796875" bestFit="1" customWidth="1"/>
    <col min="326" max="326" width="10" bestFit="1" customWidth="1"/>
    <col min="327" max="327" width="7.796875" bestFit="1" customWidth="1"/>
    <col min="328" max="328" width="10" bestFit="1" customWidth="1"/>
    <col min="329" max="329" width="7.796875" bestFit="1" customWidth="1"/>
    <col min="330" max="330" width="10" bestFit="1" customWidth="1"/>
    <col min="331" max="331" width="7.796875" bestFit="1" customWidth="1"/>
    <col min="332" max="332" width="10" bestFit="1" customWidth="1"/>
    <col min="333" max="333" width="7.796875" bestFit="1" customWidth="1"/>
    <col min="334" max="334" width="10" bestFit="1" customWidth="1"/>
    <col min="335" max="335" width="7.796875" bestFit="1" customWidth="1"/>
    <col min="336" max="336" width="10" bestFit="1" customWidth="1"/>
    <col min="337" max="337" width="7.796875" bestFit="1" customWidth="1"/>
    <col min="338" max="338" width="10" bestFit="1" customWidth="1"/>
    <col min="339" max="339" width="7.796875" bestFit="1" customWidth="1"/>
    <col min="340" max="340" width="10" bestFit="1" customWidth="1"/>
    <col min="341" max="341" width="7.796875" bestFit="1" customWidth="1"/>
    <col min="342" max="342" width="10" bestFit="1" customWidth="1"/>
    <col min="343" max="343" width="7.796875" bestFit="1" customWidth="1"/>
    <col min="344" max="344" width="10" bestFit="1" customWidth="1"/>
    <col min="345" max="345" width="7.796875" bestFit="1" customWidth="1"/>
    <col min="346" max="346" width="10" bestFit="1" customWidth="1"/>
    <col min="347" max="347" width="7.796875" bestFit="1" customWidth="1"/>
    <col min="348" max="348" width="10" bestFit="1" customWidth="1"/>
    <col min="349" max="349" width="7.796875" bestFit="1" customWidth="1"/>
    <col min="350" max="350" width="10" bestFit="1" customWidth="1"/>
    <col min="351" max="351" width="7.796875" bestFit="1" customWidth="1"/>
    <col min="352" max="352" width="10" bestFit="1" customWidth="1"/>
    <col min="353" max="353" width="7.796875" bestFit="1" customWidth="1"/>
    <col min="354" max="354" width="10" bestFit="1" customWidth="1"/>
    <col min="355" max="355" width="7.796875" bestFit="1" customWidth="1"/>
    <col min="356" max="356" width="10" bestFit="1" customWidth="1"/>
    <col min="357" max="357" width="7.796875" bestFit="1" customWidth="1"/>
    <col min="358" max="358" width="10" bestFit="1" customWidth="1"/>
    <col min="359" max="359" width="7.796875" bestFit="1" customWidth="1"/>
    <col min="360" max="360" width="10" bestFit="1" customWidth="1"/>
    <col min="361" max="361" width="7.796875" bestFit="1" customWidth="1"/>
    <col min="362" max="362" width="10" bestFit="1" customWidth="1"/>
    <col min="363" max="363" width="7.796875" bestFit="1" customWidth="1"/>
    <col min="364" max="364" width="10" bestFit="1" customWidth="1"/>
    <col min="365" max="365" width="7.796875" bestFit="1" customWidth="1"/>
    <col min="366" max="366" width="10" bestFit="1" customWidth="1"/>
    <col min="367" max="367" width="7.796875" bestFit="1" customWidth="1"/>
    <col min="368" max="368" width="10" bestFit="1" customWidth="1"/>
    <col min="369" max="369" width="7.796875" bestFit="1" customWidth="1"/>
    <col min="370" max="370" width="10" bestFit="1" customWidth="1"/>
    <col min="371" max="371" width="7.796875" bestFit="1" customWidth="1"/>
    <col min="372" max="372" width="10" bestFit="1" customWidth="1"/>
    <col min="373" max="373" width="7.796875" bestFit="1" customWidth="1"/>
    <col min="374" max="374" width="10" bestFit="1" customWidth="1"/>
    <col min="375" max="375" width="7.796875" bestFit="1" customWidth="1"/>
    <col min="376" max="376" width="10" bestFit="1" customWidth="1"/>
    <col min="377" max="377" width="7.796875" bestFit="1" customWidth="1"/>
    <col min="378" max="378" width="10" bestFit="1" customWidth="1"/>
    <col min="379" max="379" width="7.796875" bestFit="1" customWidth="1"/>
    <col min="380" max="380" width="10" bestFit="1" customWidth="1"/>
    <col min="381" max="381" width="7.796875" bestFit="1" customWidth="1"/>
    <col min="382" max="382" width="10" bestFit="1" customWidth="1"/>
    <col min="383" max="383" width="7.796875" bestFit="1" customWidth="1"/>
    <col min="384" max="384" width="10" bestFit="1" customWidth="1"/>
    <col min="385" max="385" width="7.796875" bestFit="1" customWidth="1"/>
    <col min="386" max="386" width="10" bestFit="1" customWidth="1"/>
    <col min="387" max="387" width="7.796875" bestFit="1" customWidth="1"/>
    <col min="388" max="388" width="10" bestFit="1" customWidth="1"/>
    <col min="389" max="389" width="7.796875" bestFit="1" customWidth="1"/>
    <col min="390" max="390" width="10" bestFit="1" customWidth="1"/>
    <col min="391" max="391" width="7.796875" bestFit="1" customWidth="1"/>
    <col min="392" max="392" width="10" bestFit="1" customWidth="1"/>
    <col min="393" max="393" width="7.796875" bestFit="1" customWidth="1"/>
    <col min="394" max="394" width="10" bestFit="1" customWidth="1"/>
    <col min="395" max="395" width="7.796875" bestFit="1" customWidth="1"/>
    <col min="396" max="396" width="10" bestFit="1" customWidth="1"/>
    <col min="397" max="397" width="7.796875" bestFit="1" customWidth="1"/>
    <col min="398" max="398" width="10" bestFit="1" customWidth="1"/>
    <col min="399" max="399" width="7.796875" bestFit="1" customWidth="1"/>
    <col min="400" max="400" width="10" bestFit="1" customWidth="1"/>
    <col min="401" max="401" width="7.796875" bestFit="1" customWidth="1"/>
    <col min="402" max="402" width="10" bestFit="1" customWidth="1"/>
    <col min="403" max="403" width="7.796875" bestFit="1" customWidth="1"/>
    <col min="404" max="404" width="10" bestFit="1" customWidth="1"/>
    <col min="405" max="405" width="7.796875" bestFit="1" customWidth="1"/>
    <col min="406" max="406" width="10" bestFit="1" customWidth="1"/>
    <col min="407" max="407" width="7.796875" bestFit="1" customWidth="1"/>
    <col min="408" max="408" width="10" bestFit="1" customWidth="1"/>
    <col min="409" max="409" width="7.796875" bestFit="1" customWidth="1"/>
    <col min="410" max="410" width="10" bestFit="1" customWidth="1"/>
    <col min="411" max="411" width="7.796875" bestFit="1" customWidth="1"/>
    <col min="412" max="412" width="10" bestFit="1" customWidth="1"/>
    <col min="413" max="413" width="7.796875" bestFit="1" customWidth="1"/>
    <col min="414" max="414" width="10" bestFit="1" customWidth="1"/>
    <col min="415" max="415" width="7.796875" bestFit="1" customWidth="1"/>
    <col min="416" max="416" width="10" bestFit="1" customWidth="1"/>
    <col min="417" max="417" width="7.796875" bestFit="1" customWidth="1"/>
    <col min="418" max="418" width="10" bestFit="1" customWidth="1"/>
    <col min="419" max="419" width="7.796875" bestFit="1" customWidth="1"/>
    <col min="420" max="420" width="10" bestFit="1" customWidth="1"/>
    <col min="421" max="421" width="7.796875" bestFit="1" customWidth="1"/>
    <col min="422" max="422" width="10" bestFit="1" customWidth="1"/>
    <col min="423" max="423" width="7.796875" bestFit="1" customWidth="1"/>
    <col min="424" max="424" width="10" bestFit="1" customWidth="1"/>
    <col min="425" max="425" width="7.796875" bestFit="1" customWidth="1"/>
    <col min="426" max="426" width="10" bestFit="1" customWidth="1"/>
    <col min="427" max="427" width="7.796875" bestFit="1" customWidth="1"/>
    <col min="428" max="428" width="10" bestFit="1" customWidth="1"/>
    <col min="429" max="429" width="7.796875" bestFit="1" customWidth="1"/>
    <col min="430" max="430" width="10" bestFit="1" customWidth="1"/>
    <col min="431" max="431" width="7.796875" bestFit="1" customWidth="1"/>
    <col min="432" max="432" width="10" bestFit="1" customWidth="1"/>
    <col min="433" max="433" width="7.796875" bestFit="1" customWidth="1"/>
    <col min="434" max="434" width="10" bestFit="1" customWidth="1"/>
    <col min="435" max="435" width="7.796875" bestFit="1" customWidth="1"/>
    <col min="436" max="436" width="10" bestFit="1" customWidth="1"/>
    <col min="437" max="437" width="7.796875" bestFit="1" customWidth="1"/>
    <col min="438" max="438" width="10" bestFit="1" customWidth="1"/>
    <col min="439" max="439" width="7.796875" bestFit="1" customWidth="1"/>
    <col min="440" max="440" width="10" bestFit="1" customWidth="1"/>
    <col min="441" max="441" width="7.796875" bestFit="1" customWidth="1"/>
    <col min="442" max="442" width="10" bestFit="1" customWidth="1"/>
    <col min="443" max="443" width="7.796875" bestFit="1" customWidth="1"/>
    <col min="444" max="444" width="10" bestFit="1" customWidth="1"/>
    <col min="445" max="445" width="7.796875" bestFit="1" customWidth="1"/>
    <col min="446" max="446" width="10" bestFit="1" customWidth="1"/>
    <col min="447" max="447" width="7.796875" bestFit="1" customWidth="1"/>
    <col min="448" max="448" width="10" bestFit="1" customWidth="1"/>
    <col min="449" max="449" width="7.796875" bestFit="1" customWidth="1"/>
    <col min="450" max="450" width="10" bestFit="1" customWidth="1"/>
    <col min="451" max="451" width="7.796875" bestFit="1" customWidth="1"/>
    <col min="452" max="452" width="10" bestFit="1" customWidth="1"/>
    <col min="453" max="453" width="7.796875" bestFit="1" customWidth="1"/>
    <col min="454" max="454" width="10" bestFit="1" customWidth="1"/>
    <col min="455" max="455" width="7.796875" bestFit="1" customWidth="1"/>
    <col min="456" max="456" width="10" bestFit="1" customWidth="1"/>
    <col min="457" max="457" width="7.796875" bestFit="1" customWidth="1"/>
    <col min="458" max="458" width="10" bestFit="1" customWidth="1"/>
    <col min="459" max="459" width="7.796875" bestFit="1" customWidth="1"/>
    <col min="460" max="460" width="10" bestFit="1" customWidth="1"/>
    <col min="461" max="461" width="7.796875" bestFit="1" customWidth="1"/>
    <col min="462" max="462" width="10" bestFit="1" customWidth="1"/>
    <col min="463" max="463" width="7.796875" bestFit="1" customWidth="1"/>
    <col min="464" max="464" width="10" bestFit="1" customWidth="1"/>
    <col min="465" max="465" width="7.796875" bestFit="1" customWidth="1"/>
    <col min="466" max="466" width="10" bestFit="1" customWidth="1"/>
    <col min="467" max="467" width="7.796875" bestFit="1" customWidth="1"/>
    <col min="468" max="468" width="10" bestFit="1" customWidth="1"/>
    <col min="469" max="469" width="7.796875" bestFit="1" customWidth="1"/>
    <col min="470" max="470" width="10" bestFit="1" customWidth="1"/>
    <col min="471" max="471" width="7.796875" bestFit="1" customWidth="1"/>
    <col min="472" max="472" width="10" bestFit="1" customWidth="1"/>
    <col min="473" max="473" width="7.796875" bestFit="1" customWidth="1"/>
    <col min="474" max="474" width="10" bestFit="1" customWidth="1"/>
    <col min="475" max="475" width="7.796875" bestFit="1" customWidth="1"/>
    <col min="476" max="476" width="10" bestFit="1" customWidth="1"/>
    <col min="477" max="477" width="7.796875" bestFit="1" customWidth="1"/>
    <col min="478" max="478" width="10" bestFit="1" customWidth="1"/>
    <col min="479" max="479" width="7.796875" bestFit="1" customWidth="1"/>
    <col min="480" max="480" width="10" bestFit="1" customWidth="1"/>
    <col min="481" max="481" width="7.796875" bestFit="1" customWidth="1"/>
    <col min="482" max="482" width="10" bestFit="1" customWidth="1"/>
    <col min="483" max="483" width="7.796875" bestFit="1" customWidth="1"/>
    <col min="484" max="484" width="10" bestFit="1" customWidth="1"/>
    <col min="485" max="485" width="7.796875" bestFit="1" customWidth="1"/>
    <col min="486" max="486" width="10" bestFit="1" customWidth="1"/>
    <col min="487" max="487" width="7.796875" bestFit="1" customWidth="1"/>
    <col min="488" max="488" width="10" bestFit="1" customWidth="1"/>
    <col min="489" max="489" width="7.796875" bestFit="1" customWidth="1"/>
    <col min="490" max="490" width="10" bestFit="1" customWidth="1"/>
    <col min="491" max="491" width="7.796875" bestFit="1" customWidth="1"/>
    <col min="492" max="492" width="10" bestFit="1" customWidth="1"/>
    <col min="493" max="493" width="7.796875" bestFit="1" customWidth="1"/>
    <col min="494" max="494" width="10" bestFit="1" customWidth="1"/>
    <col min="495" max="495" width="7.796875" bestFit="1" customWidth="1"/>
    <col min="496" max="496" width="10" bestFit="1" customWidth="1"/>
    <col min="497" max="497" width="7.796875" bestFit="1" customWidth="1"/>
    <col min="498" max="498" width="10" bestFit="1" customWidth="1"/>
    <col min="499" max="499" width="7.796875" bestFit="1" customWidth="1"/>
    <col min="500" max="500" width="10" bestFit="1" customWidth="1"/>
    <col min="501" max="501" width="7.796875" bestFit="1" customWidth="1"/>
    <col min="502" max="502" width="10" bestFit="1" customWidth="1"/>
    <col min="503" max="503" width="7.796875" bestFit="1" customWidth="1"/>
    <col min="504" max="504" width="10" bestFit="1" customWidth="1"/>
    <col min="505" max="505" width="7.796875" bestFit="1" customWidth="1"/>
    <col min="506" max="506" width="10" bestFit="1" customWidth="1"/>
    <col min="507" max="507" width="7.796875" bestFit="1" customWidth="1"/>
    <col min="508" max="508" width="10" bestFit="1" customWidth="1"/>
    <col min="509" max="509" width="7.796875" bestFit="1" customWidth="1"/>
    <col min="510" max="510" width="10" bestFit="1" customWidth="1"/>
    <col min="511" max="511" width="7.796875" bestFit="1" customWidth="1"/>
    <col min="512" max="512" width="10" bestFit="1" customWidth="1"/>
    <col min="513" max="513" width="7.796875" bestFit="1" customWidth="1"/>
    <col min="514" max="514" width="10" bestFit="1" customWidth="1"/>
    <col min="515" max="515" width="7.796875" bestFit="1" customWidth="1"/>
    <col min="516" max="516" width="10" bestFit="1" customWidth="1"/>
    <col min="517" max="517" width="7.796875" bestFit="1" customWidth="1"/>
    <col min="518" max="518" width="10" bestFit="1" customWidth="1"/>
    <col min="519" max="519" width="7.796875" bestFit="1" customWidth="1"/>
    <col min="520" max="520" width="10" bestFit="1" customWidth="1"/>
    <col min="521" max="521" width="7.796875" bestFit="1" customWidth="1"/>
    <col min="522" max="522" width="10" bestFit="1" customWidth="1"/>
    <col min="523" max="523" width="7.796875" bestFit="1" customWidth="1"/>
    <col min="524" max="524" width="10" bestFit="1" customWidth="1"/>
    <col min="525" max="525" width="7.796875" bestFit="1" customWidth="1"/>
    <col min="526" max="526" width="10" bestFit="1" customWidth="1"/>
    <col min="527" max="527" width="7.796875" bestFit="1" customWidth="1"/>
    <col min="528" max="528" width="10" bestFit="1" customWidth="1"/>
    <col min="529" max="529" width="7.796875" bestFit="1" customWidth="1"/>
    <col min="530" max="530" width="10" bestFit="1" customWidth="1"/>
    <col min="531" max="531" width="7.796875" bestFit="1" customWidth="1"/>
    <col min="532" max="532" width="10" bestFit="1" customWidth="1"/>
    <col min="533" max="533" width="7.796875" bestFit="1" customWidth="1"/>
    <col min="534" max="534" width="10" bestFit="1" customWidth="1"/>
    <col min="535" max="535" width="7.796875" bestFit="1" customWidth="1"/>
    <col min="536" max="536" width="10" bestFit="1" customWidth="1"/>
    <col min="537" max="537" width="7.796875" bestFit="1" customWidth="1"/>
    <col min="538" max="538" width="10" bestFit="1" customWidth="1"/>
    <col min="539" max="539" width="7.796875" bestFit="1" customWidth="1"/>
    <col min="540" max="540" width="10" bestFit="1" customWidth="1"/>
    <col min="541" max="541" width="7.796875" bestFit="1" customWidth="1"/>
    <col min="542" max="542" width="10" bestFit="1" customWidth="1"/>
    <col min="543" max="543" width="7.796875" bestFit="1" customWidth="1"/>
    <col min="544" max="544" width="10" bestFit="1" customWidth="1"/>
    <col min="545" max="545" width="7.796875" bestFit="1" customWidth="1"/>
    <col min="546" max="546" width="10" bestFit="1" customWidth="1"/>
    <col min="547" max="547" width="7.796875" bestFit="1" customWidth="1"/>
    <col min="548" max="548" width="10" bestFit="1" customWidth="1"/>
    <col min="549" max="549" width="7.796875" bestFit="1" customWidth="1"/>
    <col min="550" max="550" width="10" bestFit="1" customWidth="1"/>
    <col min="551" max="551" width="7.796875" bestFit="1" customWidth="1"/>
    <col min="552" max="552" width="10" bestFit="1" customWidth="1"/>
    <col min="553" max="553" width="7.796875" bestFit="1" customWidth="1"/>
    <col min="554" max="554" width="10" bestFit="1" customWidth="1"/>
    <col min="555" max="555" width="7.796875" bestFit="1" customWidth="1"/>
    <col min="556" max="556" width="10" bestFit="1" customWidth="1"/>
    <col min="557" max="557" width="7.796875" bestFit="1" customWidth="1"/>
    <col min="558" max="558" width="10" bestFit="1" customWidth="1"/>
    <col min="559" max="559" width="7.796875" bestFit="1" customWidth="1"/>
    <col min="560" max="560" width="10" bestFit="1" customWidth="1"/>
    <col min="561" max="561" width="7.796875" bestFit="1" customWidth="1"/>
    <col min="562" max="562" width="10" bestFit="1" customWidth="1"/>
    <col min="563" max="563" width="7.796875" bestFit="1" customWidth="1"/>
    <col min="564" max="564" width="10" bestFit="1" customWidth="1"/>
    <col min="565" max="565" width="7.796875" bestFit="1" customWidth="1"/>
    <col min="566" max="566" width="10" bestFit="1" customWidth="1"/>
    <col min="567" max="567" width="7.796875" bestFit="1" customWidth="1"/>
    <col min="568" max="568" width="10" bestFit="1" customWidth="1"/>
    <col min="569" max="569" width="7.796875" bestFit="1" customWidth="1"/>
    <col min="570" max="570" width="10" bestFit="1" customWidth="1"/>
    <col min="571" max="571" width="7.796875" bestFit="1" customWidth="1"/>
    <col min="572" max="572" width="10" bestFit="1" customWidth="1"/>
    <col min="573" max="573" width="7.796875" bestFit="1" customWidth="1"/>
    <col min="574" max="574" width="10" bestFit="1" customWidth="1"/>
    <col min="575" max="575" width="7.796875" bestFit="1" customWidth="1"/>
    <col min="576" max="576" width="10" bestFit="1" customWidth="1"/>
    <col min="577" max="577" width="7.796875" bestFit="1" customWidth="1"/>
    <col min="578" max="578" width="10" bestFit="1" customWidth="1"/>
    <col min="579" max="579" width="7.796875" bestFit="1" customWidth="1"/>
    <col min="580" max="580" width="10" bestFit="1" customWidth="1"/>
    <col min="581" max="581" width="7.796875" bestFit="1" customWidth="1"/>
    <col min="582" max="582" width="10" bestFit="1" customWidth="1"/>
    <col min="583" max="583" width="7.796875" bestFit="1" customWidth="1"/>
    <col min="584" max="584" width="10" bestFit="1" customWidth="1"/>
    <col min="585" max="585" width="7.796875" bestFit="1" customWidth="1"/>
    <col min="586" max="586" width="10" bestFit="1" customWidth="1"/>
    <col min="587" max="587" width="7.796875" bestFit="1" customWidth="1"/>
    <col min="588" max="588" width="10" bestFit="1" customWidth="1"/>
    <col min="589" max="589" width="7.796875" bestFit="1" customWidth="1"/>
    <col min="590" max="590" width="10" bestFit="1" customWidth="1"/>
    <col min="591" max="591" width="7.796875" bestFit="1" customWidth="1"/>
    <col min="592" max="592" width="10" bestFit="1" customWidth="1"/>
    <col min="593" max="593" width="7.796875" bestFit="1" customWidth="1"/>
    <col min="594" max="594" width="10" bestFit="1" customWidth="1"/>
    <col min="595" max="595" width="7.796875" bestFit="1" customWidth="1"/>
    <col min="596" max="596" width="10" bestFit="1" customWidth="1"/>
    <col min="597" max="597" width="7.796875" bestFit="1" customWidth="1"/>
    <col min="598" max="598" width="10" bestFit="1" customWidth="1"/>
    <col min="599" max="599" width="7.796875" bestFit="1" customWidth="1"/>
    <col min="600" max="600" width="10" bestFit="1" customWidth="1"/>
    <col min="601" max="601" width="7.796875" bestFit="1" customWidth="1"/>
    <col min="602" max="602" width="10" bestFit="1" customWidth="1"/>
    <col min="603" max="603" width="7.796875" bestFit="1" customWidth="1"/>
    <col min="604" max="604" width="10" bestFit="1" customWidth="1"/>
    <col min="605" max="605" width="7.796875" bestFit="1" customWidth="1"/>
    <col min="606" max="606" width="10" bestFit="1" customWidth="1"/>
    <col min="607" max="607" width="7.796875" bestFit="1" customWidth="1"/>
    <col min="608" max="608" width="10" bestFit="1" customWidth="1"/>
    <col min="609" max="609" width="7.796875" bestFit="1" customWidth="1"/>
    <col min="610" max="610" width="10" bestFit="1" customWidth="1"/>
    <col min="611" max="611" width="7.796875" bestFit="1" customWidth="1"/>
    <col min="612" max="612" width="10" bestFit="1" customWidth="1"/>
    <col min="613" max="613" width="7.796875" bestFit="1" customWidth="1"/>
    <col min="614" max="614" width="10" bestFit="1" customWidth="1"/>
    <col min="615" max="615" width="7.796875" bestFit="1" customWidth="1"/>
    <col min="616" max="616" width="10" bestFit="1" customWidth="1"/>
    <col min="617" max="617" width="7.796875" bestFit="1" customWidth="1"/>
    <col min="618" max="618" width="10" bestFit="1" customWidth="1"/>
    <col min="619" max="619" width="7.796875" bestFit="1" customWidth="1"/>
    <col min="620" max="620" width="10" bestFit="1" customWidth="1"/>
    <col min="621" max="621" width="7.796875" bestFit="1" customWidth="1"/>
    <col min="622" max="622" width="10" bestFit="1" customWidth="1"/>
    <col min="623" max="623" width="7.796875" bestFit="1" customWidth="1"/>
    <col min="624" max="624" width="10" bestFit="1" customWidth="1"/>
    <col min="625" max="625" width="7.796875" bestFit="1" customWidth="1"/>
    <col min="626" max="626" width="10" bestFit="1" customWidth="1"/>
    <col min="627" max="627" width="7.796875" bestFit="1" customWidth="1"/>
    <col min="628" max="628" width="10" bestFit="1" customWidth="1"/>
    <col min="629" max="629" width="7.796875" bestFit="1" customWidth="1"/>
    <col min="630" max="630" width="10" bestFit="1" customWidth="1"/>
    <col min="631" max="631" width="7.796875" bestFit="1" customWidth="1"/>
    <col min="632" max="632" width="10" bestFit="1" customWidth="1"/>
    <col min="633" max="633" width="7.796875" bestFit="1" customWidth="1"/>
    <col min="634" max="634" width="10" bestFit="1" customWidth="1"/>
    <col min="635" max="635" width="7.796875" bestFit="1" customWidth="1"/>
    <col min="636" max="636" width="10" bestFit="1" customWidth="1"/>
    <col min="637" max="637" width="7.796875" bestFit="1" customWidth="1"/>
    <col min="638" max="638" width="10" bestFit="1" customWidth="1"/>
    <col min="639" max="639" width="7.796875" bestFit="1" customWidth="1"/>
    <col min="640" max="640" width="10" bestFit="1" customWidth="1"/>
    <col min="641" max="641" width="7.796875" bestFit="1" customWidth="1"/>
    <col min="642" max="642" width="10" bestFit="1" customWidth="1"/>
    <col min="643" max="643" width="7.796875" bestFit="1" customWidth="1"/>
    <col min="644" max="644" width="10" bestFit="1" customWidth="1"/>
    <col min="645" max="645" width="7.796875" bestFit="1" customWidth="1"/>
    <col min="646" max="646" width="10" bestFit="1" customWidth="1"/>
    <col min="647" max="647" width="7.796875" bestFit="1" customWidth="1"/>
    <col min="648" max="648" width="10" bestFit="1" customWidth="1"/>
    <col min="649" max="649" width="7.796875" bestFit="1" customWidth="1"/>
    <col min="650" max="650" width="10" bestFit="1" customWidth="1"/>
    <col min="651" max="651" width="7.796875" bestFit="1" customWidth="1"/>
    <col min="652" max="652" width="10" bestFit="1" customWidth="1"/>
    <col min="653" max="653" width="7.796875" bestFit="1" customWidth="1"/>
    <col min="654" max="654" width="10" bestFit="1" customWidth="1"/>
    <col min="655" max="655" width="7.796875" bestFit="1" customWidth="1"/>
    <col min="656" max="656" width="10" bestFit="1" customWidth="1"/>
    <col min="657" max="657" width="7.796875" bestFit="1" customWidth="1"/>
    <col min="658" max="658" width="10" bestFit="1" customWidth="1"/>
    <col min="659" max="659" width="7.796875" bestFit="1" customWidth="1"/>
    <col min="660" max="660" width="10" bestFit="1" customWidth="1"/>
    <col min="661" max="661" width="7.796875" bestFit="1" customWidth="1"/>
    <col min="662" max="662" width="10" bestFit="1" customWidth="1"/>
    <col min="663" max="663" width="7.796875" bestFit="1" customWidth="1"/>
    <col min="664" max="664" width="10" bestFit="1" customWidth="1"/>
    <col min="665" max="665" width="7.796875" bestFit="1" customWidth="1"/>
    <col min="666" max="666" width="10" bestFit="1" customWidth="1"/>
    <col min="667" max="667" width="7.796875" bestFit="1" customWidth="1"/>
    <col min="668" max="668" width="10" bestFit="1" customWidth="1"/>
    <col min="669" max="669" width="7.796875" bestFit="1" customWidth="1"/>
    <col min="670" max="670" width="10" bestFit="1" customWidth="1"/>
    <col min="671" max="671" width="7.796875" bestFit="1" customWidth="1"/>
    <col min="672" max="672" width="10" bestFit="1" customWidth="1"/>
    <col min="673" max="673" width="7.796875" bestFit="1" customWidth="1"/>
    <col min="674" max="674" width="10" bestFit="1" customWidth="1"/>
    <col min="675" max="675" width="7.796875" bestFit="1" customWidth="1"/>
    <col min="676" max="676" width="10" bestFit="1" customWidth="1"/>
    <col min="677" max="677" width="7.796875" bestFit="1" customWidth="1"/>
    <col min="678" max="678" width="10" bestFit="1" customWidth="1"/>
    <col min="679" max="679" width="7.796875" bestFit="1" customWidth="1"/>
    <col min="680" max="680" width="10" bestFit="1" customWidth="1"/>
    <col min="681" max="681" width="7.796875" bestFit="1" customWidth="1"/>
    <col min="682" max="682" width="10" bestFit="1" customWidth="1"/>
    <col min="683" max="683" width="7.796875" bestFit="1" customWidth="1"/>
    <col min="684" max="684" width="10" bestFit="1" customWidth="1"/>
    <col min="685" max="685" width="7.796875" bestFit="1" customWidth="1"/>
    <col min="686" max="686" width="10" bestFit="1" customWidth="1"/>
    <col min="687" max="687" width="7.796875" bestFit="1" customWidth="1"/>
    <col min="688" max="688" width="10" bestFit="1" customWidth="1"/>
    <col min="689" max="689" width="7.796875" bestFit="1" customWidth="1"/>
    <col min="690" max="690" width="10" bestFit="1" customWidth="1"/>
    <col min="691" max="691" width="7.796875" bestFit="1" customWidth="1"/>
    <col min="692" max="692" width="10" bestFit="1" customWidth="1"/>
    <col min="693" max="693" width="7.796875" bestFit="1" customWidth="1"/>
    <col min="694" max="694" width="10" bestFit="1" customWidth="1"/>
    <col min="695" max="695" width="7.796875" bestFit="1" customWidth="1"/>
    <col min="696" max="696" width="10" bestFit="1" customWidth="1"/>
    <col min="697" max="697" width="7.796875" bestFit="1" customWidth="1"/>
    <col min="698" max="698" width="10" bestFit="1" customWidth="1"/>
    <col min="699" max="699" width="7.796875" bestFit="1" customWidth="1"/>
    <col min="700" max="700" width="10" bestFit="1" customWidth="1"/>
    <col min="701" max="701" width="7.796875" bestFit="1" customWidth="1"/>
    <col min="702" max="702" width="10" bestFit="1" customWidth="1"/>
    <col min="703" max="703" width="7.796875" bestFit="1" customWidth="1"/>
    <col min="704" max="704" width="10" bestFit="1" customWidth="1"/>
    <col min="705" max="705" width="7.796875" bestFit="1" customWidth="1"/>
    <col min="706" max="706" width="10" bestFit="1" customWidth="1"/>
    <col min="707" max="707" width="7.796875" bestFit="1" customWidth="1"/>
    <col min="708" max="708" width="10" bestFit="1" customWidth="1"/>
    <col min="709" max="709" width="7.796875" bestFit="1" customWidth="1"/>
    <col min="710" max="710" width="10" bestFit="1" customWidth="1"/>
    <col min="711" max="711" width="7.796875" bestFit="1" customWidth="1"/>
    <col min="712" max="712" width="10" bestFit="1" customWidth="1"/>
    <col min="713" max="713" width="7.796875" bestFit="1" customWidth="1"/>
    <col min="714" max="714" width="10" bestFit="1" customWidth="1"/>
    <col min="715" max="715" width="7.796875" bestFit="1" customWidth="1"/>
    <col min="716" max="716" width="10" bestFit="1" customWidth="1"/>
    <col min="717" max="717" width="7.796875" bestFit="1" customWidth="1"/>
    <col min="718" max="718" width="10" bestFit="1" customWidth="1"/>
    <col min="719" max="719" width="7.796875" bestFit="1" customWidth="1"/>
    <col min="720" max="720" width="10" bestFit="1" customWidth="1"/>
    <col min="721" max="721" width="7.796875" bestFit="1" customWidth="1"/>
    <col min="722" max="722" width="10" bestFit="1" customWidth="1"/>
    <col min="723" max="723" width="7.796875" bestFit="1" customWidth="1"/>
    <col min="724" max="724" width="10" bestFit="1" customWidth="1"/>
    <col min="725" max="725" width="7.796875" bestFit="1" customWidth="1"/>
    <col min="726" max="726" width="10" bestFit="1" customWidth="1"/>
    <col min="727" max="727" width="7.796875" bestFit="1" customWidth="1"/>
    <col min="728" max="728" width="10" bestFit="1" customWidth="1"/>
    <col min="729" max="729" width="7.796875" bestFit="1" customWidth="1"/>
    <col min="730" max="730" width="10" bestFit="1" customWidth="1"/>
    <col min="731" max="731" width="7.796875" bestFit="1" customWidth="1"/>
    <col min="732" max="732" width="10" bestFit="1" customWidth="1"/>
    <col min="733" max="733" width="7.796875" bestFit="1" customWidth="1"/>
    <col min="734" max="734" width="10" bestFit="1" customWidth="1"/>
    <col min="735" max="735" width="7.796875" bestFit="1" customWidth="1"/>
    <col min="736" max="736" width="10" bestFit="1" customWidth="1"/>
    <col min="737" max="737" width="7.796875" bestFit="1" customWidth="1"/>
    <col min="738" max="738" width="10" bestFit="1" customWidth="1"/>
    <col min="739" max="739" width="7.796875" bestFit="1" customWidth="1"/>
    <col min="740" max="740" width="10" bestFit="1" customWidth="1"/>
    <col min="741" max="741" width="7.796875" bestFit="1" customWidth="1"/>
    <col min="742" max="742" width="10" bestFit="1" customWidth="1"/>
    <col min="743" max="743" width="7.796875" bestFit="1" customWidth="1"/>
    <col min="744" max="744" width="10" bestFit="1" customWidth="1"/>
    <col min="745" max="745" width="7.796875" bestFit="1" customWidth="1"/>
    <col min="746" max="746" width="10" bestFit="1" customWidth="1"/>
    <col min="747" max="747" width="7.796875" bestFit="1" customWidth="1"/>
    <col min="748" max="748" width="10" bestFit="1" customWidth="1"/>
    <col min="749" max="749" width="7.796875" bestFit="1" customWidth="1"/>
    <col min="750" max="750" width="10" bestFit="1" customWidth="1"/>
    <col min="751" max="751" width="7.796875" bestFit="1" customWidth="1"/>
    <col min="752" max="752" width="10" bestFit="1" customWidth="1"/>
    <col min="753" max="753" width="7.796875" bestFit="1" customWidth="1"/>
    <col min="754" max="754" width="10" bestFit="1" customWidth="1"/>
    <col min="755" max="755" width="7.796875" bestFit="1" customWidth="1"/>
    <col min="756" max="756" width="10" bestFit="1" customWidth="1"/>
    <col min="757" max="757" width="7.796875" bestFit="1" customWidth="1"/>
    <col min="758" max="758" width="10" bestFit="1" customWidth="1"/>
    <col min="759" max="759" width="7.796875" bestFit="1" customWidth="1"/>
    <col min="760" max="760" width="10" bestFit="1" customWidth="1"/>
    <col min="761" max="761" width="7.796875" bestFit="1" customWidth="1"/>
    <col min="762" max="762" width="10" bestFit="1" customWidth="1"/>
    <col min="763" max="763" width="7.796875" bestFit="1" customWidth="1"/>
    <col min="764" max="764" width="10" bestFit="1" customWidth="1"/>
    <col min="765" max="765" width="7.796875" bestFit="1" customWidth="1"/>
    <col min="766" max="766" width="10" bestFit="1" customWidth="1"/>
    <col min="767" max="767" width="7.796875" bestFit="1" customWidth="1"/>
    <col min="768" max="768" width="10" bestFit="1" customWidth="1"/>
    <col min="769" max="769" width="7.796875" bestFit="1" customWidth="1"/>
    <col min="770" max="770" width="10" bestFit="1" customWidth="1"/>
    <col min="771" max="771" width="7.796875" bestFit="1" customWidth="1"/>
    <col min="772" max="772" width="10" bestFit="1" customWidth="1"/>
    <col min="773" max="773" width="7.796875" bestFit="1" customWidth="1"/>
    <col min="774" max="774" width="10" bestFit="1" customWidth="1"/>
    <col min="775" max="775" width="7.796875" bestFit="1" customWidth="1"/>
    <col min="776" max="776" width="10" bestFit="1" customWidth="1"/>
    <col min="777" max="777" width="7.796875" bestFit="1" customWidth="1"/>
    <col min="778" max="778" width="10" bestFit="1" customWidth="1"/>
    <col min="779" max="779" width="7.796875" bestFit="1" customWidth="1"/>
    <col min="780" max="780" width="10" bestFit="1" customWidth="1"/>
    <col min="781" max="781" width="7.796875" bestFit="1" customWidth="1"/>
    <col min="782" max="782" width="10" bestFit="1" customWidth="1"/>
    <col min="783" max="783" width="7.796875" bestFit="1" customWidth="1"/>
    <col min="784" max="784" width="10" bestFit="1" customWidth="1"/>
    <col min="785" max="785" width="7.796875" bestFit="1" customWidth="1"/>
    <col min="786" max="786" width="10" bestFit="1" customWidth="1"/>
    <col min="787" max="787" width="7.796875" bestFit="1" customWidth="1"/>
    <col min="788" max="788" width="10" bestFit="1" customWidth="1"/>
    <col min="789" max="789" width="7.796875" bestFit="1" customWidth="1"/>
    <col min="790" max="790" width="10" bestFit="1" customWidth="1"/>
    <col min="791" max="791" width="7.796875" bestFit="1" customWidth="1"/>
    <col min="792" max="792" width="10" bestFit="1" customWidth="1"/>
    <col min="793" max="793" width="7.796875" bestFit="1" customWidth="1"/>
    <col min="794" max="794" width="10" bestFit="1" customWidth="1"/>
    <col min="795" max="795" width="7.796875" bestFit="1" customWidth="1"/>
    <col min="796" max="796" width="10" bestFit="1" customWidth="1"/>
    <col min="797" max="797" width="7.796875" bestFit="1" customWidth="1"/>
    <col min="798" max="798" width="10" bestFit="1" customWidth="1"/>
    <col min="799" max="799" width="7.796875" bestFit="1" customWidth="1"/>
    <col min="800" max="800" width="10" bestFit="1" customWidth="1"/>
    <col min="801" max="801" width="7.796875" bestFit="1" customWidth="1"/>
    <col min="802" max="802" width="10" bestFit="1" customWidth="1"/>
    <col min="803" max="803" width="7.796875" bestFit="1" customWidth="1"/>
    <col min="804" max="804" width="10" bestFit="1" customWidth="1"/>
    <col min="805" max="805" width="7.796875" bestFit="1" customWidth="1"/>
    <col min="806" max="806" width="10" bestFit="1" customWidth="1"/>
    <col min="807" max="807" width="7.796875" bestFit="1" customWidth="1"/>
    <col min="808" max="808" width="10" bestFit="1" customWidth="1"/>
    <col min="809" max="809" width="7.796875" bestFit="1" customWidth="1"/>
    <col min="810" max="810" width="10" bestFit="1" customWidth="1"/>
    <col min="811" max="811" width="7.796875" bestFit="1" customWidth="1"/>
    <col min="812" max="812" width="10" bestFit="1" customWidth="1"/>
    <col min="813" max="813" width="7.796875" bestFit="1" customWidth="1"/>
    <col min="814" max="814" width="10" bestFit="1" customWidth="1"/>
    <col min="815" max="815" width="7.796875" bestFit="1" customWidth="1"/>
    <col min="816" max="816" width="10" bestFit="1" customWidth="1"/>
    <col min="817" max="817" width="7.796875" bestFit="1" customWidth="1"/>
    <col min="818" max="818" width="10" bestFit="1" customWidth="1"/>
    <col min="819" max="819" width="7.796875" bestFit="1" customWidth="1"/>
    <col min="820" max="820" width="10" bestFit="1" customWidth="1"/>
    <col min="821" max="821" width="7.796875" bestFit="1" customWidth="1"/>
    <col min="822" max="822" width="10" bestFit="1" customWidth="1"/>
    <col min="823" max="823" width="7.796875" bestFit="1" customWidth="1"/>
    <col min="824" max="824" width="10" bestFit="1" customWidth="1"/>
    <col min="825" max="825" width="7.796875" bestFit="1" customWidth="1"/>
    <col min="826" max="826" width="10" bestFit="1" customWidth="1"/>
    <col min="827" max="827" width="7.796875" bestFit="1" customWidth="1"/>
    <col min="828" max="828" width="10" bestFit="1" customWidth="1"/>
    <col min="829" max="829" width="7.796875" bestFit="1" customWidth="1"/>
    <col min="830" max="830" width="10" bestFit="1" customWidth="1"/>
    <col min="831" max="831" width="7.796875" bestFit="1" customWidth="1"/>
    <col min="832" max="832" width="10" bestFit="1" customWidth="1"/>
    <col min="833" max="833" width="7.796875" bestFit="1" customWidth="1"/>
    <col min="834" max="834" width="10" bestFit="1" customWidth="1"/>
    <col min="835" max="835" width="7.796875" bestFit="1" customWidth="1"/>
    <col min="836" max="836" width="10" bestFit="1" customWidth="1"/>
    <col min="837" max="837" width="7.796875" bestFit="1" customWidth="1"/>
    <col min="838" max="838" width="10" bestFit="1" customWidth="1"/>
    <col min="839" max="839" width="7.796875" bestFit="1" customWidth="1"/>
    <col min="840" max="840" width="10" bestFit="1" customWidth="1"/>
    <col min="841" max="841" width="7.796875" bestFit="1" customWidth="1"/>
    <col min="842" max="842" width="10" bestFit="1" customWidth="1"/>
    <col min="843" max="843" width="7.796875" bestFit="1" customWidth="1"/>
    <col min="844" max="844" width="10" bestFit="1" customWidth="1"/>
    <col min="845" max="845" width="7.796875" bestFit="1" customWidth="1"/>
    <col min="846" max="846" width="10" bestFit="1" customWidth="1"/>
    <col min="847" max="847" width="7.796875" bestFit="1" customWidth="1"/>
    <col min="848" max="848" width="10" bestFit="1" customWidth="1"/>
    <col min="849" max="849" width="7.796875" bestFit="1" customWidth="1"/>
    <col min="850" max="850" width="10" bestFit="1" customWidth="1"/>
    <col min="851" max="851" width="7.796875" bestFit="1" customWidth="1"/>
    <col min="852" max="852" width="10" bestFit="1" customWidth="1"/>
    <col min="853" max="853" width="7.796875" bestFit="1" customWidth="1"/>
    <col min="854" max="854" width="10" bestFit="1" customWidth="1"/>
    <col min="855" max="855" width="7.796875" bestFit="1" customWidth="1"/>
    <col min="856" max="856" width="10" bestFit="1" customWidth="1"/>
    <col min="857" max="857" width="7.796875" bestFit="1" customWidth="1"/>
    <col min="858" max="858" width="10" bestFit="1" customWidth="1"/>
    <col min="859" max="859" width="7.796875" bestFit="1" customWidth="1"/>
    <col min="860" max="860" width="10" bestFit="1" customWidth="1"/>
    <col min="861" max="861" width="7.796875" bestFit="1" customWidth="1"/>
    <col min="862" max="862" width="10" bestFit="1" customWidth="1"/>
    <col min="863" max="863" width="7.796875" bestFit="1" customWidth="1"/>
    <col min="864" max="864" width="10" bestFit="1" customWidth="1"/>
    <col min="865" max="865" width="7.796875" bestFit="1" customWidth="1"/>
    <col min="866" max="866" width="10" bestFit="1" customWidth="1"/>
    <col min="867" max="867" width="7.796875" bestFit="1" customWidth="1"/>
    <col min="868" max="868" width="10" bestFit="1" customWidth="1"/>
    <col min="869" max="869" width="7.796875" bestFit="1" customWidth="1"/>
    <col min="870" max="870" width="10" bestFit="1" customWidth="1"/>
    <col min="871" max="871" width="7.796875" bestFit="1" customWidth="1"/>
    <col min="872" max="872" width="10" bestFit="1" customWidth="1"/>
    <col min="873" max="873" width="7.796875" bestFit="1" customWidth="1"/>
    <col min="874" max="874" width="10" bestFit="1" customWidth="1"/>
    <col min="875" max="875" width="7.796875" bestFit="1" customWidth="1"/>
    <col min="876" max="876" width="10" bestFit="1" customWidth="1"/>
    <col min="877" max="877" width="7.796875" bestFit="1" customWidth="1"/>
    <col min="878" max="878" width="10" bestFit="1" customWidth="1"/>
    <col min="879" max="879" width="7.796875" bestFit="1" customWidth="1"/>
    <col min="880" max="880" width="10" bestFit="1" customWidth="1"/>
    <col min="881" max="881" width="7.796875" bestFit="1" customWidth="1"/>
    <col min="882" max="882" width="10" bestFit="1" customWidth="1"/>
    <col min="883" max="883" width="7.796875" bestFit="1" customWidth="1"/>
    <col min="884" max="884" width="10" bestFit="1" customWidth="1"/>
    <col min="885" max="885" width="7.796875" bestFit="1" customWidth="1"/>
    <col min="886" max="886" width="10" bestFit="1" customWidth="1"/>
    <col min="887" max="887" width="7.796875" bestFit="1" customWidth="1"/>
    <col min="888" max="888" width="10" bestFit="1" customWidth="1"/>
    <col min="889" max="889" width="7.796875" bestFit="1" customWidth="1"/>
    <col min="890" max="890" width="10" bestFit="1" customWidth="1"/>
    <col min="891" max="891" width="7.796875" bestFit="1" customWidth="1"/>
    <col min="892" max="892" width="10" bestFit="1" customWidth="1"/>
    <col min="893" max="893" width="7.796875" bestFit="1" customWidth="1"/>
    <col min="894" max="894" width="10" bestFit="1" customWidth="1"/>
    <col min="895" max="895" width="7.796875" bestFit="1" customWidth="1"/>
    <col min="896" max="896" width="10" bestFit="1" customWidth="1"/>
    <col min="897" max="897" width="7.796875" bestFit="1" customWidth="1"/>
    <col min="898" max="898" width="10" bestFit="1" customWidth="1"/>
    <col min="899" max="899" width="7.796875" bestFit="1" customWidth="1"/>
    <col min="900" max="900" width="10" bestFit="1" customWidth="1"/>
    <col min="901" max="901" width="7.796875" bestFit="1" customWidth="1"/>
    <col min="902" max="902" width="10" bestFit="1" customWidth="1"/>
    <col min="903" max="903" width="7.796875" bestFit="1" customWidth="1"/>
    <col min="904" max="904" width="10" bestFit="1" customWidth="1"/>
    <col min="905" max="905" width="7.796875" bestFit="1" customWidth="1"/>
    <col min="906" max="906" width="10" bestFit="1" customWidth="1"/>
    <col min="907" max="907" width="7.796875" bestFit="1" customWidth="1"/>
    <col min="908" max="908" width="10" bestFit="1" customWidth="1"/>
    <col min="909" max="909" width="7.796875" bestFit="1" customWidth="1"/>
    <col min="910" max="910" width="10" bestFit="1" customWidth="1"/>
    <col min="911" max="911" width="7.796875" bestFit="1" customWidth="1"/>
    <col min="912" max="912" width="10" bestFit="1" customWidth="1"/>
    <col min="913" max="913" width="7.796875" bestFit="1" customWidth="1"/>
    <col min="914" max="914" width="10" bestFit="1" customWidth="1"/>
    <col min="915" max="915" width="7.796875" bestFit="1" customWidth="1"/>
    <col min="916" max="916" width="10" bestFit="1" customWidth="1"/>
    <col min="917" max="917" width="7.796875" bestFit="1" customWidth="1"/>
    <col min="918" max="918" width="10" bestFit="1" customWidth="1"/>
    <col min="919" max="919" width="7.796875" bestFit="1" customWidth="1"/>
    <col min="920" max="920" width="10" bestFit="1" customWidth="1"/>
    <col min="921" max="921" width="7.796875" bestFit="1" customWidth="1"/>
    <col min="922" max="922" width="10" bestFit="1" customWidth="1"/>
    <col min="923" max="923" width="7.796875" bestFit="1" customWidth="1"/>
    <col min="924" max="924" width="10" bestFit="1" customWidth="1"/>
    <col min="925" max="925" width="7.796875" bestFit="1" customWidth="1"/>
    <col min="926" max="926" width="10" bestFit="1" customWidth="1"/>
    <col min="927" max="927" width="7.796875" bestFit="1" customWidth="1"/>
    <col min="928" max="928" width="10" bestFit="1" customWidth="1"/>
    <col min="929" max="929" width="7.796875" bestFit="1" customWidth="1"/>
    <col min="930" max="930" width="10" bestFit="1" customWidth="1"/>
    <col min="931" max="931" width="7.796875" bestFit="1" customWidth="1"/>
    <col min="932" max="932" width="10" bestFit="1" customWidth="1"/>
    <col min="933" max="933" width="7.796875" bestFit="1" customWidth="1"/>
    <col min="934" max="934" width="10" bestFit="1" customWidth="1"/>
    <col min="935" max="935" width="7.796875" bestFit="1" customWidth="1"/>
    <col min="936" max="936" width="10" bestFit="1" customWidth="1"/>
    <col min="937" max="937" width="7.796875" bestFit="1" customWidth="1"/>
    <col min="938" max="938" width="10" bestFit="1" customWidth="1"/>
    <col min="939" max="939" width="7.796875" bestFit="1" customWidth="1"/>
    <col min="940" max="940" width="10" bestFit="1" customWidth="1"/>
    <col min="941" max="941" width="7.796875" bestFit="1" customWidth="1"/>
    <col min="942" max="942" width="10" bestFit="1" customWidth="1"/>
    <col min="943" max="943" width="7.796875" bestFit="1" customWidth="1"/>
    <col min="944" max="944" width="10" bestFit="1" customWidth="1"/>
    <col min="945" max="945" width="7.796875" bestFit="1" customWidth="1"/>
    <col min="946" max="946" width="10" bestFit="1" customWidth="1"/>
    <col min="947" max="947" width="7.796875" bestFit="1" customWidth="1"/>
    <col min="948" max="948" width="10" bestFit="1" customWidth="1"/>
    <col min="949" max="949" width="7.796875" bestFit="1" customWidth="1"/>
    <col min="950" max="950" width="10" bestFit="1" customWidth="1"/>
    <col min="951" max="951" width="7.796875" bestFit="1" customWidth="1"/>
    <col min="952" max="952" width="10" bestFit="1" customWidth="1"/>
    <col min="953" max="953" width="7.796875" bestFit="1" customWidth="1"/>
    <col min="954" max="954" width="10" bestFit="1" customWidth="1"/>
    <col min="955" max="955" width="7.796875" bestFit="1" customWidth="1"/>
    <col min="956" max="956" width="10" bestFit="1" customWidth="1"/>
    <col min="957" max="957" width="7.796875" bestFit="1" customWidth="1"/>
    <col min="958" max="958" width="10" bestFit="1" customWidth="1"/>
    <col min="959" max="959" width="7.796875" bestFit="1" customWidth="1"/>
    <col min="960" max="960" width="10" bestFit="1" customWidth="1"/>
    <col min="961" max="961" width="7.796875" bestFit="1" customWidth="1"/>
    <col min="962" max="962" width="10" bestFit="1" customWidth="1"/>
    <col min="963" max="963" width="7.796875" bestFit="1" customWidth="1"/>
    <col min="964" max="964" width="10" bestFit="1" customWidth="1"/>
    <col min="965" max="965" width="7.796875" bestFit="1" customWidth="1"/>
    <col min="966" max="966" width="10" bestFit="1" customWidth="1"/>
    <col min="967" max="967" width="7.796875" bestFit="1" customWidth="1"/>
    <col min="968" max="968" width="10" bestFit="1" customWidth="1"/>
    <col min="969" max="969" width="7.796875" bestFit="1" customWidth="1"/>
    <col min="970" max="970" width="10" bestFit="1" customWidth="1"/>
    <col min="971" max="971" width="7.796875" bestFit="1" customWidth="1"/>
    <col min="972" max="972" width="10" bestFit="1" customWidth="1"/>
    <col min="973" max="973" width="7.796875" bestFit="1" customWidth="1"/>
    <col min="974" max="974" width="10" bestFit="1" customWidth="1"/>
    <col min="975" max="975" width="7.796875" bestFit="1" customWidth="1"/>
    <col min="976" max="976" width="10" bestFit="1" customWidth="1"/>
    <col min="977" max="977" width="7.796875" bestFit="1" customWidth="1"/>
    <col min="978" max="978" width="10" bestFit="1" customWidth="1"/>
    <col min="979" max="979" width="7.796875" bestFit="1" customWidth="1"/>
    <col min="980" max="980" width="10" bestFit="1" customWidth="1"/>
    <col min="981" max="981" width="7.796875" bestFit="1" customWidth="1"/>
    <col min="982" max="982" width="10" bestFit="1" customWidth="1"/>
    <col min="983" max="983" width="7.796875" bestFit="1" customWidth="1"/>
    <col min="984" max="984" width="10" bestFit="1" customWidth="1"/>
    <col min="985" max="985" width="7.796875" bestFit="1" customWidth="1"/>
    <col min="986" max="986" width="10" bestFit="1" customWidth="1"/>
    <col min="987" max="987" width="7.796875" bestFit="1" customWidth="1"/>
    <col min="988" max="988" width="10" bestFit="1" customWidth="1"/>
    <col min="989" max="989" width="7.796875" bestFit="1" customWidth="1"/>
    <col min="990" max="990" width="10" bestFit="1" customWidth="1"/>
    <col min="991" max="991" width="7.796875" bestFit="1" customWidth="1"/>
    <col min="992" max="992" width="10" bestFit="1" customWidth="1"/>
    <col min="993" max="993" width="7.796875" bestFit="1" customWidth="1"/>
    <col min="994" max="994" width="10" bestFit="1" customWidth="1"/>
    <col min="995" max="995" width="7.796875" bestFit="1" customWidth="1"/>
    <col min="996" max="996" width="10" bestFit="1" customWidth="1"/>
    <col min="997" max="997" width="7.796875" bestFit="1" customWidth="1"/>
    <col min="998" max="998" width="10" bestFit="1" customWidth="1"/>
    <col min="999" max="999" width="7.796875" bestFit="1" customWidth="1"/>
    <col min="1000" max="1000" width="10" bestFit="1" customWidth="1"/>
    <col min="1001" max="1001" width="7.796875" bestFit="1" customWidth="1"/>
    <col min="1002" max="1002" width="10" bestFit="1" customWidth="1"/>
    <col min="1003" max="1003" width="7.796875" bestFit="1" customWidth="1"/>
    <col min="1004" max="1004" width="10" bestFit="1" customWidth="1"/>
    <col min="1005" max="1005" width="7.796875" bestFit="1" customWidth="1"/>
    <col min="1006" max="1006" width="10" bestFit="1" customWidth="1"/>
    <col min="1007" max="1007" width="7.796875" bestFit="1" customWidth="1"/>
    <col min="1008" max="1008" width="10" bestFit="1" customWidth="1"/>
    <col min="1009" max="1009" width="7.796875" bestFit="1" customWidth="1"/>
    <col min="1010" max="1010" width="10" bestFit="1" customWidth="1"/>
    <col min="1011" max="1011" width="7.796875" bestFit="1" customWidth="1"/>
    <col min="1012" max="1012" width="10" bestFit="1" customWidth="1"/>
    <col min="1013" max="1013" width="7.796875" bestFit="1" customWidth="1"/>
    <col min="1014" max="1014" width="10" bestFit="1" customWidth="1"/>
    <col min="1015" max="1015" width="7.796875" bestFit="1" customWidth="1"/>
    <col min="1016" max="1016" width="10" bestFit="1" customWidth="1"/>
    <col min="1017" max="1017" width="7.796875" bestFit="1" customWidth="1"/>
    <col min="1018" max="1018" width="10" bestFit="1" customWidth="1"/>
    <col min="1019" max="1019" width="7.796875" bestFit="1" customWidth="1"/>
    <col min="1020" max="1020" width="10" bestFit="1" customWidth="1"/>
    <col min="1021" max="1021" width="7.796875" bestFit="1" customWidth="1"/>
    <col min="1022" max="1022" width="10" bestFit="1" customWidth="1"/>
    <col min="1023" max="1023" width="7.796875" bestFit="1" customWidth="1"/>
    <col min="1024" max="1024" width="10" bestFit="1" customWidth="1"/>
    <col min="1025" max="1025" width="7.796875" bestFit="1" customWidth="1"/>
    <col min="1026" max="1026" width="10" bestFit="1" customWidth="1"/>
    <col min="1027" max="1027" width="7.796875" bestFit="1" customWidth="1"/>
    <col min="1028" max="1028" width="10" bestFit="1" customWidth="1"/>
    <col min="1029" max="1029" width="7.796875" bestFit="1" customWidth="1"/>
    <col min="1030" max="1030" width="10" bestFit="1" customWidth="1"/>
    <col min="1031" max="1031" width="7.796875" bestFit="1" customWidth="1"/>
    <col min="1032" max="1032" width="10" bestFit="1" customWidth="1"/>
    <col min="1033" max="1033" width="7.796875" bestFit="1" customWidth="1"/>
    <col min="1034" max="1034" width="10" bestFit="1" customWidth="1"/>
    <col min="1035" max="1035" width="7.796875" bestFit="1" customWidth="1"/>
    <col min="1036" max="1036" width="10" bestFit="1" customWidth="1"/>
    <col min="1037" max="1037" width="7.796875" bestFit="1" customWidth="1"/>
    <col min="1038" max="1038" width="10" bestFit="1" customWidth="1"/>
    <col min="1039" max="1039" width="7.796875" bestFit="1" customWidth="1"/>
    <col min="1040" max="1040" width="10" bestFit="1" customWidth="1"/>
    <col min="1041" max="1041" width="7.796875" bestFit="1" customWidth="1"/>
    <col min="1042" max="1042" width="10" bestFit="1" customWidth="1"/>
    <col min="1043" max="1043" width="7.796875" bestFit="1" customWidth="1"/>
    <col min="1044" max="1044" width="10" bestFit="1" customWidth="1"/>
    <col min="1045" max="1045" width="7.796875" bestFit="1" customWidth="1"/>
    <col min="1046" max="1046" width="10" bestFit="1" customWidth="1"/>
    <col min="1047" max="1047" width="7.796875" bestFit="1" customWidth="1"/>
    <col min="1048" max="1048" width="10" bestFit="1" customWidth="1"/>
    <col min="1049" max="1049" width="7.796875" bestFit="1" customWidth="1"/>
    <col min="1050" max="1050" width="10" bestFit="1" customWidth="1"/>
    <col min="1051" max="1051" width="7.796875" bestFit="1" customWidth="1"/>
    <col min="1052" max="1052" width="10" bestFit="1" customWidth="1"/>
    <col min="1053" max="1053" width="7.796875" bestFit="1" customWidth="1"/>
    <col min="1054" max="1054" width="10" bestFit="1" customWidth="1"/>
    <col min="1055" max="1055" width="7.796875" bestFit="1" customWidth="1"/>
    <col min="1056" max="1056" width="10" bestFit="1" customWidth="1"/>
    <col min="1057" max="1057" width="7.796875" bestFit="1" customWidth="1"/>
    <col min="1058" max="1058" width="10" bestFit="1" customWidth="1"/>
    <col min="1059" max="1059" width="7.796875" bestFit="1" customWidth="1"/>
    <col min="1060" max="1060" width="10" bestFit="1" customWidth="1"/>
    <col min="1061" max="1061" width="7.796875" bestFit="1" customWidth="1"/>
    <col min="1062" max="1062" width="10" bestFit="1" customWidth="1"/>
    <col min="1063" max="1063" width="7.796875" bestFit="1" customWidth="1"/>
    <col min="1064" max="1064" width="10" bestFit="1" customWidth="1"/>
    <col min="1065" max="1065" width="7.796875" bestFit="1" customWidth="1"/>
    <col min="1066" max="1066" width="10" bestFit="1" customWidth="1"/>
    <col min="1067" max="1067" width="7.796875" bestFit="1" customWidth="1"/>
    <col min="1068" max="1068" width="10" bestFit="1" customWidth="1"/>
    <col min="1069" max="1069" width="7.796875" bestFit="1" customWidth="1"/>
    <col min="1070" max="1070" width="10" bestFit="1" customWidth="1"/>
    <col min="1071" max="1071" width="7.796875" bestFit="1" customWidth="1"/>
    <col min="1072" max="1072" width="10" bestFit="1" customWidth="1"/>
    <col min="1073" max="1073" width="7.796875" bestFit="1" customWidth="1"/>
    <col min="1074" max="1074" width="10" bestFit="1" customWidth="1"/>
    <col min="1075" max="1075" width="7.796875" bestFit="1" customWidth="1"/>
    <col min="1076" max="1076" width="10" bestFit="1" customWidth="1"/>
    <col min="1077" max="1077" width="7.796875" bestFit="1" customWidth="1"/>
    <col min="1078" max="1078" width="10" bestFit="1" customWidth="1"/>
    <col min="1079" max="1079" width="7.796875" bestFit="1" customWidth="1"/>
    <col min="1080" max="1080" width="10" bestFit="1" customWidth="1"/>
    <col min="1081" max="1081" width="7.796875" bestFit="1" customWidth="1"/>
    <col min="1082" max="1082" width="10" bestFit="1" customWidth="1"/>
    <col min="1083" max="1083" width="7.796875" bestFit="1" customWidth="1"/>
    <col min="1084" max="1084" width="10" bestFit="1" customWidth="1"/>
    <col min="1085" max="1085" width="7.796875" bestFit="1" customWidth="1"/>
    <col min="1086" max="1086" width="10" bestFit="1" customWidth="1"/>
    <col min="1087" max="1087" width="7.796875" bestFit="1" customWidth="1"/>
    <col min="1088" max="1088" width="10" bestFit="1" customWidth="1"/>
    <col min="1089" max="1089" width="7.796875" bestFit="1" customWidth="1"/>
    <col min="1090" max="1090" width="10" bestFit="1" customWidth="1"/>
    <col min="1091" max="1091" width="7.796875" bestFit="1" customWidth="1"/>
    <col min="1092" max="1092" width="10" bestFit="1" customWidth="1"/>
    <col min="1093" max="1093" width="7.796875" bestFit="1" customWidth="1"/>
    <col min="1094" max="1094" width="10" bestFit="1" customWidth="1"/>
    <col min="1095" max="1095" width="7.796875" bestFit="1" customWidth="1"/>
    <col min="1096" max="1096" width="10" bestFit="1" customWidth="1"/>
    <col min="1097" max="1097" width="7.796875" bestFit="1" customWidth="1"/>
    <col min="1098" max="1098" width="10" bestFit="1" customWidth="1"/>
    <col min="1099" max="1099" width="7.796875" bestFit="1" customWidth="1"/>
    <col min="1100" max="1100" width="10" bestFit="1" customWidth="1"/>
    <col min="1101" max="1101" width="7.796875" bestFit="1" customWidth="1"/>
    <col min="1102" max="1102" width="10" bestFit="1" customWidth="1"/>
    <col min="1103" max="1103" width="7.796875" bestFit="1" customWidth="1"/>
    <col min="1104" max="1104" width="10" bestFit="1" customWidth="1"/>
    <col min="1105" max="1105" width="7.796875" bestFit="1" customWidth="1"/>
    <col min="1106" max="1106" width="10" bestFit="1" customWidth="1"/>
    <col min="1107" max="1107" width="7.796875" bestFit="1" customWidth="1"/>
    <col min="1108" max="1108" width="10" bestFit="1" customWidth="1"/>
    <col min="1109" max="1109" width="7.796875" bestFit="1" customWidth="1"/>
    <col min="1110" max="1110" width="10" bestFit="1" customWidth="1"/>
    <col min="1111" max="1111" width="7.796875" bestFit="1" customWidth="1"/>
    <col min="1112" max="1112" width="10" bestFit="1" customWidth="1"/>
    <col min="1113" max="1113" width="7.796875" bestFit="1" customWidth="1"/>
    <col min="1114" max="1114" width="10" bestFit="1" customWidth="1"/>
    <col min="1115" max="1115" width="7.796875" bestFit="1" customWidth="1"/>
    <col min="1116" max="1116" width="10" bestFit="1" customWidth="1"/>
    <col min="1117" max="1117" width="7.796875" bestFit="1" customWidth="1"/>
    <col min="1118" max="1118" width="10" bestFit="1" customWidth="1"/>
    <col min="1119" max="1119" width="7.796875" bestFit="1" customWidth="1"/>
    <col min="1120" max="1120" width="10" bestFit="1" customWidth="1"/>
    <col min="1121" max="1121" width="7.796875" bestFit="1" customWidth="1"/>
    <col min="1122" max="1122" width="10" bestFit="1" customWidth="1"/>
    <col min="1123" max="1123" width="7.796875" bestFit="1" customWidth="1"/>
    <col min="1124" max="1124" width="10" bestFit="1" customWidth="1"/>
    <col min="1125" max="1125" width="7.796875" bestFit="1" customWidth="1"/>
    <col min="1126" max="1126" width="10" bestFit="1" customWidth="1"/>
    <col min="1127" max="1127" width="7.796875" bestFit="1" customWidth="1"/>
    <col min="1128" max="1128" width="10" bestFit="1" customWidth="1"/>
    <col min="1129" max="1129" width="7.796875" bestFit="1" customWidth="1"/>
    <col min="1130" max="1130" width="10" bestFit="1" customWidth="1"/>
    <col min="1131" max="1131" width="7.796875" bestFit="1" customWidth="1"/>
    <col min="1132" max="1132" width="10" bestFit="1" customWidth="1"/>
    <col min="1133" max="1133" width="7.796875" bestFit="1" customWidth="1"/>
    <col min="1134" max="1134" width="10" bestFit="1" customWidth="1"/>
    <col min="1135" max="1135" width="7.796875" bestFit="1" customWidth="1"/>
    <col min="1136" max="1136" width="10" bestFit="1" customWidth="1"/>
    <col min="1137" max="1137" width="7.796875" bestFit="1" customWidth="1"/>
    <col min="1138" max="1138" width="10" bestFit="1" customWidth="1"/>
    <col min="1139" max="1139" width="7.796875" bestFit="1" customWidth="1"/>
    <col min="1140" max="1140" width="10" bestFit="1" customWidth="1"/>
    <col min="1141" max="1141" width="7.796875" bestFit="1" customWidth="1"/>
    <col min="1142" max="1142" width="10" bestFit="1" customWidth="1"/>
    <col min="1143" max="1143" width="7.796875" bestFit="1" customWidth="1"/>
    <col min="1144" max="1144" width="10" bestFit="1" customWidth="1"/>
    <col min="1145" max="1145" width="7.796875" bestFit="1" customWidth="1"/>
    <col min="1146" max="1146" width="10" bestFit="1" customWidth="1"/>
    <col min="1147" max="1147" width="7.796875" bestFit="1" customWidth="1"/>
    <col min="1148" max="1148" width="10" bestFit="1" customWidth="1"/>
    <col min="1149" max="1149" width="7.796875" bestFit="1" customWidth="1"/>
    <col min="1150" max="1150" width="10" bestFit="1" customWidth="1"/>
    <col min="1151" max="1151" width="7.796875" bestFit="1" customWidth="1"/>
    <col min="1152" max="1152" width="10" bestFit="1" customWidth="1"/>
    <col min="1153" max="1153" width="7.796875" bestFit="1" customWidth="1"/>
    <col min="1154" max="1154" width="10" bestFit="1" customWidth="1"/>
    <col min="1155" max="1155" width="7.796875" bestFit="1" customWidth="1"/>
    <col min="1156" max="1156" width="10" bestFit="1" customWidth="1"/>
    <col min="1157" max="1157" width="7.796875" bestFit="1" customWidth="1"/>
    <col min="1158" max="1158" width="10" bestFit="1" customWidth="1"/>
    <col min="1159" max="1159" width="7.796875" bestFit="1" customWidth="1"/>
    <col min="1160" max="1160" width="10" bestFit="1" customWidth="1"/>
    <col min="1161" max="1161" width="7.796875" bestFit="1" customWidth="1"/>
    <col min="1162" max="1162" width="10" bestFit="1" customWidth="1"/>
    <col min="1163" max="1163" width="7.796875" bestFit="1" customWidth="1"/>
    <col min="1164" max="1164" width="10" bestFit="1" customWidth="1"/>
    <col min="1165" max="1165" width="7.796875" bestFit="1" customWidth="1"/>
    <col min="1166" max="1166" width="10" bestFit="1" customWidth="1"/>
    <col min="1167" max="1167" width="7.796875" bestFit="1" customWidth="1"/>
    <col min="1168" max="1168" width="10" bestFit="1" customWidth="1"/>
    <col min="1169" max="1169" width="7.796875" bestFit="1" customWidth="1"/>
    <col min="1170" max="1170" width="10" bestFit="1" customWidth="1"/>
    <col min="1171" max="1171" width="7.796875" bestFit="1" customWidth="1"/>
    <col min="1172" max="1172" width="10" bestFit="1" customWidth="1"/>
    <col min="1173" max="1173" width="7.796875" bestFit="1" customWidth="1"/>
    <col min="1174" max="1174" width="10" bestFit="1" customWidth="1"/>
    <col min="1175" max="1175" width="7.796875" bestFit="1" customWidth="1"/>
    <col min="1176" max="1176" width="10" bestFit="1" customWidth="1"/>
    <col min="1177" max="1177" width="7.796875" bestFit="1" customWidth="1"/>
    <col min="1178" max="1178" width="10" bestFit="1" customWidth="1"/>
    <col min="1179" max="1179" width="7.796875" bestFit="1" customWidth="1"/>
    <col min="1180" max="1180" width="10" bestFit="1" customWidth="1"/>
    <col min="1181" max="1181" width="7.796875" bestFit="1" customWidth="1"/>
    <col min="1182" max="1182" width="10" bestFit="1" customWidth="1"/>
    <col min="1183" max="1183" width="7.796875" bestFit="1" customWidth="1"/>
    <col min="1184" max="1184" width="10" bestFit="1" customWidth="1"/>
    <col min="1185" max="1185" width="7.796875" bestFit="1" customWidth="1"/>
    <col min="1186" max="1186" width="10" bestFit="1" customWidth="1"/>
    <col min="1187" max="1187" width="7.796875" bestFit="1" customWidth="1"/>
    <col min="1188" max="1188" width="10" bestFit="1" customWidth="1"/>
    <col min="1189" max="1189" width="7.796875" bestFit="1" customWidth="1"/>
    <col min="1190" max="1190" width="10" bestFit="1" customWidth="1"/>
    <col min="1191" max="1191" width="7.796875" bestFit="1" customWidth="1"/>
    <col min="1192" max="1192" width="10" bestFit="1" customWidth="1"/>
    <col min="1193" max="1193" width="7.796875" bestFit="1" customWidth="1"/>
    <col min="1194" max="1194" width="10" bestFit="1" customWidth="1"/>
    <col min="1195" max="1195" width="7.796875" bestFit="1" customWidth="1"/>
    <col min="1196" max="1196" width="10" bestFit="1" customWidth="1"/>
    <col min="1197" max="1197" width="7.796875" bestFit="1" customWidth="1"/>
    <col min="1198" max="1198" width="10" bestFit="1" customWidth="1"/>
    <col min="1199" max="1199" width="7.796875" bestFit="1" customWidth="1"/>
    <col min="1200" max="1200" width="10" bestFit="1" customWidth="1"/>
    <col min="1201" max="1201" width="7.796875" bestFit="1" customWidth="1"/>
    <col min="1202" max="1202" width="10" bestFit="1" customWidth="1"/>
    <col min="1203" max="1203" width="7.796875" bestFit="1" customWidth="1"/>
    <col min="1204" max="1204" width="10" bestFit="1" customWidth="1"/>
    <col min="1205" max="1205" width="7.796875" bestFit="1" customWidth="1"/>
    <col min="1206" max="1206" width="10" bestFit="1" customWidth="1"/>
    <col min="1207" max="1207" width="7.796875" bestFit="1" customWidth="1"/>
    <col min="1208" max="1208" width="10" bestFit="1" customWidth="1"/>
    <col min="1209" max="1209" width="7.796875" bestFit="1" customWidth="1"/>
    <col min="1210" max="1210" width="10" bestFit="1" customWidth="1"/>
    <col min="1211" max="1211" width="7.796875" bestFit="1" customWidth="1"/>
    <col min="1212" max="1212" width="10" bestFit="1" customWidth="1"/>
    <col min="1213" max="1213" width="7.796875" bestFit="1" customWidth="1"/>
    <col min="1214" max="1214" width="10" bestFit="1" customWidth="1"/>
    <col min="1215" max="1215" width="7.796875" bestFit="1" customWidth="1"/>
    <col min="1216" max="1216" width="10" bestFit="1" customWidth="1"/>
    <col min="1217" max="1217" width="7.796875" bestFit="1" customWidth="1"/>
    <col min="1218" max="1218" width="10" bestFit="1" customWidth="1"/>
    <col min="1219" max="1219" width="7.796875" bestFit="1" customWidth="1"/>
    <col min="1220" max="1220" width="10" bestFit="1" customWidth="1"/>
    <col min="1221" max="1221" width="7.796875" bestFit="1" customWidth="1"/>
    <col min="1222" max="1222" width="10" bestFit="1" customWidth="1"/>
    <col min="1223" max="1223" width="7.796875" bestFit="1" customWidth="1"/>
    <col min="1224" max="1224" width="10" bestFit="1" customWidth="1"/>
    <col min="1225" max="1225" width="7.796875" bestFit="1" customWidth="1"/>
    <col min="1226" max="1226" width="10" bestFit="1" customWidth="1"/>
    <col min="1227" max="1227" width="7.796875" bestFit="1" customWidth="1"/>
    <col min="1228" max="1228" width="10" bestFit="1" customWidth="1"/>
    <col min="1229" max="1229" width="7.796875" bestFit="1" customWidth="1"/>
    <col min="1230" max="1230" width="10" bestFit="1" customWidth="1"/>
    <col min="1231" max="1231" width="7.796875" bestFit="1" customWidth="1"/>
    <col min="1232" max="1232" width="10" bestFit="1" customWidth="1"/>
    <col min="1233" max="1233" width="7.796875" bestFit="1" customWidth="1"/>
    <col min="1234" max="1234" width="10" bestFit="1" customWidth="1"/>
    <col min="1235" max="1235" width="7.796875" bestFit="1" customWidth="1"/>
    <col min="1236" max="1236" width="10" bestFit="1" customWidth="1"/>
    <col min="1237" max="1237" width="7.796875" bestFit="1" customWidth="1"/>
    <col min="1238" max="1238" width="10" bestFit="1" customWidth="1"/>
    <col min="1239" max="1239" width="7.796875" bestFit="1" customWidth="1"/>
    <col min="1240" max="1240" width="10" bestFit="1" customWidth="1"/>
    <col min="1241" max="1241" width="7.796875" bestFit="1" customWidth="1"/>
    <col min="1242" max="1242" width="10" bestFit="1" customWidth="1"/>
    <col min="1243" max="1243" width="7.796875" bestFit="1" customWidth="1"/>
    <col min="1244" max="1244" width="10" bestFit="1" customWidth="1"/>
    <col min="1245" max="1245" width="7.796875" bestFit="1" customWidth="1"/>
    <col min="1246" max="1246" width="10" bestFit="1" customWidth="1"/>
    <col min="1247" max="1247" width="7.796875" bestFit="1" customWidth="1"/>
    <col min="1248" max="1248" width="10" bestFit="1" customWidth="1"/>
    <col min="1249" max="1249" width="7.796875" bestFit="1" customWidth="1"/>
    <col min="1250" max="1250" width="10" bestFit="1" customWidth="1"/>
    <col min="1251" max="1251" width="7.796875" bestFit="1" customWidth="1"/>
    <col min="1252" max="1252" width="10" bestFit="1" customWidth="1"/>
    <col min="1253" max="1253" width="7.796875" bestFit="1" customWidth="1"/>
    <col min="1254" max="1254" width="10" bestFit="1" customWidth="1"/>
    <col min="1255" max="1255" width="7.796875" bestFit="1" customWidth="1"/>
    <col min="1256" max="1256" width="10" bestFit="1" customWidth="1"/>
    <col min="1257" max="1257" width="7.796875" bestFit="1" customWidth="1"/>
    <col min="1258" max="1258" width="10" bestFit="1" customWidth="1"/>
    <col min="1259" max="1259" width="7.796875" bestFit="1" customWidth="1"/>
    <col min="1260" max="1260" width="10" bestFit="1" customWidth="1"/>
    <col min="1261" max="1261" width="7.796875" bestFit="1" customWidth="1"/>
    <col min="1262" max="1262" width="10" bestFit="1" customWidth="1"/>
    <col min="1263" max="1263" width="7.796875" bestFit="1" customWidth="1"/>
    <col min="1264" max="1264" width="10" bestFit="1" customWidth="1"/>
    <col min="1265" max="1265" width="7.796875" bestFit="1" customWidth="1"/>
    <col min="1266" max="1266" width="10" bestFit="1" customWidth="1"/>
    <col min="1267" max="1267" width="7.796875" bestFit="1" customWidth="1"/>
    <col min="1268" max="1268" width="10" bestFit="1" customWidth="1"/>
    <col min="1269" max="1269" width="7.796875" bestFit="1" customWidth="1"/>
    <col min="1270" max="1270" width="10" bestFit="1" customWidth="1"/>
    <col min="1271" max="1271" width="7.796875" bestFit="1" customWidth="1"/>
    <col min="1272" max="1272" width="10" bestFit="1" customWidth="1"/>
    <col min="1273" max="1273" width="7.796875" bestFit="1" customWidth="1"/>
    <col min="1274" max="1274" width="10" bestFit="1" customWidth="1"/>
    <col min="1275" max="1275" width="7.796875" bestFit="1" customWidth="1"/>
    <col min="1276" max="1276" width="10" bestFit="1" customWidth="1"/>
    <col min="1277" max="1277" width="7.796875" bestFit="1" customWidth="1"/>
    <col min="1278" max="1278" width="10" bestFit="1" customWidth="1"/>
    <col min="1279" max="1279" width="7.796875" bestFit="1" customWidth="1"/>
    <col min="1280" max="1280" width="10" bestFit="1" customWidth="1"/>
    <col min="1281" max="1281" width="7.796875" bestFit="1" customWidth="1"/>
    <col min="1282" max="1282" width="10" bestFit="1" customWidth="1"/>
    <col min="1283" max="1283" width="7.796875" bestFit="1" customWidth="1"/>
    <col min="1284" max="1284" width="10" bestFit="1" customWidth="1"/>
    <col min="1285" max="1285" width="7.796875" bestFit="1" customWidth="1"/>
    <col min="1286" max="1286" width="10" bestFit="1" customWidth="1"/>
    <col min="1287" max="1287" width="7.796875" bestFit="1" customWidth="1"/>
    <col min="1288" max="1288" width="10" bestFit="1" customWidth="1"/>
    <col min="1289" max="1289" width="7.796875" bestFit="1" customWidth="1"/>
    <col min="1290" max="1290" width="10" bestFit="1" customWidth="1"/>
    <col min="1291" max="1291" width="7.796875" bestFit="1" customWidth="1"/>
    <col min="1292" max="1292" width="10" bestFit="1" customWidth="1"/>
    <col min="1293" max="1293" width="7.796875" bestFit="1" customWidth="1"/>
    <col min="1294" max="1294" width="10" bestFit="1" customWidth="1"/>
    <col min="1295" max="1295" width="7.796875" bestFit="1" customWidth="1"/>
    <col min="1296" max="1296" width="10" bestFit="1" customWidth="1"/>
    <col min="1297" max="1297" width="7.796875" bestFit="1" customWidth="1"/>
    <col min="1298" max="1298" width="10" bestFit="1" customWidth="1"/>
    <col min="1299" max="1299" width="7.796875" bestFit="1" customWidth="1"/>
    <col min="1300" max="1300" width="10" bestFit="1" customWidth="1"/>
    <col min="1301" max="1301" width="7.796875" bestFit="1" customWidth="1"/>
    <col min="1302" max="1302" width="10" bestFit="1" customWidth="1"/>
    <col min="1303" max="1303" width="7.796875" bestFit="1" customWidth="1"/>
    <col min="1304" max="1304" width="10" bestFit="1" customWidth="1"/>
    <col min="1305" max="1305" width="7.796875" bestFit="1" customWidth="1"/>
    <col min="1306" max="1306" width="10" bestFit="1" customWidth="1"/>
    <col min="1307" max="1307" width="7.796875" bestFit="1" customWidth="1"/>
    <col min="1308" max="1308" width="10" bestFit="1" customWidth="1"/>
    <col min="1309" max="1309" width="7.796875" bestFit="1" customWidth="1"/>
    <col min="1310" max="1310" width="10" bestFit="1" customWidth="1"/>
    <col min="1311" max="1311" width="7.796875" bestFit="1" customWidth="1"/>
    <col min="1312" max="1312" width="10" bestFit="1" customWidth="1"/>
    <col min="1313" max="1313" width="7.796875" bestFit="1" customWidth="1"/>
    <col min="1314" max="1314" width="10" bestFit="1" customWidth="1"/>
    <col min="1315" max="1315" width="7.796875" bestFit="1" customWidth="1"/>
    <col min="1316" max="1316" width="10" bestFit="1" customWidth="1"/>
    <col min="1317" max="1317" width="7.796875" bestFit="1" customWidth="1"/>
    <col min="1318" max="1318" width="10" bestFit="1" customWidth="1"/>
    <col min="1319" max="1319" width="7.796875" bestFit="1" customWidth="1"/>
    <col min="1320" max="1320" width="10" bestFit="1" customWidth="1"/>
    <col min="1321" max="1321" width="7.796875" bestFit="1" customWidth="1"/>
    <col min="1322" max="1322" width="10" bestFit="1" customWidth="1"/>
    <col min="1323" max="1323" width="7.796875" bestFit="1" customWidth="1"/>
    <col min="1324" max="1324" width="10" bestFit="1" customWidth="1"/>
    <col min="1325" max="1325" width="7.796875" bestFit="1" customWidth="1"/>
    <col min="1326" max="1326" width="10" bestFit="1" customWidth="1"/>
    <col min="1327" max="1327" width="7.796875" bestFit="1" customWidth="1"/>
    <col min="1328" max="1328" width="10" bestFit="1" customWidth="1"/>
    <col min="1329" max="1329" width="7.796875" bestFit="1" customWidth="1"/>
    <col min="1330" max="1330" width="10" bestFit="1" customWidth="1"/>
    <col min="1331" max="1331" width="7.796875" bestFit="1" customWidth="1"/>
    <col min="1332" max="1332" width="10" bestFit="1" customWidth="1"/>
    <col min="1333" max="1333" width="7.796875" bestFit="1" customWidth="1"/>
    <col min="1334" max="1334" width="10" bestFit="1" customWidth="1"/>
    <col min="1335" max="1335" width="7.796875" bestFit="1" customWidth="1"/>
    <col min="1336" max="1336" width="10" bestFit="1" customWidth="1"/>
    <col min="1337" max="1337" width="7.796875" bestFit="1" customWidth="1"/>
    <col min="1338" max="1338" width="10" bestFit="1" customWidth="1"/>
    <col min="1339" max="1339" width="7.796875" bestFit="1" customWidth="1"/>
    <col min="1340" max="1340" width="10" bestFit="1" customWidth="1"/>
    <col min="1341" max="1341" width="7.796875" bestFit="1" customWidth="1"/>
    <col min="1342" max="1342" width="10" bestFit="1" customWidth="1"/>
    <col min="1343" max="1343" width="7.796875" bestFit="1" customWidth="1"/>
    <col min="1344" max="1344" width="10" bestFit="1" customWidth="1"/>
    <col min="1345" max="1345" width="7.796875" bestFit="1" customWidth="1"/>
    <col min="1346" max="1346" width="10" bestFit="1" customWidth="1"/>
    <col min="1347" max="1347" width="7.796875" bestFit="1" customWidth="1"/>
    <col min="1348" max="1348" width="10" bestFit="1" customWidth="1"/>
    <col min="1349" max="1349" width="7.796875" bestFit="1" customWidth="1"/>
    <col min="1350" max="1350" width="10" bestFit="1" customWidth="1"/>
    <col min="1351" max="1351" width="7.796875" bestFit="1" customWidth="1"/>
    <col min="1352" max="1352" width="10" bestFit="1" customWidth="1"/>
    <col min="1353" max="1353" width="7.796875" bestFit="1" customWidth="1"/>
    <col min="1354" max="1354" width="10" bestFit="1" customWidth="1"/>
    <col min="1355" max="1355" width="7.796875" bestFit="1" customWidth="1"/>
    <col min="1356" max="1356" width="10" bestFit="1" customWidth="1"/>
    <col min="1357" max="1357" width="7.796875" bestFit="1" customWidth="1"/>
    <col min="1358" max="1358" width="10" bestFit="1" customWidth="1"/>
    <col min="1359" max="1359" width="7.796875" bestFit="1" customWidth="1"/>
    <col min="1360" max="1360" width="10" bestFit="1" customWidth="1"/>
    <col min="1361" max="1361" width="7.796875" bestFit="1" customWidth="1"/>
    <col min="1362" max="1362" width="10" bestFit="1" customWidth="1"/>
    <col min="1363" max="1363" width="7.796875" bestFit="1" customWidth="1"/>
    <col min="1364" max="1364" width="10" bestFit="1" customWidth="1"/>
    <col min="1365" max="1365" width="7.796875" bestFit="1" customWidth="1"/>
    <col min="1366" max="1366" width="10" bestFit="1" customWidth="1"/>
    <col min="1367" max="1367" width="7.796875" bestFit="1" customWidth="1"/>
    <col min="1368" max="1368" width="10" bestFit="1" customWidth="1"/>
    <col min="1369" max="1369" width="7.796875" bestFit="1" customWidth="1"/>
    <col min="1370" max="1370" width="10" bestFit="1" customWidth="1"/>
    <col min="1371" max="1371" width="7.796875" bestFit="1" customWidth="1"/>
    <col min="1372" max="1372" width="10" bestFit="1" customWidth="1"/>
    <col min="1373" max="1373" width="7.796875" bestFit="1" customWidth="1"/>
    <col min="1374" max="1374" width="10" bestFit="1" customWidth="1"/>
    <col min="1375" max="1375" width="7.796875" bestFit="1" customWidth="1"/>
    <col min="1376" max="1376" width="10" bestFit="1" customWidth="1"/>
    <col min="1377" max="1377" width="7.796875" bestFit="1" customWidth="1"/>
    <col min="1378" max="1378" width="10" bestFit="1" customWidth="1"/>
    <col min="1379" max="1379" width="7.796875" bestFit="1" customWidth="1"/>
    <col min="1380" max="1380" width="10" bestFit="1" customWidth="1"/>
    <col min="1381" max="1381" width="7.796875" bestFit="1" customWidth="1"/>
    <col min="1382" max="1382" width="10" bestFit="1" customWidth="1"/>
    <col min="1383" max="1383" width="7.796875" bestFit="1" customWidth="1"/>
    <col min="1384" max="1384" width="10" bestFit="1" customWidth="1"/>
    <col min="1385" max="1385" width="7.796875" bestFit="1" customWidth="1"/>
    <col min="1386" max="1386" width="10" bestFit="1" customWidth="1"/>
    <col min="1387" max="1387" width="7.796875" bestFit="1" customWidth="1"/>
    <col min="1388" max="1388" width="10" bestFit="1" customWidth="1"/>
    <col min="1389" max="1389" width="7.796875" bestFit="1" customWidth="1"/>
    <col min="1390" max="1390" width="10" bestFit="1" customWidth="1"/>
    <col min="1391" max="1391" width="7.796875" bestFit="1" customWidth="1"/>
    <col min="1392" max="1392" width="10" bestFit="1" customWidth="1"/>
    <col min="1393" max="1393" width="7.796875" bestFit="1" customWidth="1"/>
    <col min="1394" max="1394" width="10" bestFit="1" customWidth="1"/>
    <col min="1395" max="1395" width="7.796875" bestFit="1" customWidth="1"/>
    <col min="1396" max="1396" width="10" bestFit="1" customWidth="1"/>
    <col min="1397" max="1397" width="7.796875" bestFit="1" customWidth="1"/>
    <col min="1398" max="1398" width="10" bestFit="1" customWidth="1"/>
    <col min="1399" max="1399" width="7.796875" bestFit="1" customWidth="1"/>
    <col min="1400" max="1400" width="10" bestFit="1" customWidth="1"/>
    <col min="1401" max="1401" width="7.796875" bestFit="1" customWidth="1"/>
    <col min="1402" max="1402" width="10" bestFit="1" customWidth="1"/>
    <col min="1403" max="1403" width="7.796875" bestFit="1" customWidth="1"/>
    <col min="1404" max="1404" width="10" bestFit="1" customWidth="1"/>
    <col min="1405" max="1405" width="7.796875" bestFit="1" customWidth="1"/>
    <col min="1406" max="1406" width="10" bestFit="1" customWidth="1"/>
    <col min="1407" max="1407" width="7.796875" bestFit="1" customWidth="1"/>
    <col min="1408" max="1408" width="10" bestFit="1" customWidth="1"/>
    <col min="1409" max="1409" width="7.796875" bestFit="1" customWidth="1"/>
    <col min="1410" max="1410" width="10" bestFit="1" customWidth="1"/>
    <col min="1411" max="1411" width="7.796875" bestFit="1" customWidth="1"/>
    <col min="1412" max="1412" width="10" bestFit="1" customWidth="1"/>
    <col min="1413" max="1413" width="7.796875" bestFit="1" customWidth="1"/>
    <col min="1414" max="1414" width="10" bestFit="1" customWidth="1"/>
    <col min="1415" max="1415" width="7.796875" bestFit="1" customWidth="1"/>
    <col min="1416" max="1416" width="10" bestFit="1" customWidth="1"/>
    <col min="1417" max="1417" width="7.796875" bestFit="1" customWidth="1"/>
    <col min="1418" max="1418" width="10" bestFit="1" customWidth="1"/>
    <col min="1419" max="1419" width="7.796875" bestFit="1" customWidth="1"/>
    <col min="1420" max="1420" width="10" bestFit="1" customWidth="1"/>
    <col min="1421" max="1421" width="7.796875" bestFit="1" customWidth="1"/>
    <col min="1422" max="1422" width="10" bestFit="1" customWidth="1"/>
    <col min="1423" max="1423" width="7.796875" bestFit="1" customWidth="1"/>
    <col min="1424" max="1424" width="10" bestFit="1" customWidth="1"/>
    <col min="1425" max="1425" width="7.796875" bestFit="1" customWidth="1"/>
    <col min="1426" max="1426" width="10" bestFit="1" customWidth="1"/>
    <col min="1427" max="1427" width="7.796875" bestFit="1" customWidth="1"/>
    <col min="1428" max="1428" width="10" bestFit="1" customWidth="1"/>
    <col min="1429" max="1429" width="7.796875" bestFit="1" customWidth="1"/>
    <col min="1430" max="1430" width="10" bestFit="1" customWidth="1"/>
    <col min="1431" max="1431" width="7.796875" bestFit="1" customWidth="1"/>
    <col min="1432" max="1432" width="10" bestFit="1" customWidth="1"/>
    <col min="1433" max="1433" width="7.796875" bestFit="1" customWidth="1"/>
    <col min="1434" max="1434" width="10" bestFit="1" customWidth="1"/>
    <col min="1435" max="1435" width="7.796875" bestFit="1" customWidth="1"/>
    <col min="1436" max="1436" width="10" bestFit="1" customWidth="1"/>
    <col min="1437" max="1437" width="7.796875" bestFit="1" customWidth="1"/>
    <col min="1438" max="1438" width="10" bestFit="1" customWidth="1"/>
    <col min="1439" max="1439" width="7.796875" bestFit="1" customWidth="1"/>
    <col min="1440" max="1440" width="10" bestFit="1" customWidth="1"/>
    <col min="1441" max="1441" width="7.796875" bestFit="1" customWidth="1"/>
    <col min="1442" max="1442" width="10" bestFit="1" customWidth="1"/>
    <col min="1443" max="1443" width="7.796875" bestFit="1" customWidth="1"/>
    <col min="1444" max="1444" width="10" bestFit="1" customWidth="1"/>
    <col min="1445" max="1445" width="7.796875" bestFit="1" customWidth="1"/>
    <col min="1446" max="1446" width="10" bestFit="1" customWidth="1"/>
    <col min="1447" max="1447" width="7.796875" bestFit="1" customWidth="1"/>
    <col min="1448" max="1448" width="10" bestFit="1" customWidth="1"/>
    <col min="1449" max="1449" width="7.796875" bestFit="1" customWidth="1"/>
    <col min="1450" max="1450" width="10" bestFit="1" customWidth="1"/>
    <col min="1451" max="1451" width="7.796875" bestFit="1" customWidth="1"/>
    <col min="1452" max="1452" width="10" bestFit="1" customWidth="1"/>
    <col min="1453" max="1453" width="7.796875" bestFit="1" customWidth="1"/>
    <col min="1454" max="1454" width="10" bestFit="1" customWidth="1"/>
    <col min="1455" max="1455" width="7.796875" bestFit="1" customWidth="1"/>
    <col min="1456" max="1456" width="10" bestFit="1" customWidth="1"/>
    <col min="1457" max="1457" width="7.796875" bestFit="1" customWidth="1"/>
    <col min="1458" max="1458" width="10" bestFit="1" customWidth="1"/>
    <col min="1459" max="1459" width="7.796875" bestFit="1" customWidth="1"/>
    <col min="1460" max="1460" width="10" bestFit="1" customWidth="1"/>
    <col min="1461" max="1461" width="7.796875" bestFit="1" customWidth="1"/>
    <col min="1462" max="1462" width="10" bestFit="1" customWidth="1"/>
    <col min="1463" max="1463" width="7.796875" bestFit="1" customWidth="1"/>
    <col min="1464" max="1464" width="10" bestFit="1" customWidth="1"/>
    <col min="1465" max="1465" width="7.796875" bestFit="1" customWidth="1"/>
    <col min="1466" max="1466" width="10" bestFit="1" customWidth="1"/>
    <col min="1467" max="1467" width="7.796875" bestFit="1" customWidth="1"/>
    <col min="1468" max="1468" width="10" bestFit="1" customWidth="1"/>
    <col min="1469" max="1469" width="7.796875" bestFit="1" customWidth="1"/>
    <col min="1470" max="1470" width="10" bestFit="1" customWidth="1"/>
    <col min="1471" max="1471" width="7.796875" bestFit="1" customWidth="1"/>
    <col min="1472" max="1472" width="10" bestFit="1" customWidth="1"/>
    <col min="1473" max="1473" width="7.796875" bestFit="1" customWidth="1"/>
    <col min="1474" max="1474" width="10" bestFit="1" customWidth="1"/>
    <col min="1475" max="1475" width="7.796875" bestFit="1" customWidth="1"/>
    <col min="1476" max="1476" width="10" bestFit="1" customWidth="1"/>
    <col min="1477" max="1477" width="7.796875" bestFit="1" customWidth="1"/>
    <col min="1478" max="1478" width="10" bestFit="1" customWidth="1"/>
    <col min="1479" max="1479" width="7.796875" bestFit="1" customWidth="1"/>
    <col min="1480" max="1480" width="10" bestFit="1" customWidth="1"/>
    <col min="1481" max="1481" width="7.796875" bestFit="1" customWidth="1"/>
    <col min="1482" max="1482" width="10" bestFit="1" customWidth="1"/>
    <col min="1483" max="1483" width="7.796875" bestFit="1" customWidth="1"/>
    <col min="1484" max="1484" width="10" bestFit="1" customWidth="1"/>
    <col min="1485" max="1485" width="7.796875" bestFit="1" customWidth="1"/>
    <col min="1486" max="1486" width="10" bestFit="1" customWidth="1"/>
    <col min="1487" max="1487" width="7.796875" bestFit="1" customWidth="1"/>
    <col min="1488" max="1488" width="10" bestFit="1" customWidth="1"/>
    <col min="1489" max="1489" width="7.796875" bestFit="1" customWidth="1"/>
    <col min="1490" max="1490" width="10" bestFit="1" customWidth="1"/>
    <col min="1491" max="1491" width="7.796875" bestFit="1" customWidth="1"/>
    <col min="1492" max="1492" width="10" bestFit="1" customWidth="1"/>
    <col min="1493" max="1493" width="7.796875" bestFit="1" customWidth="1"/>
    <col min="1494" max="1494" width="10" bestFit="1" customWidth="1"/>
    <col min="1495" max="1495" width="7.796875" bestFit="1" customWidth="1"/>
    <col min="1496" max="1496" width="10" bestFit="1" customWidth="1"/>
    <col min="1497" max="1497" width="7.796875" bestFit="1" customWidth="1"/>
    <col min="1498" max="1498" width="10" bestFit="1" customWidth="1"/>
    <col min="1499" max="1499" width="7.796875" bestFit="1" customWidth="1"/>
    <col min="1500" max="1500" width="10" bestFit="1" customWidth="1"/>
    <col min="1501" max="1501" width="7.796875" bestFit="1" customWidth="1"/>
    <col min="1502" max="1502" width="10" bestFit="1" customWidth="1"/>
    <col min="1503" max="1503" width="7.796875" bestFit="1" customWidth="1"/>
    <col min="1504" max="1504" width="10" bestFit="1" customWidth="1"/>
    <col min="1505" max="1505" width="7.796875" bestFit="1" customWidth="1"/>
    <col min="1506" max="1506" width="10" bestFit="1" customWidth="1"/>
    <col min="1507" max="1507" width="7.796875" bestFit="1" customWidth="1"/>
    <col min="1508" max="1508" width="10" bestFit="1" customWidth="1"/>
    <col min="1509" max="1509" width="7.796875" bestFit="1" customWidth="1"/>
    <col min="1510" max="1510" width="10" bestFit="1" customWidth="1"/>
    <col min="1511" max="1511" width="7.796875" bestFit="1" customWidth="1"/>
    <col min="1512" max="1512" width="10" bestFit="1" customWidth="1"/>
    <col min="1513" max="1513" width="7.796875" bestFit="1" customWidth="1"/>
    <col min="1514" max="1514" width="10" bestFit="1" customWidth="1"/>
    <col min="1515" max="1515" width="7.796875" bestFit="1" customWidth="1"/>
    <col min="1516" max="1516" width="10" bestFit="1" customWidth="1"/>
    <col min="1517" max="1517" width="7.796875" bestFit="1" customWidth="1"/>
    <col min="1518" max="1518" width="10" bestFit="1" customWidth="1"/>
    <col min="1519" max="1519" width="7.796875" bestFit="1" customWidth="1"/>
    <col min="1520" max="1520" width="10" bestFit="1" customWidth="1"/>
    <col min="1521" max="1521" width="7.796875" bestFit="1" customWidth="1"/>
    <col min="1522" max="1522" width="10" bestFit="1" customWidth="1"/>
    <col min="1523" max="1523" width="7.796875" bestFit="1" customWidth="1"/>
    <col min="1524" max="1524" width="10" bestFit="1" customWidth="1"/>
    <col min="1525" max="1525" width="7.796875" bestFit="1" customWidth="1"/>
    <col min="1526" max="1526" width="10" bestFit="1" customWidth="1"/>
    <col min="1527" max="1527" width="7.796875" bestFit="1" customWidth="1"/>
    <col min="1528" max="1528" width="10" bestFit="1" customWidth="1"/>
    <col min="1529" max="1529" width="7.796875" bestFit="1" customWidth="1"/>
    <col min="1530" max="1530" width="10" bestFit="1" customWidth="1"/>
    <col min="1531" max="1531" width="7.796875" bestFit="1" customWidth="1"/>
    <col min="1532" max="1532" width="10" bestFit="1" customWidth="1"/>
    <col min="1533" max="1533" width="7.796875" bestFit="1" customWidth="1"/>
    <col min="1534" max="1534" width="10" bestFit="1" customWidth="1"/>
    <col min="1535" max="1535" width="7.796875" bestFit="1" customWidth="1"/>
    <col min="1536" max="1536" width="10" bestFit="1" customWidth="1"/>
    <col min="1537" max="1537" width="7.796875" bestFit="1" customWidth="1"/>
    <col min="1538" max="1538" width="10" bestFit="1" customWidth="1"/>
    <col min="1539" max="1539" width="7.796875" bestFit="1" customWidth="1"/>
    <col min="1540" max="1540" width="10" bestFit="1" customWidth="1"/>
    <col min="1541" max="1541" width="7.796875" bestFit="1" customWidth="1"/>
    <col min="1542" max="1542" width="10" bestFit="1" customWidth="1"/>
    <col min="1543" max="1543" width="7.796875" bestFit="1" customWidth="1"/>
    <col min="1544" max="1544" width="10" bestFit="1" customWidth="1"/>
    <col min="1545" max="1545" width="7.796875" bestFit="1" customWidth="1"/>
    <col min="1546" max="1546" width="10" bestFit="1" customWidth="1"/>
    <col min="1547" max="1547" width="7.796875" bestFit="1" customWidth="1"/>
    <col min="1548" max="1548" width="10" bestFit="1" customWidth="1"/>
    <col min="1549" max="1549" width="7.796875" bestFit="1" customWidth="1"/>
    <col min="1550" max="1550" width="10" bestFit="1" customWidth="1"/>
    <col min="1551" max="1551" width="7.796875" bestFit="1" customWidth="1"/>
    <col min="1552" max="1552" width="10" bestFit="1" customWidth="1"/>
    <col min="1553" max="1553" width="7.796875" bestFit="1" customWidth="1"/>
    <col min="1554" max="1554" width="10" bestFit="1" customWidth="1"/>
    <col min="1555" max="1555" width="7.796875" bestFit="1" customWidth="1"/>
    <col min="1556" max="1556" width="10" bestFit="1" customWidth="1"/>
    <col min="1557" max="1557" width="7.796875" bestFit="1" customWidth="1"/>
    <col min="1558" max="1558" width="10" bestFit="1" customWidth="1"/>
    <col min="1559" max="1559" width="7.796875" bestFit="1" customWidth="1"/>
    <col min="1560" max="1560" width="10" bestFit="1" customWidth="1"/>
    <col min="1561" max="1561" width="7.796875" bestFit="1" customWidth="1"/>
    <col min="1562" max="1562" width="10" bestFit="1" customWidth="1"/>
    <col min="1563" max="1563" width="7.796875" bestFit="1" customWidth="1"/>
    <col min="1564" max="1564" width="10" bestFit="1" customWidth="1"/>
    <col min="1565" max="1565" width="7.796875" bestFit="1" customWidth="1"/>
    <col min="1566" max="1566" width="10" bestFit="1" customWidth="1"/>
    <col min="1567" max="1567" width="7.796875" bestFit="1" customWidth="1"/>
    <col min="1568" max="1568" width="10" bestFit="1" customWidth="1"/>
    <col min="1569" max="1569" width="7.796875" bestFit="1" customWidth="1"/>
    <col min="1570" max="1570" width="10" bestFit="1" customWidth="1"/>
    <col min="1571" max="1571" width="7.796875" bestFit="1" customWidth="1"/>
    <col min="1572" max="1572" width="10" bestFit="1" customWidth="1"/>
    <col min="1573" max="1573" width="7.796875" bestFit="1" customWidth="1"/>
    <col min="1574" max="1574" width="10" bestFit="1" customWidth="1"/>
    <col min="1575" max="1575" width="7.796875" bestFit="1" customWidth="1"/>
    <col min="1576" max="1576" width="10" bestFit="1" customWidth="1"/>
    <col min="1577" max="1577" width="7.796875" bestFit="1" customWidth="1"/>
    <col min="1578" max="1578" width="10" bestFit="1" customWidth="1"/>
    <col min="1579" max="1579" width="7.796875" bestFit="1" customWidth="1"/>
    <col min="1580" max="1580" width="10" bestFit="1" customWidth="1"/>
    <col min="1581" max="1581" width="7.796875" bestFit="1" customWidth="1"/>
    <col min="1582" max="1582" width="10" bestFit="1" customWidth="1"/>
    <col min="1583" max="1583" width="7.796875" bestFit="1" customWidth="1"/>
    <col min="1584" max="1584" width="10" bestFit="1" customWidth="1"/>
    <col min="1585" max="1585" width="7.796875" bestFit="1" customWidth="1"/>
    <col min="1586" max="1586" width="10" bestFit="1" customWidth="1"/>
    <col min="1587" max="1587" width="7.796875" bestFit="1" customWidth="1"/>
    <col min="1588" max="1588" width="10" bestFit="1" customWidth="1"/>
    <col min="1589" max="1589" width="7.796875" bestFit="1" customWidth="1"/>
    <col min="1590" max="1590" width="10" bestFit="1" customWidth="1"/>
    <col min="1591" max="1591" width="7.796875" bestFit="1" customWidth="1"/>
    <col min="1592" max="1592" width="10" bestFit="1" customWidth="1"/>
    <col min="1593" max="1593" width="7.796875" bestFit="1" customWidth="1"/>
    <col min="1594" max="1594" width="10" bestFit="1" customWidth="1"/>
    <col min="1595" max="1595" width="7.796875" bestFit="1" customWidth="1"/>
    <col min="1596" max="1596" width="10" bestFit="1" customWidth="1"/>
    <col min="1597" max="1597" width="7.796875" bestFit="1" customWidth="1"/>
    <col min="1598" max="1598" width="10" bestFit="1" customWidth="1"/>
    <col min="1599" max="1599" width="7.796875" bestFit="1" customWidth="1"/>
    <col min="1600" max="1600" width="10" bestFit="1" customWidth="1"/>
    <col min="1601" max="1601" width="7.796875" bestFit="1" customWidth="1"/>
    <col min="1602" max="1602" width="10" bestFit="1" customWidth="1"/>
    <col min="1603" max="1603" width="7.796875" bestFit="1" customWidth="1"/>
    <col min="1604" max="1604" width="10" bestFit="1" customWidth="1"/>
    <col min="1605" max="1605" width="7.796875" bestFit="1" customWidth="1"/>
    <col min="1606" max="1606" width="10" bestFit="1" customWidth="1"/>
    <col min="1607" max="1607" width="7.796875" bestFit="1" customWidth="1"/>
    <col min="1608" max="1608" width="10" bestFit="1" customWidth="1"/>
    <col min="1609" max="1609" width="7.796875" bestFit="1" customWidth="1"/>
    <col min="1610" max="1610" width="10" bestFit="1" customWidth="1"/>
    <col min="1611" max="1611" width="7.796875" bestFit="1" customWidth="1"/>
    <col min="1612" max="1612" width="10" bestFit="1" customWidth="1"/>
    <col min="1613" max="1613" width="7.796875" bestFit="1" customWidth="1"/>
    <col min="1614" max="1614" width="10" bestFit="1" customWidth="1"/>
    <col min="1615" max="1615" width="7.796875" bestFit="1" customWidth="1"/>
    <col min="1616" max="1616" width="10" bestFit="1" customWidth="1"/>
    <col min="1617" max="1617" width="7.796875" bestFit="1" customWidth="1"/>
    <col min="1618" max="1618" width="10" bestFit="1" customWidth="1"/>
    <col min="1619" max="1619" width="7.796875" bestFit="1" customWidth="1"/>
    <col min="1620" max="1620" width="10" bestFit="1" customWidth="1"/>
    <col min="1621" max="1621" width="7.796875" bestFit="1" customWidth="1"/>
    <col min="1622" max="1622" width="10" bestFit="1" customWidth="1"/>
    <col min="1623" max="1623" width="7.796875" bestFit="1" customWidth="1"/>
    <col min="1624" max="1624" width="10" bestFit="1" customWidth="1"/>
    <col min="1625" max="1625" width="7.796875" bestFit="1" customWidth="1"/>
    <col min="1626" max="1626" width="10" bestFit="1" customWidth="1"/>
    <col min="1627" max="1627" width="7.796875" bestFit="1" customWidth="1"/>
    <col min="1628" max="1628" width="10" bestFit="1" customWidth="1"/>
    <col min="1629" max="1629" width="7.796875" bestFit="1" customWidth="1"/>
    <col min="1630" max="1630" width="10" bestFit="1" customWidth="1"/>
    <col min="1631" max="1631" width="7.796875" bestFit="1" customWidth="1"/>
    <col min="1632" max="1632" width="10" bestFit="1" customWidth="1"/>
    <col min="1633" max="1633" width="7.796875" bestFit="1" customWidth="1"/>
    <col min="1634" max="1634" width="10" bestFit="1" customWidth="1"/>
    <col min="1635" max="1635" width="7.796875" bestFit="1" customWidth="1"/>
    <col min="1636" max="1636" width="10" bestFit="1" customWidth="1"/>
    <col min="1637" max="1637" width="7.796875" bestFit="1" customWidth="1"/>
    <col min="1638" max="1638" width="10" bestFit="1" customWidth="1"/>
    <col min="1639" max="1639" width="7.796875" bestFit="1" customWidth="1"/>
    <col min="1640" max="1640" width="10" bestFit="1" customWidth="1"/>
    <col min="1641" max="1641" width="7.796875" bestFit="1" customWidth="1"/>
    <col min="1642" max="1642" width="10" bestFit="1" customWidth="1"/>
    <col min="1643" max="1643" width="7.796875" bestFit="1" customWidth="1"/>
    <col min="1644" max="1644" width="10" bestFit="1" customWidth="1"/>
    <col min="1645" max="1645" width="7.796875" bestFit="1" customWidth="1"/>
    <col min="1646" max="1646" width="10" bestFit="1" customWidth="1"/>
    <col min="1647" max="1647" width="7.796875" bestFit="1" customWidth="1"/>
    <col min="1648" max="1648" width="10" bestFit="1" customWidth="1"/>
    <col min="1649" max="1649" width="7.796875" bestFit="1" customWidth="1"/>
    <col min="1650" max="1650" width="10" bestFit="1" customWidth="1"/>
    <col min="1651" max="1651" width="7.796875" bestFit="1" customWidth="1"/>
    <col min="1652" max="1652" width="10" bestFit="1" customWidth="1"/>
    <col min="1653" max="1653" width="7.796875" bestFit="1" customWidth="1"/>
    <col min="1654" max="1654" width="10" bestFit="1" customWidth="1"/>
    <col min="1655" max="1655" width="7.796875" bestFit="1" customWidth="1"/>
    <col min="1656" max="1656" width="10" bestFit="1" customWidth="1"/>
    <col min="1657" max="1657" width="7.796875" bestFit="1" customWidth="1"/>
    <col min="1658" max="1658" width="10" bestFit="1" customWidth="1"/>
    <col min="1659" max="1659" width="7.796875" bestFit="1" customWidth="1"/>
    <col min="1660" max="1660" width="10" bestFit="1" customWidth="1"/>
    <col min="1661" max="1661" width="7.796875" bestFit="1" customWidth="1"/>
    <col min="1662" max="1662" width="10" bestFit="1" customWidth="1"/>
    <col min="1663" max="1663" width="7.796875" bestFit="1" customWidth="1"/>
    <col min="1664" max="1664" width="10" bestFit="1" customWidth="1"/>
    <col min="1665" max="1665" width="7.796875" bestFit="1" customWidth="1"/>
    <col min="1666" max="1666" width="10" bestFit="1" customWidth="1"/>
    <col min="1667" max="1667" width="7.796875" bestFit="1" customWidth="1"/>
    <col min="1668" max="1668" width="10" bestFit="1" customWidth="1"/>
    <col min="1669" max="1669" width="7.796875" bestFit="1" customWidth="1"/>
    <col min="1670" max="1670" width="10" bestFit="1" customWidth="1"/>
    <col min="1671" max="1671" width="7.796875" bestFit="1" customWidth="1"/>
    <col min="1672" max="1672" width="10" bestFit="1" customWidth="1"/>
    <col min="1673" max="1673" width="7.796875" bestFit="1" customWidth="1"/>
    <col min="1674" max="1674" width="10" bestFit="1" customWidth="1"/>
    <col min="1675" max="1675" width="7.796875" bestFit="1" customWidth="1"/>
    <col min="1676" max="1676" width="10" bestFit="1" customWidth="1"/>
    <col min="1677" max="1677" width="7.796875" bestFit="1" customWidth="1"/>
    <col min="1678" max="1678" width="10" bestFit="1" customWidth="1"/>
    <col min="1679" max="1679" width="7.796875" bestFit="1" customWidth="1"/>
    <col min="1680" max="1680" width="10" bestFit="1" customWidth="1"/>
    <col min="1681" max="1681" width="7.796875" bestFit="1" customWidth="1"/>
    <col min="1682" max="1682" width="10" bestFit="1" customWidth="1"/>
    <col min="1683" max="1683" width="7.796875" bestFit="1" customWidth="1"/>
    <col min="1684" max="1684" width="10" bestFit="1" customWidth="1"/>
    <col min="1685" max="1685" width="7.796875" bestFit="1" customWidth="1"/>
    <col min="1686" max="1686" width="10" bestFit="1" customWidth="1"/>
    <col min="1687" max="1687" width="7.796875" bestFit="1" customWidth="1"/>
    <col min="1688" max="1688" width="10" bestFit="1" customWidth="1"/>
    <col min="1689" max="1689" width="7.796875" bestFit="1" customWidth="1"/>
    <col min="1690" max="1690" width="10" bestFit="1" customWidth="1"/>
    <col min="1691" max="1691" width="7.796875" bestFit="1" customWidth="1"/>
    <col min="1692" max="1692" width="10" bestFit="1" customWidth="1"/>
    <col min="1693" max="1693" width="7.796875" bestFit="1" customWidth="1"/>
    <col min="1694" max="1694" width="10" bestFit="1" customWidth="1"/>
    <col min="1695" max="1695" width="7.796875" bestFit="1" customWidth="1"/>
    <col min="1696" max="1696" width="10" bestFit="1" customWidth="1"/>
    <col min="1697" max="1697" width="7.796875" bestFit="1" customWidth="1"/>
    <col min="1698" max="1698" width="10" bestFit="1" customWidth="1"/>
    <col min="1699" max="1699" width="7.796875" bestFit="1" customWidth="1"/>
    <col min="1700" max="1700" width="10" bestFit="1" customWidth="1"/>
    <col min="1701" max="1701" width="7.796875" bestFit="1" customWidth="1"/>
    <col min="1702" max="1702" width="10" bestFit="1" customWidth="1"/>
    <col min="1703" max="1703" width="7.796875" bestFit="1" customWidth="1"/>
    <col min="1704" max="1704" width="10" bestFit="1" customWidth="1"/>
    <col min="1705" max="1705" width="7.796875" bestFit="1" customWidth="1"/>
    <col min="1706" max="1706" width="10" bestFit="1" customWidth="1"/>
    <col min="1707" max="1707" width="7.796875" bestFit="1" customWidth="1"/>
    <col min="1708" max="1708" width="10" bestFit="1" customWidth="1"/>
    <col min="1709" max="1709" width="7.796875" bestFit="1" customWidth="1"/>
    <col min="1710" max="1710" width="10" bestFit="1" customWidth="1"/>
    <col min="1711" max="1711" width="7.796875" bestFit="1" customWidth="1"/>
    <col min="1712" max="1712" width="10" bestFit="1" customWidth="1"/>
    <col min="1713" max="1713" width="7.796875" bestFit="1" customWidth="1"/>
    <col min="1714" max="1714" width="10" bestFit="1" customWidth="1"/>
    <col min="1715" max="1715" width="7.796875" bestFit="1" customWidth="1"/>
    <col min="1716" max="1716" width="10" bestFit="1" customWidth="1"/>
    <col min="1717" max="1717" width="7.796875" bestFit="1" customWidth="1"/>
    <col min="1718" max="1718" width="10" bestFit="1" customWidth="1"/>
    <col min="1719" max="1719" width="7.796875" bestFit="1" customWidth="1"/>
    <col min="1720" max="1720" width="10" bestFit="1" customWidth="1"/>
    <col min="1721" max="1721" width="7.796875" bestFit="1" customWidth="1"/>
    <col min="1722" max="1722" width="10" bestFit="1" customWidth="1"/>
    <col min="1723" max="1723" width="7.796875" bestFit="1" customWidth="1"/>
    <col min="1724" max="1724" width="10" bestFit="1" customWidth="1"/>
    <col min="1725" max="1725" width="7.796875" bestFit="1" customWidth="1"/>
    <col min="1726" max="1726" width="10" bestFit="1" customWidth="1"/>
    <col min="1727" max="1727" width="7.796875" bestFit="1" customWidth="1"/>
    <col min="1728" max="1728" width="10" bestFit="1" customWidth="1"/>
    <col min="1729" max="1729" width="7.796875" bestFit="1" customWidth="1"/>
    <col min="1730" max="1730" width="10" bestFit="1" customWidth="1"/>
    <col min="1731" max="1731" width="7.796875" bestFit="1" customWidth="1"/>
    <col min="1732" max="1732" width="10" bestFit="1" customWidth="1"/>
    <col min="1733" max="1733" width="7.796875" bestFit="1" customWidth="1"/>
    <col min="1734" max="1734" width="10" bestFit="1" customWidth="1"/>
    <col min="1735" max="1735" width="7.796875" bestFit="1" customWidth="1"/>
    <col min="1736" max="1736" width="10" bestFit="1" customWidth="1"/>
    <col min="1737" max="1737" width="7.796875" bestFit="1" customWidth="1"/>
    <col min="1738" max="1738" width="10" bestFit="1" customWidth="1"/>
    <col min="1739" max="1739" width="7.796875" bestFit="1" customWidth="1"/>
    <col min="1740" max="1740" width="10" bestFit="1" customWidth="1"/>
    <col min="1741" max="1741" width="7.796875" bestFit="1" customWidth="1"/>
    <col min="1742" max="1742" width="10" bestFit="1" customWidth="1"/>
    <col min="1743" max="1743" width="7.796875" bestFit="1" customWidth="1"/>
    <col min="1744" max="1744" width="10" bestFit="1" customWidth="1"/>
    <col min="1745" max="1745" width="7.796875" bestFit="1" customWidth="1"/>
    <col min="1746" max="1746" width="10" bestFit="1" customWidth="1"/>
    <col min="1747" max="1747" width="7.796875" bestFit="1" customWidth="1"/>
    <col min="1748" max="1748" width="10" bestFit="1" customWidth="1"/>
    <col min="1749" max="1749" width="7.796875" bestFit="1" customWidth="1"/>
    <col min="1750" max="1750" width="10" bestFit="1" customWidth="1"/>
    <col min="1751" max="1751" width="7.796875" bestFit="1" customWidth="1"/>
    <col min="1752" max="1752" width="10" bestFit="1" customWidth="1"/>
    <col min="1753" max="1753" width="7.796875" bestFit="1" customWidth="1"/>
    <col min="1754" max="1754" width="10" bestFit="1" customWidth="1"/>
    <col min="1755" max="1755" width="7.796875" bestFit="1" customWidth="1"/>
    <col min="1756" max="1756" width="10" bestFit="1" customWidth="1"/>
    <col min="1757" max="1757" width="7.796875" bestFit="1" customWidth="1"/>
    <col min="1758" max="1758" width="10" bestFit="1" customWidth="1"/>
    <col min="1759" max="1759" width="7.796875" bestFit="1" customWidth="1"/>
    <col min="1760" max="1760" width="10" bestFit="1" customWidth="1"/>
    <col min="1761" max="1761" width="7.796875" bestFit="1" customWidth="1"/>
    <col min="1762" max="1762" width="10" bestFit="1" customWidth="1"/>
    <col min="1763" max="1763" width="7.796875" bestFit="1" customWidth="1"/>
    <col min="1764" max="1764" width="10" bestFit="1" customWidth="1"/>
    <col min="1765" max="1765" width="7.796875" bestFit="1" customWidth="1"/>
    <col min="1766" max="1766" width="10" bestFit="1" customWidth="1"/>
    <col min="1767" max="1767" width="7.796875" bestFit="1" customWidth="1"/>
    <col min="1768" max="1768" width="10" bestFit="1" customWidth="1"/>
    <col min="1769" max="1769" width="7.796875" bestFit="1" customWidth="1"/>
    <col min="1770" max="1770" width="10" bestFit="1" customWidth="1"/>
    <col min="1771" max="1771" width="7.796875" bestFit="1" customWidth="1"/>
    <col min="1772" max="1772" width="10" bestFit="1" customWidth="1"/>
    <col min="1773" max="1773" width="7.796875" bestFit="1" customWidth="1"/>
    <col min="1774" max="1774" width="10" bestFit="1" customWidth="1"/>
    <col min="1775" max="1775" width="7.796875" bestFit="1" customWidth="1"/>
    <col min="1776" max="1776" width="10" bestFit="1" customWidth="1"/>
    <col min="1777" max="1777" width="7.796875" bestFit="1" customWidth="1"/>
    <col min="1778" max="1778" width="10" bestFit="1" customWidth="1"/>
    <col min="1779" max="1779" width="7.796875" bestFit="1" customWidth="1"/>
    <col min="1780" max="1780" width="10" bestFit="1" customWidth="1"/>
    <col min="1781" max="1781" width="7.796875" bestFit="1" customWidth="1"/>
    <col min="1782" max="1782" width="10" bestFit="1" customWidth="1"/>
    <col min="1783" max="1783" width="7.796875" bestFit="1" customWidth="1"/>
    <col min="1784" max="1784" width="10" bestFit="1" customWidth="1"/>
    <col min="1785" max="1785" width="7.796875" bestFit="1" customWidth="1"/>
    <col min="1786" max="1786" width="10" bestFit="1" customWidth="1"/>
    <col min="1787" max="1787" width="7.796875" bestFit="1" customWidth="1"/>
    <col min="1788" max="1788" width="10" bestFit="1" customWidth="1"/>
    <col min="1789" max="1789" width="7.796875" bestFit="1" customWidth="1"/>
    <col min="1790" max="1790" width="10" bestFit="1" customWidth="1"/>
    <col min="1791" max="1791" width="7.796875" bestFit="1" customWidth="1"/>
    <col min="1792" max="1792" width="10" bestFit="1" customWidth="1"/>
    <col min="1793" max="1793" width="7.796875" bestFit="1" customWidth="1"/>
    <col min="1794" max="1794" width="10" bestFit="1" customWidth="1"/>
    <col min="1795" max="1795" width="7.796875" bestFit="1" customWidth="1"/>
    <col min="1796" max="1796" width="10" bestFit="1" customWidth="1"/>
    <col min="1797" max="1797" width="7.796875" bestFit="1" customWidth="1"/>
    <col min="1798" max="1798" width="10" bestFit="1" customWidth="1"/>
    <col min="1799" max="1799" width="7.796875" bestFit="1" customWidth="1"/>
    <col min="1800" max="1800" width="10" bestFit="1" customWidth="1"/>
    <col min="1801" max="1801" width="7.796875" bestFit="1" customWidth="1"/>
    <col min="1802" max="1802" width="10" bestFit="1" customWidth="1"/>
    <col min="1803" max="1803" width="7.796875" bestFit="1" customWidth="1"/>
    <col min="1804" max="1804" width="10" bestFit="1" customWidth="1"/>
    <col min="1805" max="1805" width="7.796875" bestFit="1" customWidth="1"/>
    <col min="1806" max="1806" width="10" bestFit="1" customWidth="1"/>
    <col min="1807" max="1807" width="7.796875" bestFit="1" customWidth="1"/>
    <col min="1808" max="1808" width="10" bestFit="1" customWidth="1"/>
    <col min="1809" max="1809" width="7.796875" bestFit="1" customWidth="1"/>
    <col min="1810" max="1810" width="10" bestFit="1" customWidth="1"/>
    <col min="1811" max="1811" width="7.796875" bestFit="1" customWidth="1"/>
    <col min="1812" max="1812" width="10" bestFit="1" customWidth="1"/>
    <col min="1813" max="1813" width="7.796875" bestFit="1" customWidth="1"/>
    <col min="1814" max="1814" width="10" bestFit="1" customWidth="1"/>
    <col min="1815" max="1815" width="7.796875" bestFit="1" customWidth="1"/>
    <col min="1816" max="1816" width="10" bestFit="1" customWidth="1"/>
    <col min="1817" max="1817" width="7.796875" bestFit="1" customWidth="1"/>
    <col min="1818" max="1818" width="10" bestFit="1" customWidth="1"/>
    <col min="1819" max="1819" width="7.796875" bestFit="1" customWidth="1"/>
    <col min="1820" max="1820" width="10" bestFit="1" customWidth="1"/>
    <col min="1821" max="1821" width="7.796875" bestFit="1" customWidth="1"/>
    <col min="1822" max="1822" width="10" bestFit="1" customWidth="1"/>
    <col min="1823" max="1823" width="7.796875" bestFit="1" customWidth="1"/>
    <col min="1824" max="1824" width="10" bestFit="1" customWidth="1"/>
    <col min="1825" max="1825" width="7.796875" bestFit="1" customWidth="1"/>
    <col min="1826" max="1826" width="10" bestFit="1" customWidth="1"/>
    <col min="1827" max="1827" width="7.796875" bestFit="1" customWidth="1"/>
    <col min="1828" max="1828" width="10" bestFit="1" customWidth="1"/>
    <col min="1829" max="1829" width="7.796875" bestFit="1" customWidth="1"/>
    <col min="1830" max="1830" width="10" bestFit="1" customWidth="1"/>
    <col min="1831" max="1831" width="7.796875" bestFit="1" customWidth="1"/>
    <col min="1832" max="1832" width="10" bestFit="1" customWidth="1"/>
    <col min="1833" max="1833" width="7.796875" bestFit="1" customWidth="1"/>
    <col min="1834" max="1834" width="10" bestFit="1" customWidth="1"/>
    <col min="1835" max="1835" width="7.796875" bestFit="1" customWidth="1"/>
    <col min="1836" max="1836" width="10" bestFit="1" customWidth="1"/>
    <col min="1837" max="1837" width="7.796875" bestFit="1" customWidth="1"/>
    <col min="1838" max="1838" width="10" bestFit="1" customWidth="1"/>
    <col min="1839" max="1839" width="7.796875" bestFit="1" customWidth="1"/>
    <col min="1840" max="1840" width="10" bestFit="1" customWidth="1"/>
    <col min="1841" max="1841" width="7.796875" bestFit="1" customWidth="1"/>
    <col min="1842" max="1842" width="10" bestFit="1" customWidth="1"/>
    <col min="1843" max="1843" width="7.796875" bestFit="1" customWidth="1"/>
    <col min="1844" max="1844" width="10" bestFit="1" customWidth="1"/>
    <col min="1845" max="1845" width="7.796875" bestFit="1" customWidth="1"/>
    <col min="1846" max="1846" width="10" bestFit="1" customWidth="1"/>
    <col min="1847" max="1847" width="7.796875" bestFit="1" customWidth="1"/>
    <col min="1848" max="1848" width="10" bestFit="1" customWidth="1"/>
    <col min="1849" max="1849" width="7.796875" bestFit="1" customWidth="1"/>
    <col min="1850" max="1850" width="10" bestFit="1" customWidth="1"/>
    <col min="1851" max="1851" width="7.796875" bestFit="1" customWidth="1"/>
    <col min="1852" max="1852" width="10" bestFit="1" customWidth="1"/>
    <col min="1853" max="1853" width="7.796875" bestFit="1" customWidth="1"/>
    <col min="1854" max="1854" width="10" bestFit="1" customWidth="1"/>
    <col min="1855" max="1855" width="7.796875" bestFit="1" customWidth="1"/>
    <col min="1856" max="1856" width="10" bestFit="1" customWidth="1"/>
    <col min="1857" max="1857" width="7.796875" bestFit="1" customWidth="1"/>
    <col min="1858" max="1858" width="10" bestFit="1" customWidth="1"/>
    <col min="1859" max="1859" width="7.796875" bestFit="1" customWidth="1"/>
    <col min="1860" max="1860" width="10" bestFit="1" customWidth="1"/>
    <col min="1861" max="1861" width="7.796875" bestFit="1" customWidth="1"/>
    <col min="1862" max="1862" width="10" bestFit="1" customWidth="1"/>
    <col min="1863" max="1863" width="7.796875" bestFit="1" customWidth="1"/>
    <col min="1864" max="1864" width="10" bestFit="1" customWidth="1"/>
    <col min="1865" max="1865" width="7.796875" bestFit="1" customWidth="1"/>
    <col min="1866" max="1866" width="10" bestFit="1" customWidth="1"/>
    <col min="1867" max="1867" width="7.796875" bestFit="1" customWidth="1"/>
    <col min="1868" max="1868" width="10" bestFit="1" customWidth="1"/>
    <col min="1869" max="1869" width="7.796875" bestFit="1" customWidth="1"/>
    <col min="1870" max="1870" width="10" bestFit="1" customWidth="1"/>
    <col min="1871" max="1871" width="7.796875" bestFit="1" customWidth="1"/>
    <col min="1872" max="1872" width="10" bestFit="1" customWidth="1"/>
    <col min="1873" max="1873" width="7.796875" bestFit="1" customWidth="1"/>
    <col min="1874" max="1874" width="10" bestFit="1" customWidth="1"/>
    <col min="1875" max="1875" width="7.796875" bestFit="1" customWidth="1"/>
    <col min="1876" max="1876" width="10" bestFit="1" customWidth="1"/>
    <col min="1877" max="1877" width="7.796875" bestFit="1" customWidth="1"/>
    <col min="1878" max="1878" width="10" bestFit="1" customWidth="1"/>
    <col min="1879" max="1879" width="7.796875" bestFit="1" customWidth="1"/>
    <col min="1880" max="1880" width="10" bestFit="1" customWidth="1"/>
    <col min="1881" max="1881" width="7.796875" bestFit="1" customWidth="1"/>
    <col min="1882" max="1882" width="10" bestFit="1" customWidth="1"/>
    <col min="1883" max="1883" width="7.796875" bestFit="1" customWidth="1"/>
    <col min="1884" max="1884" width="10" bestFit="1" customWidth="1"/>
    <col min="1885" max="1885" width="7.796875" bestFit="1" customWidth="1"/>
    <col min="1886" max="1886" width="10" bestFit="1" customWidth="1"/>
    <col min="1887" max="1887" width="7.796875" bestFit="1" customWidth="1"/>
    <col min="1888" max="1888" width="10" bestFit="1" customWidth="1"/>
    <col min="1889" max="1889" width="7.796875" bestFit="1" customWidth="1"/>
    <col min="1890" max="1890" width="10" bestFit="1" customWidth="1"/>
    <col min="1891" max="1891" width="7.796875" bestFit="1" customWidth="1"/>
    <col min="1892" max="1892" width="10" bestFit="1" customWidth="1"/>
    <col min="1893" max="1893" width="7.796875" bestFit="1" customWidth="1"/>
    <col min="1894" max="1894" width="10" bestFit="1" customWidth="1"/>
    <col min="1895" max="1895" width="7.796875" bestFit="1" customWidth="1"/>
    <col min="1896" max="1896" width="10" bestFit="1" customWidth="1"/>
    <col min="1897" max="1897" width="7.796875" bestFit="1" customWidth="1"/>
    <col min="1898" max="1898" width="10" bestFit="1" customWidth="1"/>
    <col min="1899" max="1899" width="7.796875" bestFit="1" customWidth="1"/>
    <col min="1900" max="1900" width="10" bestFit="1" customWidth="1"/>
    <col min="1901" max="1901" width="7.796875" bestFit="1" customWidth="1"/>
    <col min="1902" max="1902" width="10" bestFit="1" customWidth="1"/>
    <col min="1903" max="1903" width="7.796875" bestFit="1" customWidth="1"/>
    <col min="1904" max="1904" width="10" bestFit="1" customWidth="1"/>
    <col min="1905" max="1905" width="7.796875" bestFit="1" customWidth="1"/>
    <col min="1906" max="1906" width="10" bestFit="1" customWidth="1"/>
    <col min="1907" max="1907" width="7.796875" bestFit="1" customWidth="1"/>
    <col min="1908" max="1908" width="10" bestFit="1" customWidth="1"/>
    <col min="1909" max="1909" width="7.796875" bestFit="1" customWidth="1"/>
    <col min="1910" max="1910" width="10" bestFit="1" customWidth="1"/>
    <col min="1911" max="1911" width="7.796875" bestFit="1" customWidth="1"/>
    <col min="1912" max="1912" width="10" bestFit="1" customWidth="1"/>
    <col min="1913" max="1913" width="7.796875" bestFit="1" customWidth="1"/>
    <col min="1914" max="1914" width="10" bestFit="1" customWidth="1"/>
    <col min="1915" max="1915" width="7.796875" bestFit="1" customWidth="1"/>
    <col min="1916" max="1916" width="10" bestFit="1" customWidth="1"/>
    <col min="1917" max="1917" width="7.796875" bestFit="1" customWidth="1"/>
    <col min="1918" max="1918" width="10" bestFit="1" customWidth="1"/>
    <col min="1919" max="1919" width="7.796875" bestFit="1" customWidth="1"/>
    <col min="1920" max="1920" width="10" bestFit="1" customWidth="1"/>
    <col min="1921" max="1921" width="7.796875" bestFit="1" customWidth="1"/>
    <col min="1922" max="1922" width="10" bestFit="1" customWidth="1"/>
    <col min="1923" max="1923" width="7.796875" bestFit="1" customWidth="1"/>
    <col min="1924" max="1924" width="10" bestFit="1" customWidth="1"/>
    <col min="1925" max="1925" width="7.796875" bestFit="1" customWidth="1"/>
    <col min="1926" max="1926" width="10" bestFit="1" customWidth="1"/>
    <col min="1927" max="1927" width="7.796875" bestFit="1" customWidth="1"/>
    <col min="1928" max="1928" width="10" bestFit="1" customWidth="1"/>
    <col min="1929" max="1929" width="7.796875" bestFit="1" customWidth="1"/>
    <col min="1930" max="1930" width="10" bestFit="1" customWidth="1"/>
    <col min="1931" max="1931" width="7.796875" bestFit="1" customWidth="1"/>
    <col min="1932" max="1932" width="10" bestFit="1" customWidth="1"/>
    <col min="1933" max="1933" width="7.796875" bestFit="1" customWidth="1"/>
    <col min="1934" max="1934" width="10" bestFit="1" customWidth="1"/>
    <col min="1935" max="1935" width="7.796875" bestFit="1" customWidth="1"/>
    <col min="1936" max="1936" width="10" bestFit="1" customWidth="1"/>
    <col min="1937" max="1937" width="7.796875" bestFit="1" customWidth="1"/>
    <col min="1938" max="1938" width="10" bestFit="1" customWidth="1"/>
    <col min="1939" max="1939" width="7.796875" bestFit="1" customWidth="1"/>
    <col min="1940" max="1940" width="10" bestFit="1" customWidth="1"/>
    <col min="1941" max="1941" width="7.796875" bestFit="1" customWidth="1"/>
    <col min="1942" max="1942" width="10" bestFit="1" customWidth="1"/>
    <col min="1943" max="1943" width="7.796875" bestFit="1" customWidth="1"/>
    <col min="1944" max="1944" width="10" bestFit="1" customWidth="1"/>
    <col min="1945" max="1945" width="7.796875" bestFit="1" customWidth="1"/>
    <col min="1946" max="1946" width="10" bestFit="1" customWidth="1"/>
    <col min="1947" max="1947" width="7.796875" bestFit="1" customWidth="1"/>
    <col min="1948" max="1948" width="10" bestFit="1" customWidth="1"/>
    <col min="1949" max="1949" width="7.796875" bestFit="1" customWidth="1"/>
    <col min="1950" max="1950" width="10" bestFit="1" customWidth="1"/>
    <col min="1951" max="1951" width="7.796875" bestFit="1" customWidth="1"/>
    <col min="1952" max="1952" width="10" bestFit="1" customWidth="1"/>
    <col min="1953" max="1953" width="7.796875" bestFit="1" customWidth="1"/>
    <col min="1954" max="1954" width="10" bestFit="1" customWidth="1"/>
    <col min="1955" max="1955" width="7.796875" bestFit="1" customWidth="1"/>
    <col min="1956" max="1956" width="10" bestFit="1" customWidth="1"/>
    <col min="1957" max="1957" width="7.796875" bestFit="1" customWidth="1"/>
    <col min="1958" max="1958" width="10" bestFit="1" customWidth="1"/>
    <col min="1959" max="1959" width="7.796875" bestFit="1" customWidth="1"/>
    <col min="1960" max="1960" width="10" bestFit="1" customWidth="1"/>
    <col min="1961" max="1961" width="7.796875" bestFit="1" customWidth="1"/>
    <col min="1962" max="1962" width="10" bestFit="1" customWidth="1"/>
    <col min="1963" max="1963" width="7.796875" bestFit="1" customWidth="1"/>
    <col min="1964" max="1964" width="10" bestFit="1" customWidth="1"/>
    <col min="1965" max="1965" width="7.796875" bestFit="1" customWidth="1"/>
    <col min="1966" max="1966" width="10" bestFit="1" customWidth="1"/>
    <col min="1967" max="1967" width="7.796875" bestFit="1" customWidth="1"/>
    <col min="1968" max="1968" width="10" bestFit="1" customWidth="1"/>
    <col min="1969" max="1969" width="7.796875" bestFit="1" customWidth="1"/>
    <col min="1970" max="1970" width="10" bestFit="1" customWidth="1"/>
    <col min="1971" max="1971" width="7.796875" bestFit="1" customWidth="1"/>
    <col min="1972" max="1972" width="10" bestFit="1" customWidth="1"/>
    <col min="1973" max="1973" width="7.796875" bestFit="1" customWidth="1"/>
    <col min="1974" max="1974" width="10" bestFit="1" customWidth="1"/>
    <col min="1975" max="1975" width="7.796875" bestFit="1" customWidth="1"/>
    <col min="1976" max="1976" width="10" bestFit="1" customWidth="1"/>
    <col min="1977" max="1977" width="7.796875" bestFit="1" customWidth="1"/>
    <col min="1978" max="1978" width="10" bestFit="1" customWidth="1"/>
    <col min="1979" max="1979" width="7.796875" bestFit="1" customWidth="1"/>
    <col min="1980" max="1980" width="10" bestFit="1" customWidth="1"/>
    <col min="1981" max="1981" width="7.796875" bestFit="1" customWidth="1"/>
    <col min="1982" max="1982" width="10" bestFit="1" customWidth="1"/>
    <col min="1983" max="1983" width="7.796875" bestFit="1" customWidth="1"/>
    <col min="1984" max="1984" width="10" bestFit="1" customWidth="1"/>
    <col min="1985" max="1985" width="7.796875" bestFit="1" customWidth="1"/>
    <col min="1986" max="1986" width="10" bestFit="1" customWidth="1"/>
    <col min="1987" max="1987" width="7.796875" bestFit="1" customWidth="1"/>
    <col min="1988" max="1988" width="10" bestFit="1" customWidth="1"/>
    <col min="1989" max="1989" width="7.796875" bestFit="1" customWidth="1"/>
    <col min="1990" max="1990" width="10" bestFit="1" customWidth="1"/>
    <col min="1991" max="1991" width="7.796875" bestFit="1" customWidth="1"/>
    <col min="1992" max="1992" width="10" bestFit="1" customWidth="1"/>
    <col min="1993" max="1993" width="7.796875" bestFit="1" customWidth="1"/>
    <col min="1994" max="1994" width="10" bestFit="1" customWidth="1"/>
    <col min="1995" max="1995" width="7.796875" bestFit="1" customWidth="1"/>
    <col min="1996" max="1996" width="10" bestFit="1" customWidth="1"/>
    <col min="1997" max="1997" width="7.796875" bestFit="1" customWidth="1"/>
    <col min="1998" max="1998" width="10" bestFit="1" customWidth="1"/>
    <col min="1999" max="1999" width="7.796875" bestFit="1" customWidth="1"/>
    <col min="2000" max="2000" width="10" bestFit="1" customWidth="1"/>
    <col min="2001" max="2001" width="7.86328125" bestFit="1" customWidth="1"/>
  </cols>
  <sheetData>
    <row r="3" spans="1:9" x14ac:dyDescent="0.4">
      <c r="A3" s="6" t="s">
        <v>1045</v>
      </c>
      <c r="B3" s="6" t="s">
        <v>1065</v>
      </c>
    </row>
    <row r="4" spans="1:9" x14ac:dyDescent="0.4">
      <c r="A4" s="6" t="s">
        <v>1043</v>
      </c>
      <c r="B4" t="s">
        <v>3</v>
      </c>
      <c r="C4" t="s">
        <v>15</v>
      </c>
      <c r="D4" t="s">
        <v>18</v>
      </c>
      <c r="E4" t="s">
        <v>33</v>
      </c>
      <c r="F4" t="s">
        <v>37</v>
      </c>
      <c r="G4" t="s">
        <v>45</v>
      </c>
      <c r="H4" t="s">
        <v>48</v>
      </c>
      <c r="I4" t="s">
        <v>1044</v>
      </c>
    </row>
    <row r="5" spans="1:9" x14ac:dyDescent="0.4">
      <c r="A5" s="7" t="s">
        <v>14</v>
      </c>
      <c r="B5" s="11">
        <v>0.19047619047619047</v>
      </c>
      <c r="C5" s="11">
        <v>0.15873015873015872</v>
      </c>
      <c r="D5" s="11">
        <v>6.8783068783068779E-2</v>
      </c>
      <c r="E5" s="11">
        <v>0.12169312169312169</v>
      </c>
      <c r="F5" s="11">
        <v>0.12169312169312169</v>
      </c>
      <c r="G5" s="11">
        <v>0.12698412698412698</v>
      </c>
      <c r="H5" s="11">
        <v>0.21164021164021163</v>
      </c>
      <c r="I5" s="11">
        <v>1</v>
      </c>
    </row>
    <row r="6" spans="1:9" x14ac:dyDescent="0.4">
      <c r="A6" s="7" t="s">
        <v>9</v>
      </c>
      <c r="B6" s="11">
        <v>0.12844036697247707</v>
      </c>
      <c r="C6" s="11">
        <v>0.11009174311926606</v>
      </c>
      <c r="D6" s="11">
        <v>0.20183486238532111</v>
      </c>
      <c r="E6" s="11">
        <v>0.16513761467889909</v>
      </c>
      <c r="F6" s="11">
        <v>0.15137614678899083</v>
      </c>
      <c r="G6" s="11">
        <v>0.13302752293577982</v>
      </c>
      <c r="H6" s="11">
        <v>0.11009174311926606</v>
      </c>
      <c r="I6" s="11">
        <v>1</v>
      </c>
    </row>
    <row r="7" spans="1:9" x14ac:dyDescent="0.4">
      <c r="A7" s="7" t="s">
        <v>27</v>
      </c>
      <c r="B7" s="11">
        <v>0.14492753623188406</v>
      </c>
      <c r="C7" s="11">
        <v>0.16425120772946861</v>
      </c>
      <c r="D7" s="11">
        <v>0.12560386473429952</v>
      </c>
      <c r="E7" s="11">
        <v>0.18357487922705315</v>
      </c>
      <c r="F7" s="11">
        <v>0.13043478260869565</v>
      </c>
      <c r="G7" s="11">
        <v>0.13043478260869565</v>
      </c>
      <c r="H7" s="11">
        <v>0.12077294685990338</v>
      </c>
      <c r="I7" s="11">
        <v>1</v>
      </c>
    </row>
    <row r="8" spans="1:9" x14ac:dyDescent="0.4">
      <c r="A8" s="7" t="s">
        <v>23</v>
      </c>
      <c r="B8" s="11">
        <v>0.13440860215053763</v>
      </c>
      <c r="C8" s="11">
        <v>0.12365591397849462</v>
      </c>
      <c r="D8" s="11">
        <v>0.15053763440860216</v>
      </c>
      <c r="E8" s="11">
        <v>0.15591397849462366</v>
      </c>
      <c r="F8" s="11">
        <v>9.6774193548387094E-2</v>
      </c>
      <c r="G8" s="11">
        <v>0.15591397849462366</v>
      </c>
      <c r="H8" s="11">
        <v>0.18279569892473119</v>
      </c>
      <c r="I8" s="11">
        <v>1</v>
      </c>
    </row>
    <row r="9" spans="1:9" x14ac:dyDescent="0.4">
      <c r="A9" s="7" t="s">
        <v>2</v>
      </c>
      <c r="B9" s="11">
        <v>0.13500000000000001</v>
      </c>
      <c r="C9" s="11">
        <v>0.11</v>
      </c>
      <c r="D9" s="11">
        <v>0.13500000000000001</v>
      </c>
      <c r="E9" s="11">
        <v>0.13500000000000001</v>
      </c>
      <c r="F9" s="11">
        <v>0.13500000000000001</v>
      </c>
      <c r="G9" s="11">
        <v>0.16</v>
      </c>
      <c r="H9" s="11">
        <v>0.19</v>
      </c>
      <c r="I9" s="11">
        <v>1</v>
      </c>
    </row>
    <row r="10" spans="1:9" x14ac:dyDescent="0.4">
      <c r="A10" s="7" t="s">
        <v>1044</v>
      </c>
      <c r="B10" s="11">
        <v>0.14599999999999999</v>
      </c>
      <c r="C10" s="11">
        <v>0.13300000000000001</v>
      </c>
      <c r="D10" s="11">
        <v>0.13800000000000001</v>
      </c>
      <c r="E10" s="11">
        <v>0.153</v>
      </c>
      <c r="F10" s="11">
        <v>0.128</v>
      </c>
      <c r="G10" s="11">
        <v>0.14099999999999999</v>
      </c>
      <c r="H10" s="11">
        <v>0.161</v>
      </c>
      <c r="I10" s="11">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75BC-6506-4F60-A25B-B77134A85518}">
  <dimension ref="A3:H10"/>
  <sheetViews>
    <sheetView workbookViewId="0">
      <selection activeCell="G7" sqref="G7"/>
    </sheetView>
  </sheetViews>
  <sheetFormatPr defaultRowHeight="15" x14ac:dyDescent="0.4"/>
  <cols>
    <col min="1" max="1" width="18.796875" customWidth="1"/>
    <col min="2" max="2" width="15.265625" customWidth="1"/>
    <col min="3" max="4" width="5.796875" customWidth="1"/>
    <col min="5" max="7" width="6.796875" customWidth="1"/>
    <col min="8" max="8" width="10.6640625" customWidth="1"/>
  </cols>
  <sheetData>
    <row r="3" spans="1:8" x14ac:dyDescent="0.4">
      <c r="A3" s="6" t="s">
        <v>1045</v>
      </c>
      <c r="B3" s="6" t="s">
        <v>1065</v>
      </c>
    </row>
    <row r="4" spans="1:8" x14ac:dyDescent="0.4">
      <c r="A4" s="6" t="s">
        <v>1043</v>
      </c>
      <c r="B4">
        <v>0</v>
      </c>
      <c r="C4">
        <v>1</v>
      </c>
      <c r="D4">
        <v>2</v>
      </c>
      <c r="E4">
        <v>3</v>
      </c>
      <c r="F4">
        <v>4</v>
      </c>
      <c r="G4">
        <v>5</v>
      </c>
      <c r="H4" t="s">
        <v>1044</v>
      </c>
    </row>
    <row r="5" spans="1:8" x14ac:dyDescent="0.4">
      <c r="A5" s="7" t="s">
        <v>172</v>
      </c>
      <c r="B5" s="11">
        <v>0</v>
      </c>
      <c r="C5" s="11">
        <v>0</v>
      </c>
      <c r="D5" s="11">
        <v>0</v>
      </c>
      <c r="E5" s="11">
        <v>0.22222222222222221</v>
      </c>
      <c r="F5" s="11">
        <v>0.55555555555555558</v>
      </c>
      <c r="G5" s="11">
        <v>0.22222222222222221</v>
      </c>
      <c r="H5" s="11">
        <v>1</v>
      </c>
    </row>
    <row r="6" spans="1:8" x14ac:dyDescent="0.4">
      <c r="A6" s="7" t="s">
        <v>41</v>
      </c>
      <c r="B6" s="11">
        <v>0</v>
      </c>
      <c r="C6" s="11">
        <v>0</v>
      </c>
      <c r="D6" s="11">
        <v>7.8431372549019607E-2</v>
      </c>
      <c r="E6" s="11">
        <v>0.11764705882352941</v>
      </c>
      <c r="F6" s="11">
        <v>0.50980392156862742</v>
      </c>
      <c r="G6" s="11">
        <v>0.29411764705882354</v>
      </c>
      <c r="H6" s="11">
        <v>1</v>
      </c>
    </row>
    <row r="7" spans="1:8" x14ac:dyDescent="0.4">
      <c r="A7" s="7" t="s">
        <v>19</v>
      </c>
      <c r="B7" s="11">
        <v>0</v>
      </c>
      <c r="C7" s="11">
        <v>0</v>
      </c>
      <c r="D7" s="11">
        <v>7.2625698324022353E-2</v>
      </c>
      <c r="E7" s="11">
        <v>0.19553072625698323</v>
      </c>
      <c r="F7" s="11">
        <v>0.41899441340782123</v>
      </c>
      <c r="G7" s="11">
        <v>0.31284916201117319</v>
      </c>
      <c r="H7" s="11">
        <v>1</v>
      </c>
    </row>
    <row r="8" spans="1:8" x14ac:dyDescent="0.4">
      <c r="A8" s="7" t="s">
        <v>4</v>
      </c>
      <c r="B8" s="11">
        <v>0</v>
      </c>
      <c r="C8" s="11">
        <v>9.5419847328244278E-3</v>
      </c>
      <c r="D8" s="11">
        <v>5.3435114503816793E-2</v>
      </c>
      <c r="E8" s="11">
        <v>0.20229007633587787</v>
      </c>
      <c r="F8" s="11">
        <v>0.42938931297709926</v>
      </c>
      <c r="G8" s="11">
        <v>0.30534351145038169</v>
      </c>
      <c r="H8" s="11">
        <v>1</v>
      </c>
    </row>
    <row r="9" spans="1:8" x14ac:dyDescent="0.4">
      <c r="A9" s="7" t="s">
        <v>16</v>
      </c>
      <c r="B9" s="11">
        <v>4.2194092827004216E-3</v>
      </c>
      <c r="C9" s="11">
        <v>1.2658227848101266E-2</v>
      </c>
      <c r="D9" s="11">
        <v>5.9071729957805907E-2</v>
      </c>
      <c r="E9" s="11">
        <v>0.20253164556962025</v>
      </c>
      <c r="F9" s="11">
        <v>0.40928270042194093</v>
      </c>
      <c r="G9" s="11">
        <v>0.31223628691983124</v>
      </c>
      <c r="H9" s="11">
        <v>1</v>
      </c>
    </row>
    <row r="10" spans="1:8" x14ac:dyDescent="0.4">
      <c r="A10" s="7" t="s">
        <v>1044</v>
      </c>
      <c r="B10" s="11">
        <v>1E-3</v>
      </c>
      <c r="C10" s="11">
        <v>8.0000000000000002E-3</v>
      </c>
      <c r="D10" s="11">
        <v>5.8999999999999997E-2</v>
      </c>
      <c r="E10" s="11">
        <v>0.19700000000000001</v>
      </c>
      <c r="F10" s="11">
        <v>0.42799999999999999</v>
      </c>
      <c r="G10" s="11">
        <v>0.307</v>
      </c>
      <c r="H10" s="11">
        <v>1</v>
      </c>
    </row>
  </sheetData>
  <conditionalFormatting pivot="1" sqref="B5:G9">
    <cfRule type="colorScale" priority="1">
      <colorScale>
        <cfvo type="min"/>
        <cfvo type="max"/>
        <color rgb="FFFCFCFF"/>
        <color rgb="FF63BE7B"/>
      </colorScale>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s9</vt:lpstr>
      <vt:lpstr>Sheet9</vt:lpstr>
      <vt:lpstr>Sheet10</vt:lpstr>
      <vt:lpstr>Sheet11</vt:lpstr>
      <vt:lpstr>Sheet1</vt:lpstr>
      <vt:lpstr>pivots</vt:lpstr>
      <vt:lpstr>Sheet2</vt:lpstr>
      <vt:lpstr>Data</vt:lpstr>
      <vt:lpstr>coustmer centre report</vt:lpstr>
      <vt:lpstr>s1&amp;2</vt:lpstr>
      <vt:lpstr>s3</vt:lpstr>
      <vt:lpstr>Sheet5</vt:lpstr>
      <vt:lpstr>Sheet6</vt:lpstr>
      <vt:lpstr>s7</vt:lpstr>
      <vt:lpstr>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Kalash Tyagi</dc:creator>
  <cp:lastModifiedBy>Kalash Tyagi</cp:lastModifiedBy>
  <dcterms:created xsi:type="dcterms:W3CDTF">2025-08-20T14:01:06Z</dcterms:created>
  <dcterms:modified xsi:type="dcterms:W3CDTF">2026-05-16T16:26:14Z</dcterms:modified>
</cp:coreProperties>
</file>